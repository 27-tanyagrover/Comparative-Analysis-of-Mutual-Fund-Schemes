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8_{D6421C35-4A64-41E5-A282-2782EDC47B32}" xr6:coauthVersionLast="47" xr6:coauthVersionMax="47" xr10:uidLastSave="{00000000-0000-0000-0000-000000000000}"/>
  <bookViews>
    <workbookView xWindow="-110" yWindow="-110" windowWidth="19420" windowHeight="10300" tabRatio="500" xr2:uid="{00000000-000D-0000-FFFF-FFFF00000000}"/>
  </bookViews>
  <sheets>
    <sheet name="Comparative Summary" sheetId="1" r:id="rId1"/>
    <sheet name="Performance Metrics" sheetId="2" r:id="rId2"/>
    <sheet name="Monthly NAV" sheetId="3" r:id="rId3"/>
    <sheet name="canara" sheetId="4" r:id="rId4"/>
    <sheet name="hdfc" sheetId="5" r:id="rId5"/>
    <sheet name="parag parikh" sheetId="6" r:id="rId6"/>
    <sheet name="Sheet1" sheetId="8" r:id="rId7"/>
    <sheet name="pivot" sheetId="11" r:id="rId8"/>
    <sheet name="Nifty 500 TRI " sheetId="7" r:id="rId9"/>
    <sheet name="dahboard" sheetId="10" r:id="rId10"/>
  </sheets>
  <definedNames>
    <definedName name="Slicer_Scheme">#N/A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7" i="2" l="1"/>
  <c r="D1217" i="7"/>
  <c r="D1216" i="7"/>
  <c r="D1215" i="7"/>
  <c r="D1214" i="7"/>
  <c r="D1213" i="7"/>
  <c r="D1212" i="7"/>
  <c r="D1211" i="7"/>
  <c r="D1210" i="7"/>
  <c r="D1209" i="7"/>
  <c r="D1208" i="7"/>
  <c r="D1207" i="7"/>
  <c r="D1206" i="7"/>
  <c r="D1205" i="7"/>
  <c r="D1204" i="7"/>
  <c r="D1203" i="7"/>
  <c r="D1202" i="7"/>
  <c r="D1201" i="7"/>
  <c r="D1200" i="7"/>
  <c r="D1199" i="7"/>
  <c r="D1198" i="7"/>
  <c r="D1197" i="7"/>
  <c r="D1196" i="7"/>
  <c r="D1195" i="7"/>
  <c r="D1194" i="7"/>
  <c r="D1193" i="7"/>
  <c r="D1192" i="7"/>
  <c r="D1191" i="7"/>
  <c r="D1190" i="7"/>
  <c r="D1189" i="7"/>
  <c r="D1188" i="7"/>
  <c r="D1187" i="7"/>
  <c r="D1186" i="7"/>
  <c r="D1185" i="7"/>
  <c r="D1184" i="7"/>
  <c r="D1183" i="7"/>
  <c r="D1182" i="7"/>
  <c r="D1181" i="7"/>
  <c r="D1180" i="7"/>
  <c r="D1179" i="7"/>
  <c r="D1178" i="7"/>
  <c r="D1177" i="7"/>
  <c r="D1176" i="7"/>
  <c r="D1175" i="7"/>
  <c r="D1174" i="7"/>
  <c r="D1173" i="7"/>
  <c r="D1172" i="7"/>
  <c r="D1171" i="7"/>
  <c r="D1170" i="7"/>
  <c r="D1169" i="7"/>
  <c r="D1168" i="7"/>
  <c r="D1167" i="7"/>
  <c r="D1166" i="7"/>
  <c r="D1165" i="7"/>
  <c r="D1164" i="7"/>
  <c r="D1163" i="7"/>
  <c r="D1162" i="7"/>
  <c r="D1161" i="7"/>
  <c r="D1160" i="7"/>
  <c r="D1159" i="7"/>
  <c r="D1158" i="7"/>
  <c r="D1157" i="7"/>
  <c r="D1156" i="7"/>
  <c r="D1155" i="7"/>
  <c r="D1154" i="7"/>
  <c r="D1153" i="7"/>
  <c r="D1152" i="7"/>
  <c r="D1151" i="7"/>
  <c r="D1150" i="7"/>
  <c r="D1149" i="7"/>
  <c r="D1148" i="7"/>
  <c r="D1147" i="7"/>
  <c r="D1146" i="7"/>
  <c r="D1145" i="7"/>
  <c r="D1144" i="7"/>
  <c r="D1143" i="7"/>
  <c r="D1142" i="7"/>
  <c r="D1141" i="7"/>
  <c r="D1140" i="7"/>
  <c r="D1139" i="7"/>
  <c r="D1138" i="7"/>
  <c r="D1137" i="7"/>
  <c r="D1136" i="7"/>
  <c r="D1135" i="7"/>
  <c r="D1134" i="7"/>
  <c r="D1133" i="7"/>
  <c r="D1132" i="7"/>
  <c r="D1131" i="7"/>
  <c r="D1130" i="7"/>
  <c r="D1129" i="7"/>
  <c r="D1128" i="7"/>
  <c r="D1127" i="7"/>
  <c r="D1126" i="7"/>
  <c r="D1125" i="7"/>
  <c r="D1124" i="7"/>
  <c r="D1123" i="7"/>
  <c r="D1122" i="7"/>
  <c r="D1121" i="7"/>
  <c r="D1120" i="7"/>
  <c r="D1119" i="7"/>
  <c r="D1118" i="7"/>
  <c r="D1117" i="7"/>
  <c r="D1116" i="7"/>
  <c r="D1115" i="7"/>
  <c r="D1114" i="7"/>
  <c r="D1113" i="7"/>
  <c r="D1112" i="7"/>
  <c r="D1111" i="7"/>
  <c r="D1110" i="7"/>
  <c r="D1109" i="7"/>
  <c r="D1108" i="7"/>
  <c r="D1107" i="7"/>
  <c r="D1106" i="7"/>
  <c r="D1105" i="7"/>
  <c r="D1104" i="7"/>
  <c r="D1103" i="7"/>
  <c r="D1102" i="7"/>
  <c r="D1101" i="7"/>
  <c r="D1100" i="7"/>
  <c r="D1099" i="7"/>
  <c r="D1098" i="7"/>
  <c r="D1097" i="7"/>
  <c r="D1096" i="7"/>
  <c r="D1095" i="7"/>
  <c r="D1094" i="7"/>
  <c r="D1093" i="7"/>
  <c r="D1092" i="7"/>
  <c r="D1091" i="7"/>
  <c r="D1090" i="7"/>
  <c r="D1089" i="7"/>
  <c r="D1088" i="7"/>
  <c r="D1087" i="7"/>
  <c r="D1086" i="7"/>
  <c r="D1085" i="7"/>
  <c r="D1084" i="7"/>
  <c r="D1083" i="7"/>
  <c r="D1082" i="7"/>
  <c r="D1081" i="7"/>
  <c r="D1080" i="7"/>
  <c r="D1079" i="7"/>
  <c r="D1078" i="7"/>
  <c r="D1077" i="7"/>
  <c r="D1076" i="7"/>
  <c r="D1075" i="7"/>
  <c r="D1074" i="7"/>
  <c r="D1073" i="7"/>
  <c r="D1072" i="7"/>
  <c r="D1071" i="7"/>
  <c r="D1070" i="7"/>
  <c r="D1069" i="7"/>
  <c r="D1068" i="7"/>
  <c r="D1067" i="7"/>
  <c r="D1066" i="7"/>
  <c r="D1065" i="7"/>
  <c r="D1064" i="7"/>
  <c r="D1063" i="7"/>
  <c r="D1062" i="7"/>
  <c r="D1061" i="7"/>
  <c r="D1060" i="7"/>
  <c r="D1059" i="7"/>
  <c r="D1058" i="7"/>
  <c r="D1057" i="7"/>
  <c r="D1056" i="7"/>
  <c r="D1055" i="7"/>
  <c r="D1054" i="7"/>
  <c r="D1053" i="7"/>
  <c r="D1052" i="7"/>
  <c r="D1051" i="7"/>
  <c r="D1050" i="7"/>
  <c r="D1049" i="7"/>
  <c r="D1048" i="7"/>
  <c r="D1047" i="7"/>
  <c r="D1046" i="7"/>
  <c r="D1045" i="7"/>
  <c r="D1044" i="7"/>
  <c r="D1043" i="7"/>
  <c r="D1042" i="7"/>
  <c r="D1041" i="7"/>
  <c r="D1040" i="7"/>
  <c r="D1039" i="7"/>
  <c r="D1038" i="7"/>
  <c r="D1037" i="7"/>
  <c r="D1036" i="7"/>
  <c r="D1035" i="7"/>
  <c r="D1034" i="7"/>
  <c r="D1033" i="7"/>
  <c r="D1032" i="7"/>
  <c r="D1031" i="7"/>
  <c r="D1030" i="7"/>
  <c r="D1029" i="7"/>
  <c r="D1028" i="7"/>
  <c r="D1027" i="7"/>
  <c r="D1026" i="7"/>
  <c r="D1025" i="7"/>
  <c r="D1024" i="7"/>
  <c r="D1023" i="7"/>
  <c r="D1022" i="7"/>
  <c r="D1021" i="7"/>
  <c r="D1020" i="7"/>
  <c r="D1019" i="7"/>
  <c r="D1018" i="7"/>
  <c r="D1017" i="7"/>
  <c r="D1016" i="7"/>
  <c r="D1015" i="7"/>
  <c r="D1014" i="7"/>
  <c r="D1013" i="7"/>
  <c r="D1012" i="7"/>
  <c r="D1011" i="7"/>
  <c r="D1010" i="7"/>
  <c r="D1009" i="7"/>
  <c r="D1008" i="7"/>
  <c r="D1007" i="7"/>
  <c r="D1006" i="7"/>
  <c r="D1005" i="7"/>
  <c r="D1004" i="7"/>
  <c r="D1003" i="7"/>
  <c r="D1002" i="7"/>
  <c r="D1001" i="7"/>
  <c r="D1000" i="7"/>
  <c r="D999" i="7"/>
  <c r="D998" i="7"/>
  <c r="D997" i="7"/>
  <c r="D996" i="7"/>
  <c r="D995" i="7"/>
  <c r="D994" i="7"/>
  <c r="D993" i="7"/>
  <c r="D992" i="7"/>
  <c r="D991" i="7"/>
  <c r="D990" i="7"/>
  <c r="D989" i="7"/>
  <c r="D988" i="7"/>
  <c r="D987" i="7"/>
  <c r="D986" i="7"/>
  <c r="D985" i="7"/>
  <c r="D984" i="7"/>
  <c r="D983" i="7"/>
  <c r="D982" i="7"/>
  <c r="D981" i="7"/>
  <c r="D980" i="7"/>
  <c r="D979" i="7"/>
  <c r="D978" i="7"/>
  <c r="D977" i="7"/>
  <c r="D976" i="7"/>
  <c r="D975" i="7"/>
  <c r="D974" i="7"/>
  <c r="D973" i="7"/>
  <c r="D972" i="7"/>
  <c r="D971" i="7"/>
  <c r="D970" i="7"/>
  <c r="D969" i="7"/>
  <c r="D968" i="7"/>
  <c r="D967" i="7"/>
  <c r="D966" i="7"/>
  <c r="D965" i="7"/>
  <c r="D964" i="7"/>
  <c r="D963" i="7"/>
  <c r="D962" i="7"/>
  <c r="D961" i="7"/>
  <c r="D960" i="7"/>
  <c r="D959" i="7"/>
  <c r="D958" i="7"/>
  <c r="D957" i="7"/>
  <c r="D956" i="7"/>
  <c r="D955" i="7"/>
  <c r="D954" i="7"/>
  <c r="D953" i="7"/>
  <c r="D952" i="7"/>
  <c r="D951" i="7"/>
  <c r="D950" i="7"/>
  <c r="D949" i="7"/>
  <c r="D948" i="7"/>
  <c r="D947" i="7"/>
  <c r="D946" i="7"/>
  <c r="D945" i="7"/>
  <c r="D944" i="7"/>
  <c r="D943" i="7"/>
  <c r="D942" i="7"/>
  <c r="D941" i="7"/>
  <c r="D940" i="7"/>
  <c r="D939" i="7"/>
  <c r="D938" i="7"/>
  <c r="D937" i="7"/>
  <c r="D936" i="7"/>
  <c r="D935" i="7"/>
  <c r="D934" i="7"/>
  <c r="D933" i="7"/>
  <c r="D932" i="7"/>
  <c r="D931" i="7"/>
  <c r="D930" i="7"/>
  <c r="D929" i="7"/>
  <c r="D928" i="7"/>
  <c r="D927" i="7"/>
  <c r="D926" i="7"/>
  <c r="D925" i="7"/>
  <c r="D924" i="7"/>
  <c r="D923" i="7"/>
  <c r="D922" i="7"/>
  <c r="D921" i="7"/>
  <c r="D920" i="7"/>
  <c r="D919" i="7"/>
  <c r="D918" i="7"/>
  <c r="D917" i="7"/>
  <c r="D916" i="7"/>
  <c r="D915" i="7"/>
  <c r="D914" i="7"/>
  <c r="D913" i="7"/>
  <c r="D912" i="7"/>
  <c r="D911" i="7"/>
  <c r="D910" i="7"/>
  <c r="D909" i="7"/>
  <c r="D908" i="7"/>
  <c r="D907" i="7"/>
  <c r="D906" i="7"/>
  <c r="D905" i="7"/>
  <c r="D904" i="7"/>
  <c r="D903" i="7"/>
  <c r="D902" i="7"/>
  <c r="D901" i="7"/>
  <c r="D900" i="7"/>
  <c r="D899" i="7"/>
  <c r="D898" i="7"/>
  <c r="D897" i="7"/>
  <c r="D896" i="7"/>
  <c r="D895" i="7"/>
  <c r="D894" i="7"/>
  <c r="D893" i="7"/>
  <c r="D892" i="7"/>
  <c r="D891" i="7"/>
  <c r="D890" i="7"/>
  <c r="D889" i="7"/>
  <c r="D888" i="7"/>
  <c r="D887" i="7"/>
  <c r="D886" i="7"/>
  <c r="D885" i="7"/>
  <c r="D884" i="7"/>
  <c r="D883" i="7"/>
  <c r="D882" i="7"/>
  <c r="D881" i="7"/>
  <c r="D880" i="7"/>
  <c r="D879" i="7"/>
  <c r="D878" i="7"/>
  <c r="D877" i="7"/>
  <c r="D876" i="7"/>
  <c r="D875" i="7"/>
  <c r="D874" i="7"/>
  <c r="D873" i="7"/>
  <c r="D872" i="7"/>
  <c r="D871" i="7"/>
  <c r="D870" i="7"/>
  <c r="D869" i="7"/>
  <c r="D868" i="7"/>
  <c r="D867" i="7"/>
  <c r="D866" i="7"/>
  <c r="D865" i="7"/>
  <c r="D864" i="7"/>
  <c r="D863" i="7"/>
  <c r="D862" i="7"/>
  <c r="D861" i="7"/>
  <c r="D860" i="7"/>
  <c r="D859" i="7"/>
  <c r="D858" i="7"/>
  <c r="D857" i="7"/>
  <c r="D856" i="7"/>
  <c r="D855" i="7"/>
  <c r="D854" i="7"/>
  <c r="D853" i="7"/>
  <c r="D852" i="7"/>
  <c r="D851" i="7"/>
  <c r="D850" i="7"/>
  <c r="D849" i="7"/>
  <c r="D848" i="7"/>
  <c r="D847" i="7"/>
  <c r="D846" i="7"/>
  <c r="D845" i="7"/>
  <c r="D844" i="7"/>
  <c r="D843" i="7"/>
  <c r="D842" i="7"/>
  <c r="D841" i="7"/>
  <c r="D840" i="7"/>
  <c r="D839" i="7"/>
  <c r="D838" i="7"/>
  <c r="D837" i="7"/>
  <c r="D836" i="7"/>
  <c r="D835" i="7"/>
  <c r="D834" i="7"/>
  <c r="D833" i="7"/>
  <c r="D832" i="7"/>
  <c r="D831" i="7"/>
  <c r="D830" i="7"/>
  <c r="D829" i="7"/>
  <c r="D828" i="7"/>
  <c r="D827" i="7"/>
  <c r="D826" i="7"/>
  <c r="D825" i="7"/>
  <c r="D824" i="7"/>
  <c r="D823" i="7"/>
  <c r="D822" i="7"/>
  <c r="D821" i="7"/>
  <c r="D820" i="7"/>
  <c r="D819" i="7"/>
  <c r="D818" i="7"/>
  <c r="D817" i="7"/>
  <c r="D816" i="7"/>
  <c r="D815" i="7"/>
  <c r="D814" i="7"/>
  <c r="D813" i="7"/>
  <c r="D812" i="7"/>
  <c r="D811" i="7"/>
  <c r="D810" i="7"/>
  <c r="D809" i="7"/>
  <c r="D808" i="7"/>
  <c r="D807" i="7"/>
  <c r="D806" i="7"/>
  <c r="D805" i="7"/>
  <c r="D804" i="7"/>
  <c r="D803" i="7"/>
  <c r="D802" i="7"/>
  <c r="D801" i="7"/>
  <c r="D800" i="7"/>
  <c r="D799" i="7"/>
  <c r="D798" i="7"/>
  <c r="D797" i="7"/>
  <c r="D796" i="7"/>
  <c r="D795" i="7"/>
  <c r="D794" i="7"/>
  <c r="D793" i="7"/>
  <c r="D792" i="7"/>
  <c r="D791" i="7"/>
  <c r="D790" i="7"/>
  <c r="D789" i="7"/>
  <c r="D788" i="7"/>
  <c r="D787" i="7"/>
  <c r="D786" i="7"/>
  <c r="D785" i="7"/>
  <c r="D784" i="7"/>
  <c r="D783" i="7"/>
  <c r="D782" i="7"/>
  <c r="D781" i="7"/>
  <c r="D780" i="7"/>
  <c r="D779" i="7"/>
  <c r="D778" i="7"/>
  <c r="D777" i="7"/>
  <c r="D776" i="7"/>
  <c r="D775" i="7"/>
  <c r="D774" i="7"/>
  <c r="D773" i="7"/>
  <c r="D772" i="7"/>
  <c r="D771" i="7"/>
  <c r="D770" i="7"/>
  <c r="D769" i="7"/>
  <c r="D768" i="7"/>
  <c r="D767" i="7"/>
  <c r="D766" i="7"/>
  <c r="D765" i="7"/>
  <c r="D764" i="7"/>
  <c r="D763" i="7"/>
  <c r="D762" i="7"/>
  <c r="D761" i="7"/>
  <c r="D760" i="7"/>
  <c r="D759" i="7"/>
  <c r="D758" i="7"/>
  <c r="D757" i="7"/>
  <c r="D756" i="7"/>
  <c r="D755" i="7"/>
  <c r="D754" i="7"/>
  <c r="D753" i="7"/>
  <c r="D752" i="7"/>
  <c r="D751" i="7"/>
  <c r="D750" i="7"/>
  <c r="D749" i="7"/>
  <c r="D748" i="7"/>
  <c r="D747" i="7"/>
  <c r="D746" i="7"/>
  <c r="D745" i="7"/>
  <c r="D744" i="7"/>
  <c r="D743" i="7"/>
  <c r="D742" i="7"/>
  <c r="D741" i="7"/>
  <c r="D740" i="7"/>
  <c r="D739" i="7"/>
  <c r="D738" i="7"/>
  <c r="D737" i="7"/>
  <c r="D736" i="7"/>
  <c r="D735" i="7"/>
  <c r="D734" i="7"/>
  <c r="D733" i="7"/>
  <c r="D732" i="7"/>
  <c r="D731" i="7"/>
  <c r="D730" i="7"/>
  <c r="D729" i="7"/>
  <c r="D728" i="7"/>
  <c r="D727" i="7"/>
  <c r="D726" i="7"/>
  <c r="D725" i="7"/>
  <c r="D724" i="7"/>
  <c r="D723" i="7"/>
  <c r="D722" i="7"/>
  <c r="D721" i="7"/>
  <c r="D720" i="7"/>
  <c r="D719" i="7"/>
  <c r="D718" i="7"/>
  <c r="D717" i="7"/>
  <c r="D716" i="7"/>
  <c r="D715" i="7"/>
  <c r="D714" i="7"/>
  <c r="D713" i="7"/>
  <c r="D712" i="7"/>
  <c r="D711" i="7"/>
  <c r="D710" i="7"/>
  <c r="D709" i="7"/>
  <c r="D708" i="7"/>
  <c r="D707" i="7"/>
  <c r="D706" i="7"/>
  <c r="D705" i="7"/>
  <c r="D704" i="7"/>
  <c r="D703" i="7"/>
  <c r="D702" i="7"/>
  <c r="D701" i="7"/>
  <c r="D700" i="7"/>
  <c r="D699" i="7"/>
  <c r="D698" i="7"/>
  <c r="D697" i="7"/>
  <c r="D696" i="7"/>
  <c r="D695" i="7"/>
  <c r="D694" i="7"/>
  <c r="D693" i="7"/>
  <c r="D692" i="7"/>
  <c r="D691" i="7"/>
  <c r="D690" i="7"/>
  <c r="D689" i="7"/>
  <c r="D688" i="7"/>
  <c r="D687" i="7"/>
  <c r="D686" i="7"/>
  <c r="D685" i="7"/>
  <c r="D684" i="7"/>
  <c r="D683" i="7"/>
  <c r="D682" i="7"/>
  <c r="D681" i="7"/>
  <c r="D680" i="7"/>
  <c r="D679" i="7"/>
  <c r="D678" i="7"/>
  <c r="D677" i="7"/>
  <c r="D676" i="7"/>
  <c r="D675" i="7"/>
  <c r="D674" i="7"/>
  <c r="D673" i="7"/>
  <c r="D672" i="7"/>
  <c r="D671" i="7"/>
  <c r="D670" i="7"/>
  <c r="D669" i="7"/>
  <c r="D668" i="7"/>
  <c r="D667" i="7"/>
  <c r="D666" i="7"/>
  <c r="D665" i="7"/>
  <c r="D664" i="7"/>
  <c r="D663" i="7"/>
  <c r="D662" i="7"/>
  <c r="D661" i="7"/>
  <c r="D660" i="7"/>
  <c r="D659" i="7"/>
  <c r="D658" i="7"/>
  <c r="D657" i="7"/>
  <c r="D656" i="7"/>
  <c r="D655" i="7"/>
  <c r="D654" i="7"/>
  <c r="D653" i="7"/>
  <c r="D652" i="7"/>
  <c r="D651" i="7"/>
  <c r="D650" i="7"/>
  <c r="D649" i="7"/>
  <c r="D648" i="7"/>
  <c r="D647" i="7"/>
  <c r="D646" i="7"/>
  <c r="D645" i="7"/>
  <c r="D644" i="7"/>
  <c r="D643" i="7"/>
  <c r="D642" i="7"/>
  <c r="D641" i="7"/>
  <c r="D640" i="7"/>
  <c r="D639" i="7"/>
  <c r="D638" i="7"/>
  <c r="D637" i="7"/>
  <c r="D636" i="7"/>
  <c r="D635" i="7"/>
  <c r="D634" i="7"/>
  <c r="D633" i="7"/>
  <c r="D632" i="7"/>
  <c r="D631" i="7"/>
  <c r="D630" i="7"/>
  <c r="D629" i="7"/>
  <c r="D628" i="7"/>
  <c r="D627" i="7"/>
  <c r="D626" i="7"/>
  <c r="D625" i="7"/>
  <c r="D624" i="7"/>
  <c r="D623" i="7"/>
  <c r="D622" i="7"/>
  <c r="D621" i="7"/>
  <c r="D620" i="7"/>
  <c r="D619" i="7"/>
  <c r="D618" i="7"/>
  <c r="D617" i="7"/>
  <c r="D616" i="7"/>
  <c r="D615" i="7"/>
  <c r="D614" i="7"/>
  <c r="D613" i="7"/>
  <c r="D612" i="7"/>
  <c r="D611" i="7"/>
  <c r="D610" i="7"/>
  <c r="D609" i="7"/>
  <c r="D608" i="7"/>
  <c r="D607" i="7"/>
  <c r="D606" i="7"/>
  <c r="D605" i="7"/>
  <c r="D604" i="7"/>
  <c r="D603" i="7"/>
  <c r="D602" i="7"/>
  <c r="D601" i="7"/>
  <c r="D600" i="7"/>
  <c r="D599" i="7"/>
  <c r="D598" i="7"/>
  <c r="D597" i="7"/>
  <c r="D596" i="7"/>
  <c r="D595" i="7"/>
  <c r="D594" i="7"/>
  <c r="D593" i="7"/>
  <c r="D592" i="7"/>
  <c r="D591" i="7"/>
  <c r="D590" i="7"/>
  <c r="D589" i="7"/>
  <c r="D588" i="7"/>
  <c r="D587" i="7"/>
  <c r="D586" i="7"/>
  <c r="D585" i="7"/>
  <c r="D584" i="7"/>
  <c r="D583" i="7"/>
  <c r="D582" i="7"/>
  <c r="D581" i="7"/>
  <c r="D580" i="7"/>
  <c r="D579" i="7"/>
  <c r="D578" i="7"/>
  <c r="D577" i="7"/>
  <c r="D576" i="7"/>
  <c r="D575" i="7"/>
  <c r="D574" i="7"/>
  <c r="D573" i="7"/>
  <c r="D572" i="7"/>
  <c r="D571" i="7"/>
  <c r="D570" i="7"/>
  <c r="D569" i="7"/>
  <c r="D568" i="7"/>
  <c r="D567" i="7"/>
  <c r="D566" i="7"/>
  <c r="D565" i="7"/>
  <c r="D564" i="7"/>
  <c r="D563" i="7"/>
  <c r="D562" i="7"/>
  <c r="D561" i="7"/>
  <c r="D560" i="7"/>
  <c r="D559" i="7"/>
  <c r="D558" i="7"/>
  <c r="D557" i="7"/>
  <c r="D556" i="7"/>
  <c r="D555" i="7"/>
  <c r="D554" i="7"/>
  <c r="D553" i="7"/>
  <c r="D552" i="7"/>
  <c r="D551" i="7"/>
  <c r="D550" i="7"/>
  <c r="D549" i="7"/>
  <c r="D548" i="7"/>
  <c r="D547" i="7"/>
  <c r="D546" i="7"/>
  <c r="D545" i="7"/>
  <c r="D544" i="7"/>
  <c r="D543" i="7"/>
  <c r="D542" i="7"/>
  <c r="D541" i="7"/>
  <c r="D540" i="7"/>
  <c r="D539" i="7"/>
  <c r="D538" i="7"/>
  <c r="D537" i="7"/>
  <c r="D536" i="7"/>
  <c r="D535" i="7"/>
  <c r="D534" i="7"/>
  <c r="D533" i="7"/>
  <c r="D532" i="7"/>
  <c r="D531" i="7"/>
  <c r="D530" i="7"/>
  <c r="D529" i="7"/>
  <c r="D528" i="7"/>
  <c r="D527" i="7"/>
  <c r="D526" i="7"/>
  <c r="D525" i="7"/>
  <c r="D524" i="7"/>
  <c r="D523" i="7"/>
  <c r="D522" i="7"/>
  <c r="D521" i="7"/>
  <c r="D520" i="7"/>
  <c r="D519" i="7"/>
  <c r="D518" i="7"/>
  <c r="D517" i="7"/>
  <c r="D516" i="7"/>
  <c r="D515" i="7"/>
  <c r="D514" i="7"/>
  <c r="D513" i="7"/>
  <c r="D512" i="7"/>
  <c r="D511" i="7"/>
  <c r="D510" i="7"/>
  <c r="D509" i="7"/>
  <c r="D508" i="7"/>
  <c r="D507" i="7"/>
  <c r="D506" i="7"/>
  <c r="D505" i="7"/>
  <c r="D504" i="7"/>
  <c r="D503" i="7"/>
  <c r="D502" i="7"/>
  <c r="D501" i="7"/>
  <c r="D500" i="7"/>
  <c r="D499" i="7"/>
  <c r="D498" i="7"/>
  <c r="D497" i="7"/>
  <c r="D496" i="7"/>
  <c r="D495" i="7"/>
  <c r="D494" i="7"/>
  <c r="D493" i="7"/>
  <c r="D492" i="7"/>
  <c r="D491" i="7"/>
  <c r="D490" i="7"/>
  <c r="D489" i="7"/>
  <c r="D488" i="7"/>
  <c r="D487" i="7"/>
  <c r="D486" i="7"/>
  <c r="D485" i="7"/>
  <c r="D484" i="7"/>
  <c r="D483" i="7"/>
  <c r="D482" i="7"/>
  <c r="D481" i="7"/>
  <c r="D480" i="7"/>
  <c r="D479" i="7"/>
  <c r="D478" i="7"/>
  <c r="D477" i="7"/>
  <c r="D476" i="7"/>
  <c r="D475" i="7"/>
  <c r="D474" i="7"/>
  <c r="D473" i="7"/>
  <c r="D472" i="7"/>
  <c r="D471" i="7"/>
  <c r="D470" i="7"/>
  <c r="D469" i="7"/>
  <c r="D468" i="7"/>
  <c r="D467" i="7"/>
  <c r="D466" i="7"/>
  <c r="D465" i="7"/>
  <c r="D464" i="7"/>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F1217" i="6"/>
  <c r="F1216" i="6"/>
  <c r="F1215" i="6"/>
  <c r="F1214" i="6"/>
  <c r="F1213" i="6"/>
  <c r="F1212" i="6"/>
  <c r="F1211" i="6"/>
  <c r="F1210" i="6"/>
  <c r="F1209" i="6"/>
  <c r="F1208" i="6"/>
  <c r="F1207" i="6"/>
  <c r="F1206" i="6"/>
  <c r="F1205" i="6"/>
  <c r="F1204" i="6"/>
  <c r="F1203" i="6"/>
  <c r="F1202" i="6"/>
  <c r="F1201" i="6"/>
  <c r="F1200" i="6"/>
  <c r="F1199" i="6"/>
  <c r="F1198" i="6"/>
  <c r="F1197" i="6"/>
  <c r="F1196" i="6"/>
  <c r="F1195" i="6"/>
  <c r="F1194" i="6"/>
  <c r="F1193" i="6"/>
  <c r="F1192" i="6"/>
  <c r="F1191" i="6"/>
  <c r="F1190" i="6"/>
  <c r="F1189" i="6"/>
  <c r="F1188" i="6"/>
  <c r="F1187" i="6"/>
  <c r="F1186" i="6"/>
  <c r="F1185" i="6"/>
  <c r="F1184" i="6"/>
  <c r="F1183" i="6"/>
  <c r="F1182" i="6"/>
  <c r="F1181" i="6"/>
  <c r="F1180" i="6"/>
  <c r="F1179" i="6"/>
  <c r="F1178" i="6"/>
  <c r="F1177" i="6"/>
  <c r="F1176" i="6"/>
  <c r="F1175" i="6"/>
  <c r="F1174" i="6"/>
  <c r="F1173" i="6"/>
  <c r="F1172" i="6"/>
  <c r="F1171" i="6"/>
  <c r="F1170" i="6"/>
  <c r="F1169" i="6"/>
  <c r="F1168" i="6"/>
  <c r="F1167" i="6"/>
  <c r="F1166" i="6"/>
  <c r="F1165" i="6"/>
  <c r="F1164" i="6"/>
  <c r="F1163" i="6"/>
  <c r="F1162" i="6"/>
  <c r="F1161" i="6"/>
  <c r="F1160" i="6"/>
  <c r="F1159" i="6"/>
  <c r="F1158" i="6"/>
  <c r="F1157" i="6"/>
  <c r="F1156" i="6"/>
  <c r="F1155" i="6"/>
  <c r="F1154" i="6"/>
  <c r="F1153" i="6"/>
  <c r="F1152" i="6"/>
  <c r="F1151" i="6"/>
  <c r="F1150" i="6"/>
  <c r="F1149" i="6"/>
  <c r="F1148" i="6"/>
  <c r="F1147" i="6"/>
  <c r="F1146" i="6"/>
  <c r="F1145" i="6"/>
  <c r="F1144" i="6"/>
  <c r="F1143" i="6"/>
  <c r="F1142" i="6"/>
  <c r="F1141" i="6"/>
  <c r="F1140" i="6"/>
  <c r="F1139" i="6"/>
  <c r="F1138" i="6"/>
  <c r="F1137" i="6"/>
  <c r="F1136" i="6"/>
  <c r="F1135" i="6"/>
  <c r="F1134" i="6"/>
  <c r="F1133" i="6"/>
  <c r="F1132" i="6"/>
  <c r="F1131" i="6"/>
  <c r="F1130" i="6"/>
  <c r="F1129" i="6"/>
  <c r="F1128" i="6"/>
  <c r="F1127" i="6"/>
  <c r="F1126" i="6"/>
  <c r="F1125" i="6"/>
  <c r="F1124" i="6"/>
  <c r="F1123" i="6"/>
  <c r="F1122" i="6"/>
  <c r="F1121" i="6"/>
  <c r="F1120" i="6"/>
  <c r="F1119" i="6"/>
  <c r="F1118" i="6"/>
  <c r="F1117" i="6"/>
  <c r="F1116" i="6"/>
  <c r="F1115" i="6"/>
  <c r="F1114" i="6"/>
  <c r="F1113" i="6"/>
  <c r="F1112" i="6"/>
  <c r="F1111" i="6"/>
  <c r="F1110" i="6"/>
  <c r="F1109" i="6"/>
  <c r="F1108" i="6"/>
  <c r="F1107" i="6"/>
  <c r="F1106" i="6"/>
  <c r="F1105" i="6"/>
  <c r="F1104" i="6"/>
  <c r="F1103" i="6"/>
  <c r="F1102" i="6"/>
  <c r="F1101" i="6"/>
  <c r="F1100" i="6"/>
  <c r="F1099" i="6"/>
  <c r="F1098" i="6"/>
  <c r="F1097" i="6"/>
  <c r="F1096" i="6"/>
  <c r="F1095" i="6"/>
  <c r="F1094" i="6"/>
  <c r="F1093" i="6"/>
  <c r="F1092" i="6"/>
  <c r="F1091" i="6"/>
  <c r="F1090" i="6"/>
  <c r="F1089" i="6"/>
  <c r="F1088" i="6"/>
  <c r="F1087" i="6"/>
  <c r="F1086" i="6"/>
  <c r="F1085" i="6"/>
  <c r="F1084" i="6"/>
  <c r="F1083" i="6"/>
  <c r="F1082" i="6"/>
  <c r="F1081" i="6"/>
  <c r="F1080" i="6"/>
  <c r="F1079" i="6"/>
  <c r="F1078" i="6"/>
  <c r="F1077" i="6"/>
  <c r="F1076" i="6"/>
  <c r="F1075" i="6"/>
  <c r="F1074" i="6"/>
  <c r="F1073" i="6"/>
  <c r="F1072" i="6"/>
  <c r="F1071" i="6"/>
  <c r="F1070" i="6"/>
  <c r="F1069" i="6"/>
  <c r="F1068" i="6"/>
  <c r="F1067" i="6"/>
  <c r="F1066" i="6"/>
  <c r="F1065" i="6"/>
  <c r="F1064" i="6"/>
  <c r="F1063" i="6"/>
  <c r="F1062" i="6"/>
  <c r="F1061" i="6"/>
  <c r="F1060" i="6"/>
  <c r="F1059" i="6"/>
  <c r="F1058" i="6"/>
  <c r="F1057" i="6"/>
  <c r="F1056" i="6"/>
  <c r="F1055" i="6"/>
  <c r="F1054" i="6"/>
  <c r="F1053" i="6"/>
  <c r="F1052" i="6"/>
  <c r="F1051" i="6"/>
  <c r="F1050" i="6"/>
  <c r="F1049" i="6"/>
  <c r="F1048" i="6"/>
  <c r="F1047" i="6"/>
  <c r="F1046" i="6"/>
  <c r="F1045" i="6"/>
  <c r="F1044" i="6"/>
  <c r="F1043" i="6"/>
  <c r="F1042" i="6"/>
  <c r="F1041" i="6"/>
  <c r="F1040" i="6"/>
  <c r="F1039" i="6"/>
  <c r="F1038" i="6"/>
  <c r="F1037" i="6"/>
  <c r="F1036" i="6"/>
  <c r="F1035" i="6"/>
  <c r="F1034" i="6"/>
  <c r="F1033" i="6"/>
  <c r="F1032" i="6"/>
  <c r="F1031" i="6"/>
  <c r="F1030" i="6"/>
  <c r="F1029" i="6"/>
  <c r="F1028" i="6"/>
  <c r="F1027" i="6"/>
  <c r="F1026" i="6"/>
  <c r="F1025" i="6"/>
  <c r="F1024" i="6"/>
  <c r="F1023" i="6"/>
  <c r="F1022" i="6"/>
  <c r="F1021" i="6"/>
  <c r="F1020" i="6"/>
  <c r="F1019" i="6"/>
  <c r="F1018" i="6"/>
  <c r="F1017" i="6"/>
  <c r="F1016" i="6"/>
  <c r="F1015" i="6"/>
  <c r="F1014" i="6"/>
  <c r="F1013" i="6"/>
  <c r="F1012" i="6"/>
  <c r="F1011" i="6"/>
  <c r="F1010" i="6"/>
  <c r="F1009" i="6"/>
  <c r="F1008" i="6"/>
  <c r="F1007" i="6"/>
  <c r="F1006" i="6"/>
  <c r="F1005" i="6"/>
  <c r="F1004" i="6"/>
  <c r="F1003" i="6"/>
  <c r="F1002" i="6"/>
  <c r="F1001" i="6"/>
  <c r="F1000" i="6"/>
  <c r="F999" i="6"/>
  <c r="F998" i="6"/>
  <c r="F997" i="6"/>
  <c r="F996" i="6"/>
  <c r="F995" i="6"/>
  <c r="F994" i="6"/>
  <c r="F993" i="6"/>
  <c r="F992" i="6"/>
  <c r="F991" i="6"/>
  <c r="F990" i="6"/>
  <c r="F989" i="6"/>
  <c r="F988" i="6"/>
  <c r="F987" i="6"/>
  <c r="F986" i="6"/>
  <c r="F985" i="6"/>
  <c r="F984" i="6"/>
  <c r="F983" i="6"/>
  <c r="F982" i="6"/>
  <c r="F981" i="6"/>
  <c r="F980" i="6"/>
  <c r="F979" i="6"/>
  <c r="F978" i="6"/>
  <c r="F977" i="6"/>
  <c r="F976" i="6"/>
  <c r="F975" i="6"/>
  <c r="F974" i="6"/>
  <c r="F973" i="6"/>
  <c r="F972" i="6"/>
  <c r="F971" i="6"/>
  <c r="F970" i="6"/>
  <c r="F969" i="6"/>
  <c r="F968" i="6"/>
  <c r="F967" i="6"/>
  <c r="F966" i="6"/>
  <c r="F965" i="6"/>
  <c r="F964" i="6"/>
  <c r="F963" i="6"/>
  <c r="F962" i="6"/>
  <c r="F961" i="6"/>
  <c r="F960" i="6"/>
  <c r="F959" i="6"/>
  <c r="F958" i="6"/>
  <c r="F957" i="6"/>
  <c r="F956" i="6"/>
  <c r="F955" i="6"/>
  <c r="F954" i="6"/>
  <c r="F953" i="6"/>
  <c r="F952" i="6"/>
  <c r="F951" i="6"/>
  <c r="F950" i="6"/>
  <c r="F949" i="6"/>
  <c r="F948" i="6"/>
  <c r="F947" i="6"/>
  <c r="F946" i="6"/>
  <c r="F945" i="6"/>
  <c r="F944" i="6"/>
  <c r="F943" i="6"/>
  <c r="F942" i="6"/>
  <c r="F941" i="6"/>
  <c r="F940" i="6"/>
  <c r="F939" i="6"/>
  <c r="F938" i="6"/>
  <c r="F937" i="6"/>
  <c r="F936" i="6"/>
  <c r="F935" i="6"/>
  <c r="F934" i="6"/>
  <c r="F933" i="6"/>
  <c r="F932" i="6"/>
  <c r="F931" i="6"/>
  <c r="F930" i="6"/>
  <c r="F929" i="6"/>
  <c r="F928" i="6"/>
  <c r="F927" i="6"/>
  <c r="F926" i="6"/>
  <c r="F925" i="6"/>
  <c r="F924" i="6"/>
  <c r="F923" i="6"/>
  <c r="F922" i="6"/>
  <c r="F921" i="6"/>
  <c r="F920" i="6"/>
  <c r="F919" i="6"/>
  <c r="F918" i="6"/>
  <c r="F917" i="6"/>
  <c r="F916" i="6"/>
  <c r="F915" i="6"/>
  <c r="F914" i="6"/>
  <c r="F913" i="6"/>
  <c r="F912" i="6"/>
  <c r="F911" i="6"/>
  <c r="F910" i="6"/>
  <c r="F909" i="6"/>
  <c r="F908" i="6"/>
  <c r="F907" i="6"/>
  <c r="F906" i="6"/>
  <c r="F905" i="6"/>
  <c r="F904" i="6"/>
  <c r="F903" i="6"/>
  <c r="F902" i="6"/>
  <c r="F901" i="6"/>
  <c r="F900" i="6"/>
  <c r="F899" i="6"/>
  <c r="F898" i="6"/>
  <c r="F897" i="6"/>
  <c r="F896" i="6"/>
  <c r="F895" i="6"/>
  <c r="F894" i="6"/>
  <c r="F893" i="6"/>
  <c r="F892" i="6"/>
  <c r="F891" i="6"/>
  <c r="F890" i="6"/>
  <c r="F889" i="6"/>
  <c r="F888" i="6"/>
  <c r="F887" i="6"/>
  <c r="F886" i="6"/>
  <c r="F885" i="6"/>
  <c r="F884" i="6"/>
  <c r="F883" i="6"/>
  <c r="F882" i="6"/>
  <c r="F881" i="6"/>
  <c r="F880" i="6"/>
  <c r="F879" i="6"/>
  <c r="F878" i="6"/>
  <c r="F877" i="6"/>
  <c r="F876" i="6"/>
  <c r="F875" i="6"/>
  <c r="F874" i="6"/>
  <c r="F873" i="6"/>
  <c r="F872" i="6"/>
  <c r="F871" i="6"/>
  <c r="F870" i="6"/>
  <c r="F869" i="6"/>
  <c r="F868" i="6"/>
  <c r="F867" i="6"/>
  <c r="F866" i="6"/>
  <c r="F865" i="6"/>
  <c r="F864" i="6"/>
  <c r="F863" i="6"/>
  <c r="F862" i="6"/>
  <c r="F861" i="6"/>
  <c r="F860" i="6"/>
  <c r="F859" i="6"/>
  <c r="F858" i="6"/>
  <c r="F857" i="6"/>
  <c r="F856" i="6"/>
  <c r="F855" i="6"/>
  <c r="F854" i="6"/>
  <c r="F853" i="6"/>
  <c r="F852" i="6"/>
  <c r="F851" i="6"/>
  <c r="F850" i="6"/>
  <c r="F849" i="6"/>
  <c r="F848" i="6"/>
  <c r="F847" i="6"/>
  <c r="F846" i="6"/>
  <c r="F845" i="6"/>
  <c r="F844" i="6"/>
  <c r="F843" i="6"/>
  <c r="F842" i="6"/>
  <c r="F841" i="6"/>
  <c r="F840" i="6"/>
  <c r="F839" i="6"/>
  <c r="F838" i="6"/>
  <c r="F837" i="6"/>
  <c r="F836" i="6"/>
  <c r="F835" i="6"/>
  <c r="F834" i="6"/>
  <c r="F833" i="6"/>
  <c r="F832" i="6"/>
  <c r="F831" i="6"/>
  <c r="F830" i="6"/>
  <c r="F829" i="6"/>
  <c r="F828" i="6"/>
  <c r="F827" i="6"/>
  <c r="F826" i="6"/>
  <c r="F825" i="6"/>
  <c r="F824" i="6"/>
  <c r="F823" i="6"/>
  <c r="F822" i="6"/>
  <c r="F821" i="6"/>
  <c r="F820" i="6"/>
  <c r="F819" i="6"/>
  <c r="F818" i="6"/>
  <c r="F817" i="6"/>
  <c r="F816" i="6"/>
  <c r="F815" i="6"/>
  <c r="F814" i="6"/>
  <c r="F813" i="6"/>
  <c r="F812" i="6"/>
  <c r="F811" i="6"/>
  <c r="F810" i="6"/>
  <c r="F809" i="6"/>
  <c r="F808" i="6"/>
  <c r="F807" i="6"/>
  <c r="F806" i="6"/>
  <c r="F805" i="6"/>
  <c r="F804" i="6"/>
  <c r="F803" i="6"/>
  <c r="F802" i="6"/>
  <c r="F801" i="6"/>
  <c r="F800" i="6"/>
  <c r="F799" i="6"/>
  <c r="F798" i="6"/>
  <c r="F797" i="6"/>
  <c r="F796" i="6"/>
  <c r="F795" i="6"/>
  <c r="F794" i="6"/>
  <c r="F793" i="6"/>
  <c r="F792" i="6"/>
  <c r="F791" i="6"/>
  <c r="F790" i="6"/>
  <c r="F789" i="6"/>
  <c r="F788" i="6"/>
  <c r="F787" i="6"/>
  <c r="F786" i="6"/>
  <c r="F785" i="6"/>
  <c r="F784" i="6"/>
  <c r="F783" i="6"/>
  <c r="F782" i="6"/>
  <c r="F781" i="6"/>
  <c r="F780" i="6"/>
  <c r="F779" i="6"/>
  <c r="F778" i="6"/>
  <c r="F777" i="6"/>
  <c r="F776" i="6"/>
  <c r="F775" i="6"/>
  <c r="F774" i="6"/>
  <c r="F773" i="6"/>
  <c r="F772" i="6"/>
  <c r="F771" i="6"/>
  <c r="F770" i="6"/>
  <c r="F769" i="6"/>
  <c r="F768" i="6"/>
  <c r="F767" i="6"/>
  <c r="F766" i="6"/>
  <c r="F765" i="6"/>
  <c r="F764" i="6"/>
  <c r="F763" i="6"/>
  <c r="F762" i="6"/>
  <c r="F761" i="6"/>
  <c r="F760" i="6"/>
  <c r="F759" i="6"/>
  <c r="F758" i="6"/>
  <c r="F757" i="6"/>
  <c r="F756" i="6"/>
  <c r="F755" i="6"/>
  <c r="F754" i="6"/>
  <c r="F753" i="6"/>
  <c r="F752" i="6"/>
  <c r="F751" i="6"/>
  <c r="F750" i="6"/>
  <c r="F749" i="6"/>
  <c r="F748" i="6"/>
  <c r="F747" i="6"/>
  <c r="F746" i="6"/>
  <c r="F745" i="6"/>
  <c r="F744" i="6"/>
  <c r="F743" i="6"/>
  <c r="F742" i="6"/>
  <c r="F741" i="6"/>
  <c r="F740" i="6"/>
  <c r="F739" i="6"/>
  <c r="F738" i="6"/>
  <c r="F737" i="6"/>
  <c r="F736" i="6"/>
  <c r="F735" i="6"/>
  <c r="F734" i="6"/>
  <c r="F733" i="6"/>
  <c r="F732" i="6"/>
  <c r="F731" i="6"/>
  <c r="F730" i="6"/>
  <c r="F729" i="6"/>
  <c r="F728" i="6"/>
  <c r="F727" i="6"/>
  <c r="F726" i="6"/>
  <c r="F725" i="6"/>
  <c r="F724" i="6"/>
  <c r="F723" i="6"/>
  <c r="F722" i="6"/>
  <c r="F721" i="6"/>
  <c r="F720" i="6"/>
  <c r="F719" i="6"/>
  <c r="F718" i="6"/>
  <c r="F717" i="6"/>
  <c r="F716" i="6"/>
  <c r="F715" i="6"/>
  <c r="F714" i="6"/>
  <c r="F713" i="6"/>
  <c r="F712" i="6"/>
  <c r="F711" i="6"/>
  <c r="F710" i="6"/>
  <c r="F709" i="6"/>
  <c r="F708" i="6"/>
  <c r="F707" i="6"/>
  <c r="F706" i="6"/>
  <c r="F705" i="6"/>
  <c r="F704" i="6"/>
  <c r="F703" i="6"/>
  <c r="F702" i="6"/>
  <c r="F701" i="6"/>
  <c r="F700" i="6"/>
  <c r="F699" i="6"/>
  <c r="F698" i="6"/>
  <c r="F697" i="6"/>
  <c r="F696" i="6"/>
  <c r="F695" i="6"/>
  <c r="F694" i="6"/>
  <c r="F693" i="6"/>
  <c r="F692" i="6"/>
  <c r="F691" i="6"/>
  <c r="F690" i="6"/>
  <c r="F689" i="6"/>
  <c r="F688" i="6"/>
  <c r="F687" i="6"/>
  <c r="F686" i="6"/>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6" i="6"/>
  <c r="F605" i="6"/>
  <c r="F604" i="6"/>
  <c r="F603" i="6"/>
  <c r="F602" i="6"/>
  <c r="F601" i="6"/>
  <c r="F600" i="6"/>
  <c r="F599" i="6"/>
  <c r="F598" i="6"/>
  <c r="F597" i="6"/>
  <c r="F596" i="6"/>
  <c r="F595" i="6"/>
  <c r="F594" i="6"/>
  <c r="F593" i="6"/>
  <c r="F592" i="6"/>
  <c r="F591" i="6"/>
  <c r="F590" i="6"/>
  <c r="F589" i="6"/>
  <c r="F588" i="6"/>
  <c r="F587" i="6"/>
  <c r="F586" i="6"/>
  <c r="F585" i="6"/>
  <c r="F584" i="6"/>
  <c r="F583" i="6"/>
  <c r="F582" i="6"/>
  <c r="F581" i="6"/>
  <c r="F580" i="6"/>
  <c r="F579" i="6"/>
  <c r="F578" i="6"/>
  <c r="F577" i="6"/>
  <c r="F576" i="6"/>
  <c r="F575" i="6"/>
  <c r="F574" i="6"/>
  <c r="F573" i="6"/>
  <c r="F572" i="6"/>
  <c r="F571" i="6"/>
  <c r="F570" i="6"/>
  <c r="F569" i="6"/>
  <c r="F568" i="6"/>
  <c r="F567" i="6"/>
  <c r="F566" i="6"/>
  <c r="F565" i="6"/>
  <c r="F564" i="6"/>
  <c r="F563" i="6"/>
  <c r="F562" i="6"/>
  <c r="F561" i="6"/>
  <c r="F560" i="6"/>
  <c r="F559" i="6"/>
  <c r="F558" i="6"/>
  <c r="F557" i="6"/>
  <c r="F556" i="6"/>
  <c r="F555" i="6"/>
  <c r="F554" i="6"/>
  <c r="F553" i="6"/>
  <c r="F552" i="6"/>
  <c r="F551" i="6"/>
  <c r="F550" i="6"/>
  <c r="F549" i="6"/>
  <c r="F548" i="6"/>
  <c r="F547" i="6"/>
  <c r="F546" i="6"/>
  <c r="F545" i="6"/>
  <c r="F544" i="6"/>
  <c r="F543" i="6"/>
  <c r="F542" i="6"/>
  <c r="F541" i="6"/>
  <c r="F540" i="6"/>
  <c r="F539" i="6"/>
  <c r="F538" i="6"/>
  <c r="F537" i="6"/>
  <c r="F536" i="6"/>
  <c r="F535" i="6"/>
  <c r="F534" i="6"/>
  <c r="F533" i="6"/>
  <c r="F532" i="6"/>
  <c r="F531" i="6"/>
  <c r="F530" i="6"/>
  <c r="F529" i="6"/>
  <c r="F528" i="6"/>
  <c r="F527" i="6"/>
  <c r="F526" i="6"/>
  <c r="F525" i="6"/>
  <c r="F524" i="6"/>
  <c r="F523" i="6"/>
  <c r="F522" i="6"/>
  <c r="F521" i="6"/>
  <c r="F520" i="6"/>
  <c r="F519" i="6"/>
  <c r="F518" i="6"/>
  <c r="F517" i="6"/>
  <c r="F516" i="6"/>
  <c r="F515" i="6"/>
  <c r="F514" i="6"/>
  <c r="F513" i="6"/>
  <c r="F512" i="6"/>
  <c r="F511" i="6"/>
  <c r="F510" i="6"/>
  <c r="F509" i="6"/>
  <c r="F508" i="6"/>
  <c r="F507" i="6"/>
  <c r="F506" i="6"/>
  <c r="F505" i="6"/>
  <c r="F504" i="6"/>
  <c r="F503" i="6"/>
  <c r="F502" i="6"/>
  <c r="F501" i="6"/>
  <c r="F500" i="6"/>
  <c r="F499" i="6"/>
  <c r="F498" i="6"/>
  <c r="F497" i="6"/>
  <c r="F496" i="6"/>
  <c r="F495" i="6"/>
  <c r="F494" i="6"/>
  <c r="F493" i="6"/>
  <c r="F492" i="6"/>
  <c r="F491" i="6"/>
  <c r="F490" i="6"/>
  <c r="F489" i="6"/>
  <c r="F488" i="6"/>
  <c r="F487" i="6"/>
  <c r="F486" i="6"/>
  <c r="F485" i="6"/>
  <c r="F484" i="6"/>
  <c r="F483" i="6"/>
  <c r="F482" i="6"/>
  <c r="F481" i="6"/>
  <c r="F480" i="6"/>
  <c r="F479" i="6"/>
  <c r="F478" i="6"/>
  <c r="F477" i="6"/>
  <c r="F476" i="6"/>
  <c r="F475" i="6"/>
  <c r="F474" i="6"/>
  <c r="F473" i="6"/>
  <c r="F472" i="6"/>
  <c r="F471" i="6"/>
  <c r="F470" i="6"/>
  <c r="F469" i="6"/>
  <c r="F468" i="6"/>
  <c r="F467" i="6"/>
  <c r="F466" i="6"/>
  <c r="F465" i="6"/>
  <c r="F464" i="6"/>
  <c r="F463" i="6"/>
  <c r="F462" i="6"/>
  <c r="F461" i="6"/>
  <c r="F460" i="6"/>
  <c r="F459" i="6"/>
  <c r="F458" i="6"/>
  <c r="F457" i="6"/>
  <c r="F456" i="6"/>
  <c r="F455" i="6"/>
  <c r="F454" i="6"/>
  <c r="F453" i="6"/>
  <c r="F452" i="6"/>
  <c r="F451" i="6"/>
  <c r="F450" i="6"/>
  <c r="F449" i="6"/>
  <c r="F448" i="6"/>
  <c r="F447" i="6"/>
  <c r="F446" i="6"/>
  <c r="F445" i="6"/>
  <c r="F444" i="6"/>
  <c r="F443" i="6"/>
  <c r="F442" i="6"/>
  <c r="F441" i="6"/>
  <c r="F440" i="6"/>
  <c r="F439" i="6"/>
  <c r="F438" i="6"/>
  <c r="F437" i="6"/>
  <c r="F436" i="6"/>
  <c r="F435" i="6"/>
  <c r="F434" i="6"/>
  <c r="F433" i="6"/>
  <c r="F432" i="6"/>
  <c r="F431" i="6"/>
  <c r="F430" i="6"/>
  <c r="F429" i="6"/>
  <c r="F428" i="6"/>
  <c r="F427" i="6"/>
  <c r="F426" i="6"/>
  <c r="F425" i="6"/>
  <c r="F424" i="6"/>
  <c r="F423" i="6"/>
  <c r="F422" i="6"/>
  <c r="F421" i="6"/>
  <c r="F420" i="6"/>
  <c r="F419" i="6"/>
  <c r="F418" i="6"/>
  <c r="F417" i="6"/>
  <c r="F416" i="6"/>
  <c r="F415" i="6"/>
  <c r="F414" i="6"/>
  <c r="F413" i="6"/>
  <c r="F412" i="6"/>
  <c r="F411" i="6"/>
  <c r="F410" i="6"/>
  <c r="F409" i="6"/>
  <c r="F408" i="6"/>
  <c r="F407" i="6"/>
  <c r="F406" i="6"/>
  <c r="F405" i="6"/>
  <c r="F404" i="6"/>
  <c r="F403" i="6"/>
  <c r="F402" i="6"/>
  <c r="F401" i="6"/>
  <c r="F400" i="6"/>
  <c r="F399" i="6"/>
  <c r="F398" i="6"/>
  <c r="F397" i="6"/>
  <c r="F396" i="6"/>
  <c r="F395" i="6"/>
  <c r="F394" i="6"/>
  <c r="F393" i="6"/>
  <c r="F392" i="6"/>
  <c r="F391" i="6"/>
  <c r="F390" i="6"/>
  <c r="F389" i="6"/>
  <c r="F388" i="6"/>
  <c r="F387" i="6"/>
  <c r="F386" i="6"/>
  <c r="F385" i="6"/>
  <c r="F384" i="6"/>
  <c r="F383" i="6"/>
  <c r="F382" i="6"/>
  <c r="F381" i="6"/>
  <c r="F380" i="6"/>
  <c r="F379" i="6"/>
  <c r="F378" i="6"/>
  <c r="F377" i="6"/>
  <c r="F376" i="6"/>
  <c r="F375" i="6"/>
  <c r="F374" i="6"/>
  <c r="F373" i="6"/>
  <c r="F372" i="6"/>
  <c r="F371" i="6"/>
  <c r="F370" i="6"/>
  <c r="F369" i="6"/>
  <c r="F368" i="6"/>
  <c r="F367" i="6"/>
  <c r="F366" i="6"/>
  <c r="F365" i="6"/>
  <c r="F364" i="6"/>
  <c r="F363" i="6"/>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1217" i="4"/>
  <c r="F1216" i="4"/>
  <c r="F1215" i="4"/>
  <c r="F1214" i="4"/>
  <c r="F1213" i="4"/>
  <c r="F1212" i="4"/>
  <c r="F1211" i="4"/>
  <c r="F1210" i="4"/>
  <c r="F1209" i="4"/>
  <c r="F1208" i="4"/>
  <c r="F1207" i="4"/>
  <c r="F1206" i="4"/>
  <c r="F1205" i="4"/>
  <c r="F1204" i="4"/>
  <c r="F1203" i="4"/>
  <c r="F1202" i="4"/>
  <c r="F1201" i="4"/>
  <c r="F1200" i="4"/>
  <c r="F1199" i="4"/>
  <c r="F1198" i="4"/>
  <c r="F1197" i="4"/>
  <c r="F1196" i="4"/>
  <c r="F1195" i="4"/>
  <c r="F1194" i="4"/>
  <c r="F1193" i="4"/>
  <c r="F1192" i="4"/>
  <c r="F1191" i="4"/>
  <c r="F1190" i="4"/>
  <c r="F1189" i="4"/>
  <c r="F1188" i="4"/>
  <c r="F1187" i="4"/>
  <c r="F1186" i="4"/>
  <c r="F1185" i="4"/>
  <c r="F1184" i="4"/>
  <c r="F1183" i="4"/>
  <c r="F1182" i="4"/>
  <c r="F1181" i="4"/>
  <c r="F1180" i="4"/>
  <c r="F1179" i="4"/>
  <c r="F1178" i="4"/>
  <c r="F1177" i="4"/>
  <c r="F1176" i="4"/>
  <c r="F1175" i="4"/>
  <c r="F1174" i="4"/>
  <c r="F1173" i="4"/>
  <c r="F1172" i="4"/>
  <c r="F1171" i="4"/>
  <c r="F1170" i="4"/>
  <c r="F1169" i="4"/>
  <c r="F1168" i="4"/>
  <c r="F1167" i="4"/>
  <c r="F1166" i="4"/>
  <c r="F1165" i="4"/>
  <c r="F1164" i="4"/>
  <c r="F1163" i="4"/>
  <c r="F1162" i="4"/>
  <c r="F1161" i="4"/>
  <c r="F1160" i="4"/>
  <c r="F1159" i="4"/>
  <c r="F1158" i="4"/>
  <c r="F1157" i="4"/>
  <c r="F1156" i="4"/>
  <c r="F1155" i="4"/>
  <c r="F1154" i="4"/>
  <c r="F1153" i="4"/>
  <c r="F1152" i="4"/>
  <c r="F1151" i="4"/>
  <c r="F1150" i="4"/>
  <c r="F1149" i="4"/>
  <c r="F1148" i="4"/>
  <c r="F1147" i="4"/>
  <c r="F1146" i="4"/>
  <c r="F1145" i="4"/>
  <c r="F1144" i="4"/>
  <c r="F1143" i="4"/>
  <c r="F1142" i="4"/>
  <c r="F1141" i="4"/>
  <c r="F1140" i="4"/>
  <c r="F1139" i="4"/>
  <c r="F1138" i="4"/>
  <c r="F1137" i="4"/>
  <c r="F1136" i="4"/>
  <c r="F1135" i="4"/>
  <c r="F1134" i="4"/>
  <c r="F1133" i="4"/>
  <c r="F1132" i="4"/>
  <c r="F1131" i="4"/>
  <c r="F1130" i="4"/>
  <c r="F1129" i="4"/>
  <c r="F1128" i="4"/>
  <c r="F1127" i="4"/>
  <c r="F1126" i="4"/>
  <c r="F1125" i="4"/>
  <c r="F1124" i="4"/>
  <c r="F1123" i="4"/>
  <c r="F1122" i="4"/>
  <c r="F1121" i="4"/>
  <c r="F1120" i="4"/>
  <c r="F1119" i="4"/>
  <c r="F1118" i="4"/>
  <c r="F1117" i="4"/>
  <c r="F1116" i="4"/>
  <c r="F1115" i="4"/>
  <c r="F1114" i="4"/>
  <c r="F1113" i="4"/>
  <c r="F1112" i="4"/>
  <c r="F1111" i="4"/>
  <c r="F1110" i="4"/>
  <c r="F1109" i="4"/>
  <c r="F1108" i="4"/>
  <c r="F1107" i="4"/>
  <c r="F1106" i="4"/>
  <c r="F1105" i="4"/>
  <c r="F1104" i="4"/>
  <c r="F1103" i="4"/>
  <c r="F1102" i="4"/>
  <c r="F1101" i="4"/>
  <c r="F1100" i="4"/>
  <c r="F1099" i="4"/>
  <c r="F1098" i="4"/>
  <c r="F1097" i="4"/>
  <c r="F1096" i="4"/>
  <c r="F1095" i="4"/>
  <c r="F1094" i="4"/>
  <c r="F1093" i="4"/>
  <c r="F1092" i="4"/>
  <c r="F1091" i="4"/>
  <c r="F1090" i="4"/>
  <c r="F1089" i="4"/>
  <c r="F1088" i="4"/>
  <c r="F1087" i="4"/>
  <c r="F1086" i="4"/>
  <c r="F1085" i="4"/>
  <c r="F1084" i="4"/>
  <c r="F1083" i="4"/>
  <c r="F1082" i="4"/>
  <c r="F1081" i="4"/>
  <c r="F1080" i="4"/>
  <c r="F1079" i="4"/>
  <c r="F1078" i="4"/>
  <c r="F1077" i="4"/>
  <c r="F1076" i="4"/>
  <c r="F1075" i="4"/>
  <c r="F1074" i="4"/>
  <c r="F1073" i="4"/>
  <c r="F1072" i="4"/>
  <c r="F1071" i="4"/>
  <c r="F1070" i="4"/>
  <c r="F1069" i="4"/>
  <c r="F1068" i="4"/>
  <c r="F1067" i="4"/>
  <c r="F1066" i="4"/>
  <c r="F1065" i="4"/>
  <c r="F1064" i="4"/>
  <c r="F1063" i="4"/>
  <c r="F1062" i="4"/>
  <c r="F1061" i="4"/>
  <c r="F1060" i="4"/>
  <c r="F1059" i="4"/>
  <c r="F1058" i="4"/>
  <c r="F1057" i="4"/>
  <c r="F1056" i="4"/>
  <c r="F1055" i="4"/>
  <c r="F1054" i="4"/>
  <c r="F1053" i="4"/>
  <c r="F1052" i="4"/>
  <c r="F1051" i="4"/>
  <c r="F1050" i="4"/>
  <c r="F1049" i="4"/>
  <c r="F1048" i="4"/>
  <c r="F1047" i="4"/>
  <c r="F1046" i="4"/>
  <c r="F1045" i="4"/>
  <c r="F1044" i="4"/>
  <c r="F1043" i="4"/>
  <c r="F1042" i="4"/>
  <c r="F1041" i="4"/>
  <c r="F1040" i="4"/>
  <c r="F1039" i="4"/>
  <c r="F1038" i="4"/>
  <c r="F1037" i="4"/>
  <c r="F1036" i="4"/>
  <c r="F1035" i="4"/>
  <c r="F1034" i="4"/>
  <c r="F1033" i="4"/>
  <c r="F1032" i="4"/>
  <c r="F1031" i="4"/>
  <c r="F1030" i="4"/>
  <c r="F1029" i="4"/>
  <c r="F1028" i="4"/>
  <c r="F1027" i="4"/>
  <c r="F1026" i="4"/>
  <c r="F1025" i="4"/>
  <c r="F1024" i="4"/>
  <c r="F1023" i="4"/>
  <c r="F1022" i="4"/>
  <c r="F1021" i="4"/>
  <c r="F1020" i="4"/>
  <c r="F1019" i="4"/>
  <c r="F1018" i="4"/>
  <c r="F1017" i="4"/>
  <c r="F1016" i="4"/>
  <c r="F1015" i="4"/>
  <c r="F1014" i="4"/>
  <c r="F1013" i="4"/>
  <c r="F1012" i="4"/>
  <c r="F1011" i="4"/>
  <c r="F1010" i="4"/>
  <c r="F1009" i="4"/>
  <c r="F1008" i="4"/>
  <c r="F1007" i="4"/>
  <c r="F1006" i="4"/>
  <c r="F1005" i="4"/>
  <c r="F1004" i="4"/>
  <c r="F1003" i="4"/>
  <c r="F1002" i="4"/>
  <c r="F1001" i="4"/>
  <c r="F1000" i="4"/>
  <c r="F999" i="4"/>
  <c r="F998" i="4"/>
  <c r="F997" i="4"/>
  <c r="F996" i="4"/>
  <c r="F995" i="4"/>
  <c r="F994" i="4"/>
  <c r="F993" i="4"/>
  <c r="F992" i="4"/>
  <c r="F991" i="4"/>
  <c r="F990" i="4"/>
  <c r="F989" i="4"/>
  <c r="F988" i="4"/>
  <c r="F987" i="4"/>
  <c r="F986" i="4"/>
  <c r="F985" i="4"/>
  <c r="F984" i="4"/>
  <c r="F983" i="4"/>
  <c r="F982" i="4"/>
  <c r="F981" i="4"/>
  <c r="F980" i="4"/>
  <c r="F979" i="4"/>
  <c r="F978" i="4"/>
  <c r="F977" i="4"/>
  <c r="F976" i="4"/>
  <c r="F975" i="4"/>
  <c r="F974" i="4"/>
  <c r="F973" i="4"/>
  <c r="F972" i="4"/>
  <c r="F971" i="4"/>
  <c r="F970" i="4"/>
  <c r="F969" i="4"/>
  <c r="F968" i="4"/>
  <c r="F967" i="4"/>
  <c r="F966" i="4"/>
  <c r="F965" i="4"/>
  <c r="F964" i="4"/>
  <c r="F963" i="4"/>
  <c r="F962" i="4"/>
  <c r="F961" i="4"/>
  <c r="F960" i="4"/>
  <c r="F959" i="4"/>
  <c r="F958" i="4"/>
  <c r="F957" i="4"/>
  <c r="F956" i="4"/>
  <c r="F955" i="4"/>
  <c r="F954" i="4"/>
  <c r="F953" i="4"/>
  <c r="F952" i="4"/>
  <c r="F951" i="4"/>
  <c r="F950" i="4"/>
  <c r="F949" i="4"/>
  <c r="F948" i="4"/>
  <c r="F947" i="4"/>
  <c r="F946" i="4"/>
  <c r="F945" i="4"/>
  <c r="F944" i="4"/>
  <c r="F943" i="4"/>
  <c r="F942" i="4"/>
  <c r="F941" i="4"/>
  <c r="F940" i="4"/>
  <c r="F939" i="4"/>
  <c r="F938" i="4"/>
  <c r="F937" i="4"/>
  <c r="F936" i="4"/>
  <c r="F935" i="4"/>
  <c r="F934" i="4"/>
  <c r="F933" i="4"/>
  <c r="F932" i="4"/>
  <c r="F931" i="4"/>
  <c r="F930" i="4"/>
  <c r="F929" i="4"/>
  <c r="F928" i="4"/>
  <c r="F927" i="4"/>
  <c r="F926" i="4"/>
  <c r="F925" i="4"/>
  <c r="F924" i="4"/>
  <c r="F923" i="4"/>
  <c r="F922" i="4"/>
  <c r="F921" i="4"/>
  <c r="F920" i="4"/>
  <c r="F919" i="4"/>
  <c r="F918" i="4"/>
  <c r="F917" i="4"/>
  <c r="F916" i="4"/>
  <c r="F915" i="4"/>
  <c r="F914" i="4"/>
  <c r="F913" i="4"/>
  <c r="F912" i="4"/>
  <c r="F911" i="4"/>
  <c r="F910" i="4"/>
  <c r="F909" i="4"/>
  <c r="F908" i="4"/>
  <c r="F907" i="4"/>
  <c r="F906" i="4"/>
  <c r="F905" i="4"/>
  <c r="F904" i="4"/>
  <c r="F903" i="4"/>
  <c r="F902" i="4"/>
  <c r="F901" i="4"/>
  <c r="F900" i="4"/>
  <c r="F899" i="4"/>
  <c r="F898" i="4"/>
  <c r="F897" i="4"/>
  <c r="F896" i="4"/>
  <c r="F895" i="4"/>
  <c r="F894" i="4"/>
  <c r="F893" i="4"/>
  <c r="F892" i="4"/>
  <c r="F891" i="4"/>
  <c r="F890" i="4"/>
  <c r="F889" i="4"/>
  <c r="F888" i="4"/>
  <c r="F887" i="4"/>
  <c r="F886" i="4"/>
  <c r="F885" i="4"/>
  <c r="F884" i="4"/>
  <c r="F883" i="4"/>
  <c r="F882" i="4"/>
  <c r="F881" i="4"/>
  <c r="F880" i="4"/>
  <c r="F879" i="4"/>
  <c r="F878" i="4"/>
  <c r="F877" i="4"/>
  <c r="F876" i="4"/>
  <c r="F875" i="4"/>
  <c r="F874" i="4"/>
  <c r="F873" i="4"/>
  <c r="F872" i="4"/>
  <c r="F871" i="4"/>
  <c r="F870" i="4"/>
  <c r="F869" i="4"/>
  <c r="F868" i="4"/>
  <c r="F867" i="4"/>
  <c r="F866" i="4"/>
  <c r="F865" i="4"/>
  <c r="F864" i="4"/>
  <c r="F863" i="4"/>
  <c r="F862" i="4"/>
  <c r="F861" i="4"/>
  <c r="F860" i="4"/>
  <c r="F859" i="4"/>
  <c r="F858" i="4"/>
  <c r="F857" i="4"/>
  <c r="F856" i="4"/>
  <c r="F855" i="4"/>
  <c r="F854" i="4"/>
  <c r="F853" i="4"/>
  <c r="F852" i="4"/>
  <c r="F851" i="4"/>
  <c r="F850" i="4"/>
  <c r="F849" i="4"/>
  <c r="F848" i="4"/>
  <c r="F847" i="4"/>
  <c r="F846" i="4"/>
  <c r="F845" i="4"/>
  <c r="F844" i="4"/>
  <c r="F843" i="4"/>
  <c r="F842" i="4"/>
  <c r="F841" i="4"/>
  <c r="F840" i="4"/>
  <c r="F839" i="4"/>
  <c r="F838" i="4"/>
  <c r="F837" i="4"/>
  <c r="F836" i="4"/>
  <c r="F835" i="4"/>
  <c r="F834" i="4"/>
  <c r="F833" i="4"/>
  <c r="F832" i="4"/>
  <c r="F831" i="4"/>
  <c r="F830" i="4"/>
  <c r="F829" i="4"/>
  <c r="F828" i="4"/>
  <c r="F827" i="4"/>
  <c r="F826" i="4"/>
  <c r="F825" i="4"/>
  <c r="F824" i="4"/>
  <c r="F823" i="4"/>
  <c r="F822" i="4"/>
  <c r="F821" i="4"/>
  <c r="F820" i="4"/>
  <c r="F819" i="4"/>
  <c r="F818" i="4"/>
  <c r="F817" i="4"/>
  <c r="F816" i="4"/>
  <c r="F815" i="4"/>
  <c r="F814" i="4"/>
  <c r="F813" i="4"/>
  <c r="F812" i="4"/>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K63" i="3"/>
  <c r="L63" i="3" s="1"/>
  <c r="H63" i="3"/>
  <c r="I63" i="3" s="1"/>
  <c r="E63" i="3"/>
  <c r="F63" i="3" s="1"/>
  <c r="B63" i="3"/>
  <c r="C63" i="3" s="1"/>
  <c r="K62" i="3"/>
  <c r="L62" i="3" s="1"/>
  <c r="H62" i="3"/>
  <c r="I62" i="3" s="1"/>
  <c r="E62" i="3"/>
  <c r="F62" i="3" s="1"/>
  <c r="B62" i="3"/>
  <c r="C62" i="3" s="1"/>
  <c r="K61" i="3"/>
  <c r="L61" i="3" s="1"/>
  <c r="H61" i="3"/>
  <c r="I61" i="3" s="1"/>
  <c r="E61" i="3"/>
  <c r="F61" i="3" s="1"/>
  <c r="G61" i="3" s="1"/>
  <c r="B61" i="3"/>
  <c r="C61" i="3" s="1"/>
  <c r="D61" i="3" s="1"/>
  <c r="K60" i="3"/>
  <c r="L60" i="3" s="1"/>
  <c r="M60" i="3" s="1"/>
  <c r="H60" i="3"/>
  <c r="I60" i="3" s="1"/>
  <c r="E60" i="3"/>
  <c r="F60" i="3" s="1"/>
  <c r="B60" i="3"/>
  <c r="C60" i="3" s="1"/>
  <c r="K59" i="3"/>
  <c r="L59" i="3" s="1"/>
  <c r="H59" i="3"/>
  <c r="I59" i="3" s="1"/>
  <c r="E59" i="3"/>
  <c r="F59" i="3" s="1"/>
  <c r="B59" i="3"/>
  <c r="C59" i="3" s="1"/>
  <c r="K58" i="3"/>
  <c r="L58" i="3" s="1"/>
  <c r="H58" i="3"/>
  <c r="I58" i="3" s="1"/>
  <c r="E58" i="3"/>
  <c r="F58" i="3" s="1"/>
  <c r="B58" i="3"/>
  <c r="C58" i="3" s="1"/>
  <c r="K57" i="3"/>
  <c r="L57" i="3" s="1"/>
  <c r="H57" i="3"/>
  <c r="I57" i="3" s="1"/>
  <c r="E57" i="3"/>
  <c r="F57" i="3" s="1"/>
  <c r="B57" i="3"/>
  <c r="C57" i="3" s="1"/>
  <c r="K56" i="3"/>
  <c r="L56" i="3" s="1"/>
  <c r="H56" i="3"/>
  <c r="I56" i="3" s="1"/>
  <c r="E56" i="3"/>
  <c r="F56" i="3" s="1"/>
  <c r="B56" i="3"/>
  <c r="C56" i="3" s="1"/>
  <c r="K55" i="3"/>
  <c r="L55" i="3" s="1"/>
  <c r="H55" i="3"/>
  <c r="I55" i="3" s="1"/>
  <c r="E55" i="3"/>
  <c r="F55" i="3" s="1"/>
  <c r="B55" i="3"/>
  <c r="C55" i="3" s="1"/>
  <c r="K54" i="3"/>
  <c r="L54" i="3" s="1"/>
  <c r="H54" i="3"/>
  <c r="I54" i="3" s="1"/>
  <c r="E54" i="3"/>
  <c r="F54" i="3" s="1"/>
  <c r="B54" i="3"/>
  <c r="C54" i="3" s="1"/>
  <c r="K53" i="3"/>
  <c r="L53" i="3" s="1"/>
  <c r="H53" i="3"/>
  <c r="I53" i="3" s="1"/>
  <c r="E53" i="3"/>
  <c r="F53" i="3" s="1"/>
  <c r="B53" i="3"/>
  <c r="C53" i="3" s="1"/>
  <c r="K52" i="3"/>
  <c r="L52" i="3" s="1"/>
  <c r="H52" i="3"/>
  <c r="I52" i="3" s="1"/>
  <c r="E52" i="3"/>
  <c r="F52" i="3" s="1"/>
  <c r="B52" i="3"/>
  <c r="C52" i="3" s="1"/>
  <c r="K51" i="3"/>
  <c r="L51" i="3" s="1"/>
  <c r="H51" i="3"/>
  <c r="I51" i="3" s="1"/>
  <c r="E51" i="3"/>
  <c r="F51" i="3" s="1"/>
  <c r="B51" i="3"/>
  <c r="C51" i="3" s="1"/>
  <c r="K50" i="3"/>
  <c r="L50" i="3" s="1"/>
  <c r="H50" i="3"/>
  <c r="I50" i="3" s="1"/>
  <c r="E50" i="3"/>
  <c r="F50" i="3" s="1"/>
  <c r="B50" i="3"/>
  <c r="C50" i="3" s="1"/>
  <c r="K49" i="3"/>
  <c r="L49" i="3" s="1"/>
  <c r="H49" i="3"/>
  <c r="I49" i="3" s="1"/>
  <c r="E49" i="3"/>
  <c r="F49" i="3" s="1"/>
  <c r="B49" i="3"/>
  <c r="C49" i="3" s="1"/>
  <c r="K48" i="3"/>
  <c r="L48" i="3" s="1"/>
  <c r="H48" i="3"/>
  <c r="I48" i="3" s="1"/>
  <c r="E48" i="3"/>
  <c r="F48" i="3" s="1"/>
  <c r="B48" i="3"/>
  <c r="C48" i="3" s="1"/>
  <c r="K47" i="3"/>
  <c r="L47" i="3" s="1"/>
  <c r="H47" i="3"/>
  <c r="I47" i="3" s="1"/>
  <c r="E47" i="3"/>
  <c r="F47" i="3" s="1"/>
  <c r="B47" i="3"/>
  <c r="C47" i="3" s="1"/>
  <c r="K46" i="3"/>
  <c r="L46" i="3" s="1"/>
  <c r="H46" i="3"/>
  <c r="I46" i="3" s="1"/>
  <c r="E46" i="3"/>
  <c r="F46" i="3" s="1"/>
  <c r="B46" i="3"/>
  <c r="C46" i="3" s="1"/>
  <c r="K45" i="3"/>
  <c r="L45" i="3" s="1"/>
  <c r="H45" i="3"/>
  <c r="I45" i="3" s="1"/>
  <c r="E45" i="3"/>
  <c r="F45" i="3" s="1"/>
  <c r="B45" i="3"/>
  <c r="C45" i="3" s="1"/>
  <c r="K44" i="3"/>
  <c r="L44" i="3" s="1"/>
  <c r="H44" i="3"/>
  <c r="I44" i="3" s="1"/>
  <c r="E44" i="3"/>
  <c r="F44" i="3" s="1"/>
  <c r="B44" i="3"/>
  <c r="C44" i="3" s="1"/>
  <c r="K43" i="3"/>
  <c r="L43" i="3" s="1"/>
  <c r="H43" i="3"/>
  <c r="I43" i="3" s="1"/>
  <c r="E43" i="3"/>
  <c r="F43" i="3" s="1"/>
  <c r="B43" i="3"/>
  <c r="C43" i="3" s="1"/>
  <c r="K42" i="3"/>
  <c r="L42" i="3" s="1"/>
  <c r="H42" i="3"/>
  <c r="I42" i="3" s="1"/>
  <c r="E42" i="3"/>
  <c r="F42" i="3" s="1"/>
  <c r="B42" i="3"/>
  <c r="C42" i="3" s="1"/>
  <c r="K41" i="3"/>
  <c r="L41" i="3" s="1"/>
  <c r="H41" i="3"/>
  <c r="I41" i="3" s="1"/>
  <c r="E41" i="3"/>
  <c r="F41" i="3" s="1"/>
  <c r="B41" i="3"/>
  <c r="C41" i="3" s="1"/>
  <c r="K40" i="3"/>
  <c r="L40" i="3" s="1"/>
  <c r="H40" i="3"/>
  <c r="I40" i="3" s="1"/>
  <c r="E40" i="3"/>
  <c r="F40" i="3" s="1"/>
  <c r="B40" i="3"/>
  <c r="C40" i="3" s="1"/>
  <c r="K39" i="3"/>
  <c r="L39" i="3" s="1"/>
  <c r="H39" i="3"/>
  <c r="I39" i="3" s="1"/>
  <c r="E39" i="3"/>
  <c r="F39" i="3" s="1"/>
  <c r="B39" i="3"/>
  <c r="C39" i="3" s="1"/>
  <c r="K38" i="3"/>
  <c r="L38" i="3" s="1"/>
  <c r="H38" i="3"/>
  <c r="I38" i="3" s="1"/>
  <c r="E38" i="3"/>
  <c r="F38" i="3" s="1"/>
  <c r="B38" i="3"/>
  <c r="C38" i="3" s="1"/>
  <c r="K37" i="3"/>
  <c r="L37" i="3" s="1"/>
  <c r="H37" i="3"/>
  <c r="I37" i="3" s="1"/>
  <c r="E37" i="3"/>
  <c r="F37" i="3" s="1"/>
  <c r="B37" i="3"/>
  <c r="C37" i="3" s="1"/>
  <c r="K36" i="3"/>
  <c r="L36" i="3" s="1"/>
  <c r="H36" i="3"/>
  <c r="I36" i="3" s="1"/>
  <c r="E36" i="3"/>
  <c r="F36" i="3" s="1"/>
  <c r="B36" i="3"/>
  <c r="C36" i="3" s="1"/>
  <c r="K35" i="3"/>
  <c r="L35" i="3" s="1"/>
  <c r="H35" i="3"/>
  <c r="I35" i="3" s="1"/>
  <c r="E35" i="3"/>
  <c r="F35" i="3" s="1"/>
  <c r="B35" i="3"/>
  <c r="C35" i="3" s="1"/>
  <c r="K34" i="3"/>
  <c r="L34" i="3" s="1"/>
  <c r="H34" i="3"/>
  <c r="I34" i="3" s="1"/>
  <c r="E34" i="3"/>
  <c r="F34" i="3" s="1"/>
  <c r="B34" i="3"/>
  <c r="C34" i="3" s="1"/>
  <c r="K33" i="3"/>
  <c r="L33" i="3" s="1"/>
  <c r="H33" i="3"/>
  <c r="I33" i="3" s="1"/>
  <c r="E33" i="3"/>
  <c r="F33" i="3" s="1"/>
  <c r="B33" i="3"/>
  <c r="C33" i="3" s="1"/>
  <c r="K32" i="3"/>
  <c r="L32" i="3" s="1"/>
  <c r="H32" i="3"/>
  <c r="I32" i="3" s="1"/>
  <c r="E32" i="3"/>
  <c r="F32" i="3" s="1"/>
  <c r="B32" i="3"/>
  <c r="C32" i="3" s="1"/>
  <c r="K31" i="3"/>
  <c r="L31" i="3" s="1"/>
  <c r="H31" i="3"/>
  <c r="I31" i="3" s="1"/>
  <c r="E31" i="3"/>
  <c r="F31" i="3" s="1"/>
  <c r="B31" i="3"/>
  <c r="C31" i="3" s="1"/>
  <c r="K30" i="3"/>
  <c r="L30" i="3" s="1"/>
  <c r="H30" i="3"/>
  <c r="I30" i="3" s="1"/>
  <c r="E30" i="3"/>
  <c r="F30" i="3" s="1"/>
  <c r="B30" i="3"/>
  <c r="C30" i="3" s="1"/>
  <c r="K29" i="3"/>
  <c r="L29" i="3" s="1"/>
  <c r="H29" i="3"/>
  <c r="I29" i="3" s="1"/>
  <c r="E29" i="3"/>
  <c r="F29" i="3" s="1"/>
  <c r="B29" i="3"/>
  <c r="C29" i="3" s="1"/>
  <c r="K28" i="3"/>
  <c r="L28" i="3" s="1"/>
  <c r="H28" i="3"/>
  <c r="I28" i="3" s="1"/>
  <c r="E28" i="3"/>
  <c r="F28" i="3" s="1"/>
  <c r="B28" i="3"/>
  <c r="C28" i="3" s="1"/>
  <c r="K27" i="3"/>
  <c r="L27" i="3" s="1"/>
  <c r="H27" i="3"/>
  <c r="I27" i="3" s="1"/>
  <c r="E27" i="3"/>
  <c r="F27" i="3" s="1"/>
  <c r="B27" i="3"/>
  <c r="C27" i="3" s="1"/>
  <c r="K26" i="3"/>
  <c r="L26" i="3" s="1"/>
  <c r="H26" i="3"/>
  <c r="I26" i="3" s="1"/>
  <c r="E26" i="3"/>
  <c r="F26" i="3" s="1"/>
  <c r="B26" i="3"/>
  <c r="C26" i="3" s="1"/>
  <c r="K25" i="3"/>
  <c r="L25" i="3" s="1"/>
  <c r="H25" i="3"/>
  <c r="I25" i="3" s="1"/>
  <c r="E25" i="3"/>
  <c r="F25" i="3" s="1"/>
  <c r="B25" i="3"/>
  <c r="C25" i="3" s="1"/>
  <c r="K24" i="3"/>
  <c r="L24" i="3" s="1"/>
  <c r="H24" i="3"/>
  <c r="I24" i="3" s="1"/>
  <c r="E24" i="3"/>
  <c r="F24" i="3" s="1"/>
  <c r="B24" i="3"/>
  <c r="C24" i="3" s="1"/>
  <c r="K23" i="3"/>
  <c r="L23" i="3" s="1"/>
  <c r="H23" i="3"/>
  <c r="I23" i="3" s="1"/>
  <c r="E23" i="3"/>
  <c r="F23" i="3" s="1"/>
  <c r="B23" i="3"/>
  <c r="C23" i="3" s="1"/>
  <c r="D23" i="3" s="1"/>
  <c r="K22" i="3"/>
  <c r="L22" i="3" s="1"/>
  <c r="H22" i="3"/>
  <c r="I22" i="3" s="1"/>
  <c r="E22" i="3"/>
  <c r="F22" i="3" s="1"/>
  <c r="B22" i="3"/>
  <c r="C22" i="3" s="1"/>
  <c r="K21" i="3"/>
  <c r="L21" i="3" s="1"/>
  <c r="H21" i="3"/>
  <c r="I21" i="3" s="1"/>
  <c r="E21" i="3"/>
  <c r="F21" i="3" s="1"/>
  <c r="B21" i="3"/>
  <c r="C21" i="3" s="1"/>
  <c r="K20" i="3"/>
  <c r="L20" i="3" s="1"/>
  <c r="H20" i="3"/>
  <c r="I20" i="3" s="1"/>
  <c r="E20" i="3"/>
  <c r="F20" i="3" s="1"/>
  <c r="B20" i="3"/>
  <c r="C20" i="3" s="1"/>
  <c r="K19" i="3"/>
  <c r="L19" i="3" s="1"/>
  <c r="H19" i="3"/>
  <c r="I19" i="3" s="1"/>
  <c r="E19" i="3"/>
  <c r="F19" i="3" s="1"/>
  <c r="B19" i="3"/>
  <c r="C19" i="3" s="1"/>
  <c r="K18" i="3"/>
  <c r="L18" i="3" s="1"/>
  <c r="H18" i="3"/>
  <c r="I18" i="3" s="1"/>
  <c r="E18" i="3"/>
  <c r="F18" i="3" s="1"/>
  <c r="B18" i="3"/>
  <c r="C18" i="3" s="1"/>
  <c r="K17" i="3"/>
  <c r="L17" i="3" s="1"/>
  <c r="H17" i="3"/>
  <c r="I17" i="3" s="1"/>
  <c r="E17" i="3"/>
  <c r="F17" i="3" s="1"/>
  <c r="B17" i="3"/>
  <c r="C17" i="3" s="1"/>
  <c r="K16" i="3"/>
  <c r="L16" i="3" s="1"/>
  <c r="H16" i="3"/>
  <c r="I16" i="3" s="1"/>
  <c r="E16" i="3"/>
  <c r="F16" i="3" s="1"/>
  <c r="G16" i="3" s="1"/>
  <c r="B16" i="3"/>
  <c r="C16" i="3" s="1"/>
  <c r="K15" i="3"/>
  <c r="L15" i="3" s="1"/>
  <c r="H15" i="3"/>
  <c r="I15" i="3" s="1"/>
  <c r="E15" i="3"/>
  <c r="F15" i="3" s="1"/>
  <c r="B15" i="3"/>
  <c r="C15" i="3" s="1"/>
  <c r="K14" i="3"/>
  <c r="L14" i="3" s="1"/>
  <c r="H14" i="3"/>
  <c r="I14" i="3" s="1"/>
  <c r="E14" i="3"/>
  <c r="F14" i="3" s="1"/>
  <c r="B14" i="3"/>
  <c r="C14" i="3" s="1"/>
  <c r="K13" i="3"/>
  <c r="L13" i="3" s="1"/>
  <c r="M13" i="3" s="1"/>
  <c r="H13" i="3"/>
  <c r="I13" i="3" s="1"/>
  <c r="E13" i="3"/>
  <c r="F13" i="3" s="1"/>
  <c r="B13" i="3"/>
  <c r="C13" i="3" s="1"/>
  <c r="K12" i="3"/>
  <c r="L12" i="3" s="1"/>
  <c r="H12" i="3"/>
  <c r="I12" i="3" s="1"/>
  <c r="E12" i="3"/>
  <c r="F12" i="3" s="1"/>
  <c r="B12" i="3"/>
  <c r="C12" i="3" s="1"/>
  <c r="K11" i="3"/>
  <c r="L11" i="3" s="1"/>
  <c r="H11" i="3"/>
  <c r="I11" i="3" s="1"/>
  <c r="E11" i="3"/>
  <c r="F11" i="3" s="1"/>
  <c r="B11" i="3"/>
  <c r="C11" i="3" s="1"/>
  <c r="K10" i="3"/>
  <c r="L10" i="3" s="1"/>
  <c r="H10" i="3"/>
  <c r="I10" i="3" s="1"/>
  <c r="E10" i="3"/>
  <c r="F10" i="3" s="1"/>
  <c r="B10" i="3"/>
  <c r="C10" i="3" s="1"/>
  <c r="K9" i="3"/>
  <c r="L9" i="3" s="1"/>
  <c r="H9" i="3"/>
  <c r="I9" i="3" s="1"/>
  <c r="J9" i="3" s="1"/>
  <c r="E9" i="3"/>
  <c r="F9" i="3" s="1"/>
  <c r="B9" i="3"/>
  <c r="C9" i="3" s="1"/>
  <c r="K8" i="3"/>
  <c r="L8" i="3" s="1"/>
  <c r="H8" i="3"/>
  <c r="I8" i="3" s="1"/>
  <c r="E8" i="3"/>
  <c r="F8" i="3" s="1"/>
  <c r="B8" i="3"/>
  <c r="C8" i="3" s="1"/>
  <c r="K7" i="3"/>
  <c r="L7" i="3" s="1"/>
  <c r="H7" i="3"/>
  <c r="I7" i="3" s="1"/>
  <c r="E7" i="3"/>
  <c r="F7" i="3" s="1"/>
  <c r="B7" i="3"/>
  <c r="C7" i="3" s="1"/>
  <c r="K6" i="3"/>
  <c r="L6" i="3" s="1"/>
  <c r="H6" i="3"/>
  <c r="I6" i="3" s="1"/>
  <c r="E6" i="3"/>
  <c r="F6" i="3" s="1"/>
  <c r="B6" i="3"/>
  <c r="C6" i="3" s="1"/>
  <c r="K5" i="3"/>
  <c r="L5" i="3" s="1"/>
  <c r="H5" i="3"/>
  <c r="I5" i="3" s="1"/>
  <c r="E5" i="3"/>
  <c r="F5" i="3" s="1"/>
  <c r="B5" i="3"/>
  <c r="C5" i="3" s="1"/>
  <c r="B6" i="2"/>
  <c r="G8" i="1"/>
  <c r="F8" i="1"/>
  <c r="D8" i="1"/>
  <c r="A8" i="1"/>
  <c r="A7" i="1"/>
  <c r="A6" i="1"/>
  <c r="A5" i="1"/>
  <c r="B14" i="2" l="1"/>
  <c r="M63" i="3"/>
  <c r="B13" i="2"/>
  <c r="J63" i="3"/>
  <c r="G63" i="3"/>
  <c r="B12" i="2"/>
  <c r="D63" i="3"/>
  <c r="B11" i="2"/>
  <c r="J58" i="3"/>
  <c r="M56" i="3"/>
  <c r="J54" i="3"/>
  <c r="J52" i="3"/>
  <c r="J50" i="3"/>
  <c r="J48" i="3"/>
  <c r="M46" i="3"/>
  <c r="J44" i="3"/>
  <c r="M42" i="3"/>
  <c r="J40" i="3"/>
  <c r="J38" i="3"/>
  <c r="M36" i="3"/>
  <c r="J34" i="3"/>
  <c r="J32" i="3"/>
  <c r="J30" i="3"/>
  <c r="G28" i="3"/>
  <c r="G26" i="3"/>
  <c r="J23" i="3"/>
  <c r="D22" i="3"/>
  <c r="M19" i="3"/>
  <c r="G17" i="3"/>
  <c r="G15" i="3"/>
  <c r="J13" i="3"/>
  <c r="G12" i="3"/>
  <c r="D11" i="3"/>
  <c r="G9" i="3"/>
  <c r="M7" i="3"/>
  <c r="M6" i="3"/>
  <c r="D6" i="3"/>
  <c r="G60" i="3"/>
  <c r="G59" i="3"/>
  <c r="G57" i="3"/>
  <c r="J55" i="3"/>
  <c r="M53" i="3"/>
  <c r="M51" i="3"/>
  <c r="M49" i="3"/>
  <c r="M47" i="3"/>
  <c r="M45" i="3"/>
  <c r="M43" i="3"/>
  <c r="J41" i="3"/>
  <c r="M39" i="3"/>
  <c r="J37" i="3"/>
  <c r="J35" i="3"/>
  <c r="M33" i="3"/>
  <c r="M31" i="3"/>
  <c r="M29" i="3"/>
  <c r="M27" i="3"/>
  <c r="M25" i="3"/>
  <c r="M23" i="3"/>
  <c r="G22" i="3"/>
  <c r="J20" i="3"/>
  <c r="M18" i="3"/>
  <c r="D17" i="3"/>
  <c r="D15" i="3"/>
  <c r="M57" i="3"/>
  <c r="M55" i="3"/>
  <c r="J53" i="3"/>
  <c r="J51" i="3"/>
  <c r="G49" i="3"/>
  <c r="G47" i="3"/>
  <c r="G45" i="3"/>
  <c r="G43" i="3"/>
  <c r="G41" i="3"/>
  <c r="G39" i="3"/>
  <c r="G37" i="3"/>
  <c r="G35" i="3"/>
  <c r="G33" i="3"/>
  <c r="G31" i="3"/>
  <c r="G29" i="3"/>
  <c r="G27" i="3"/>
  <c r="G25" i="3"/>
  <c r="G23" i="3"/>
  <c r="G21" i="3"/>
  <c r="J19" i="3"/>
  <c r="D18" i="3"/>
  <c r="M62" i="3"/>
  <c r="D60" i="3"/>
  <c r="D59" i="3"/>
  <c r="D57" i="3"/>
  <c r="D55" i="3"/>
  <c r="G53" i="3"/>
  <c r="G51" i="3"/>
  <c r="J49" i="3"/>
  <c r="J47" i="3"/>
  <c r="J45" i="3"/>
  <c r="J43" i="3"/>
  <c r="M41" i="3"/>
  <c r="J39" i="3"/>
  <c r="M37" i="3"/>
  <c r="M35" i="3"/>
  <c r="J33" i="3"/>
  <c r="J31" i="3"/>
  <c r="J29" i="3"/>
  <c r="J27" i="3"/>
  <c r="J25" i="3"/>
  <c r="D24" i="3"/>
  <c r="M21" i="3"/>
  <c r="G20" i="3"/>
  <c r="J18" i="3"/>
  <c r="M16" i="3"/>
  <c r="J15" i="3"/>
  <c r="D14" i="3"/>
  <c r="J12" i="3"/>
  <c r="J11" i="3"/>
  <c r="J10" i="3"/>
  <c r="J62" i="3"/>
  <c r="J57" i="3"/>
  <c r="G55" i="3"/>
  <c r="D53" i="3"/>
  <c r="D51" i="3"/>
  <c r="D49" i="3"/>
  <c r="D47" i="3"/>
  <c r="D45" i="3"/>
  <c r="D43" i="3"/>
  <c r="D41" i="3"/>
  <c r="D39" i="3"/>
  <c r="D37" i="3"/>
  <c r="D35" i="3"/>
  <c r="D33" i="3"/>
  <c r="D31" i="3"/>
  <c r="D29" i="3"/>
  <c r="D27" i="3"/>
  <c r="D25" i="3"/>
  <c r="G62" i="3"/>
  <c r="J61" i="3"/>
  <c r="J59" i="3"/>
  <c r="G58" i="3"/>
  <c r="G56" i="3"/>
  <c r="G54" i="3"/>
  <c r="G52" i="3"/>
  <c r="G50" i="3"/>
  <c r="G48" i="3"/>
  <c r="G46" i="3"/>
  <c r="G44" i="3"/>
  <c r="G42" i="3"/>
  <c r="G40" i="3"/>
  <c r="M38" i="3"/>
  <c r="J36" i="3"/>
  <c r="M34" i="3"/>
  <c r="M32" i="3"/>
  <c r="M30" i="3"/>
  <c r="M28" i="3"/>
  <c r="M26" i="3"/>
  <c r="M24" i="3"/>
  <c r="M22" i="3"/>
  <c r="D21" i="3"/>
  <c r="D19" i="3"/>
  <c r="J17" i="3"/>
  <c r="M15" i="3"/>
  <c r="G14" i="3"/>
  <c r="M12" i="3"/>
  <c r="M11" i="3"/>
  <c r="G10" i="3"/>
  <c r="D9" i="3"/>
  <c r="G8" i="3"/>
  <c r="G7" i="3"/>
  <c r="J6" i="3"/>
  <c r="D62" i="3"/>
  <c r="J60" i="3"/>
  <c r="M58" i="3"/>
  <c r="J56" i="3"/>
  <c r="M54" i="3"/>
  <c r="M52" i="3"/>
  <c r="M50" i="3"/>
  <c r="M48" i="3"/>
  <c r="J46" i="3"/>
  <c r="M44" i="3"/>
  <c r="J42" i="3"/>
  <c r="M40" i="3"/>
  <c r="G38" i="3"/>
  <c r="D36" i="3"/>
  <c r="D34" i="3"/>
  <c r="D32" i="3"/>
  <c r="D30" i="3"/>
  <c r="D28" i="3"/>
  <c r="D26" i="3"/>
  <c r="G24" i="3"/>
  <c r="J21" i="3"/>
  <c r="D20" i="3"/>
  <c r="G18" i="3"/>
  <c r="J16" i="3"/>
  <c r="M14" i="3"/>
  <c r="G13" i="3"/>
  <c r="G11" i="3"/>
  <c r="D10" i="3"/>
  <c r="M8" i="3"/>
  <c r="D8" i="3"/>
  <c r="D7" i="3"/>
  <c r="M61" i="3"/>
  <c r="M59" i="3"/>
  <c r="D58" i="3"/>
  <c r="D56" i="3"/>
  <c r="D54" i="3"/>
  <c r="D52" i="3"/>
  <c r="D50" i="3"/>
  <c r="D48" i="3"/>
  <c r="D46" i="3"/>
  <c r="D44" i="3"/>
  <c r="D42" i="3"/>
  <c r="D40" i="3"/>
  <c r="D38" i="3"/>
  <c r="G36" i="3"/>
  <c r="G34" i="3"/>
  <c r="G32" i="3"/>
  <c r="G30" i="3"/>
  <c r="J28" i="3"/>
  <c r="J26" i="3"/>
  <c r="J24" i="3"/>
  <c r="J22" i="3"/>
  <c r="M20" i="3"/>
  <c r="G19" i="3"/>
  <c r="M17" i="3"/>
  <c r="D16" i="3"/>
  <c r="J14" i="3"/>
  <c r="D13" i="3"/>
  <c r="D12" i="3"/>
  <c r="M10" i="3"/>
  <c r="M9" i="3"/>
  <c r="J8" i="3"/>
  <c r="J7" i="3"/>
  <c r="G6" i="3"/>
  <c r="B8" i="1" l="1"/>
  <c r="B7" i="1"/>
  <c r="B6" i="1"/>
  <c r="B5" i="1"/>
  <c r="C11" i="2"/>
  <c r="D11" i="2"/>
  <c r="C13" i="2"/>
  <c r="D13" i="2"/>
  <c r="C12" i="2"/>
  <c r="D12" i="2"/>
  <c r="C14" i="2"/>
  <c r="C5" i="1" l="1"/>
  <c r="E11" i="2"/>
  <c r="E5" i="1" s="1"/>
  <c r="D5" i="1"/>
  <c r="F11" i="2"/>
  <c r="F5" i="1" s="1"/>
  <c r="G11" i="2"/>
  <c r="G5" i="1" s="1"/>
  <c r="C7" i="1"/>
  <c r="E13" i="2"/>
  <c r="E7" i="1" s="1"/>
  <c r="D7" i="1"/>
  <c r="G13" i="2"/>
  <c r="G7" i="1" s="1"/>
  <c r="F13" i="2"/>
  <c r="F7" i="1" s="1"/>
  <c r="C6" i="1"/>
  <c r="E12" i="2"/>
  <c r="E6" i="1" s="1"/>
  <c r="D6" i="1"/>
  <c r="F12" i="2"/>
  <c r="F6" i="1" s="1"/>
  <c r="G12" i="2"/>
  <c r="G6" i="1" s="1"/>
  <c r="C8" i="1"/>
  <c r="E14" i="2"/>
  <c r="E8" i="1" s="1"/>
</calcChain>
</file>

<file path=xl/sharedStrings.xml><?xml version="1.0" encoding="utf-8"?>
<sst xmlns="http://schemas.openxmlformats.org/spreadsheetml/2006/main" count="102" uniqueCount="53">
  <si>
    <t>Scheme</t>
  </si>
  <si>
    <t>Annualised Return</t>
  </si>
  <si>
    <t>Annualised Std Dev (Risk)</t>
  </si>
  <si>
    <t>Beta</t>
  </si>
  <si>
    <t>Sharpe Ratio</t>
  </si>
  <si>
    <t>Treynor Ratio</t>
  </si>
  <si>
    <t>Jensen's Alpha</t>
  </si>
  <si>
    <t>Assumptions (edit as needed):</t>
  </si>
  <si>
    <t>Risk-free rate (annualised)</t>
  </si>
  <si>
    <t>Return frequency</t>
  </si>
  <si>
    <t>Monthly</t>
  </si>
  <si>
    <t>Period</t>
  </si>
  <si>
    <t>Number of years (actual)</t>
  </si>
  <si>
    <t>Data source (NAV &amp; benchmark)</t>
  </si>
  <si>
    <t>AMFI / scheme factsheet (fund NAVs); NSE Indices (Nifty 500 TRI) — as provided in raw data sheets</t>
  </si>
  <si>
    <t>Canara Robeco</t>
  </si>
  <si>
    <t>HDFC</t>
  </si>
  <si>
    <t>Parag Parikh</t>
  </si>
  <si>
    <t>Nifty 500 TRI (Benchmark)</t>
  </si>
  <si>
    <t>—</t>
  </si>
  <si>
    <t>Target
Month-End</t>
  </si>
  <si>
    <t>Canara
Date Used</t>
  </si>
  <si>
    <t>Canara
NAV</t>
  </si>
  <si>
    <t>Canara
Monthly Return</t>
  </si>
  <si>
    <t>HDFC
Date Used</t>
  </si>
  <si>
    <t>HDFC
NAV</t>
  </si>
  <si>
    <t>HDFC
Monthly Return</t>
  </si>
  <si>
    <t>Parag Parikh
Date Used</t>
  </si>
  <si>
    <t>Parag Parikh
NAV</t>
  </si>
  <si>
    <t>Parag Parikh
Monthly Return</t>
  </si>
  <si>
    <t>Nifty 500 TRI
Date Used</t>
  </si>
  <si>
    <t>Nifty 500 TRI
Level</t>
  </si>
  <si>
    <t>Nifty 500 TRI
Monthly Return</t>
  </si>
  <si>
    <t>Date</t>
  </si>
  <si>
    <t>Price</t>
  </si>
  <si>
    <t>Open</t>
  </si>
  <si>
    <t>High</t>
  </si>
  <si>
    <t>Low</t>
  </si>
  <si>
    <t>change</t>
  </si>
  <si>
    <t xml:space="preserve">change </t>
  </si>
  <si>
    <t>Row Labels</t>
  </si>
  <si>
    <t>Grand Total</t>
  </si>
  <si>
    <t>Sum of Annualised Return</t>
  </si>
  <si>
    <t>Sum of Annualised Std Dev (Risk)</t>
  </si>
  <si>
    <t>Sum of Beta</t>
  </si>
  <si>
    <t>Sum of Sharpe Ratio</t>
  </si>
  <si>
    <t>Count of Treynor Ratio</t>
  </si>
  <si>
    <t>Sum of Jensen's Alpha</t>
  </si>
  <si>
    <t>da</t>
  </si>
  <si>
    <t>dashboard</t>
  </si>
  <si>
    <t>Performance Metrics Canara vs Peers (HDFC, Parag Parikh) vs Benchmark (Nifty 500 TRI)</t>
  </si>
  <si>
    <t>Source: RBI 91-day T-Bill cut-off yield</t>
  </si>
  <si>
    <t>Comparative Summary Canara vs Peer Schemes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</si>
</sst>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
    <numFmt numFmtId="166" formatCode="mmm\-yyyy"/>
    <numFmt numFmtId="167" formatCode="dd\-mmm\-yyyy"/>
    <numFmt numFmtId="168" formatCode="#,##0.0000"/>
  </numFmts>
  <fonts count="11" x14ac:knownFonts="1">
    <font>
      <sz val="11"/>
      <color theme="1"/>
      <name val="Aptos Narrow"/>
      <family val="2"/>
      <charset val="1"/>
    </font>
    <font>
      <b/>
      <sz val="13"/>
      <color rgb="FF1F4E78"/>
      <name val="Arial"/>
      <family val="2"/>
    </font>
    <font>
      <i/>
      <sz val="9"/>
      <color rgb="FF555555"/>
      <name val="Arial"/>
      <family val="2"/>
    </font>
    <font>
      <b/>
      <sz val="10"/>
      <color rgb="FFFFFFFF"/>
      <name val="Arial"/>
      <family val="2"/>
    </font>
    <font>
      <sz val="10"/>
      <name val="Arial"/>
      <family val="2"/>
    </font>
    <font>
      <b/>
      <sz val="10"/>
      <name val="Arial"/>
      <family val="2"/>
    </font>
    <font>
      <sz val="10"/>
      <color rgb="FF0000FF"/>
      <name val="Arial"/>
      <family val="2"/>
    </font>
    <font>
      <sz val="11"/>
      <color theme="1"/>
      <name val="Aptos Narrow"/>
      <family val="2"/>
      <charset val="1"/>
    </font>
    <font>
      <b/>
      <sz val="13"/>
      <color rgb="FF1F4E78"/>
      <name val="Arial"/>
      <family val="2"/>
    </font>
    <font>
      <sz val="9"/>
      <color rgb="FF555555"/>
      <name val="Arial"/>
      <family val="2"/>
    </font>
    <font>
      <sz val="11"/>
      <color rgb="FF555555"/>
      <name val="Arial"/>
      <family val="2"/>
    </font>
  </fonts>
  <fills count="6">
    <fill>
      <patternFill patternType="none"/>
    </fill>
    <fill>
      <patternFill patternType="gray125"/>
    </fill>
    <fill>
      <patternFill patternType="solid">
        <fgColor rgb="FF1F4E78"/>
        <bgColor rgb="FF156082"/>
      </patternFill>
    </fill>
    <fill>
      <patternFill patternType="solid">
        <fgColor rgb="FFFFFF00"/>
        <bgColor rgb="FFFFFF00"/>
      </patternFill>
    </fill>
    <fill>
      <patternFill patternType="solid">
        <fgColor rgb="FFE7EEF7"/>
        <bgColor rgb="FFFFFFFF"/>
      </patternFill>
    </fill>
    <fill>
      <patternFill patternType="solid">
        <fgColor theme="0"/>
        <b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7" fillId="0" borderId="0"/>
  </cellStyleXfs>
  <cellXfs count="38">
    <xf numFmtId="0" fontId="0" fillId="0" borderId="0" xfId="0"/>
    <xf numFmtId="0" fontId="2" fillId="0" borderId="0" xfId="0" applyFont="1"/>
    <xf numFmtId="0" fontId="7" fillId="0" borderId="0" xfId="1" applyNumberFormat="1"/>
    <xf numFmtId="164" fontId="0" fillId="0" borderId="0" xfId="0" applyNumberFormat="1"/>
    <xf numFmtId="0" fontId="3" fillId="2" borderId="1" xfId="0"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4" fillId="0" borderId="1" xfId="0" applyFont="1" applyBorder="1"/>
    <xf numFmtId="10" fontId="4" fillId="0" borderId="1" xfId="1" applyNumberFormat="1" applyFont="1" applyBorder="1"/>
    <xf numFmtId="10" fontId="4" fillId="0" borderId="1" xfId="0" applyNumberFormat="1" applyFont="1" applyBorder="1"/>
    <xf numFmtId="2" fontId="4" fillId="0" borderId="1" xfId="0" applyNumberFormat="1" applyFont="1" applyBorder="1"/>
    <xf numFmtId="0" fontId="5" fillId="0" borderId="0" xfId="0" applyFont="1"/>
    <xf numFmtId="0" fontId="4" fillId="0" borderId="0" xfId="0" applyFont="1"/>
    <xf numFmtId="2" fontId="4" fillId="0" borderId="0" xfId="0" applyNumberFormat="1" applyFont="1"/>
    <xf numFmtId="0" fontId="5" fillId="4" borderId="1" xfId="0" applyFont="1" applyFill="1" applyBorder="1"/>
    <xf numFmtId="10" fontId="0" fillId="4" borderId="1" xfId="0" applyNumberFormat="1" applyFill="1" applyBorder="1"/>
    <xf numFmtId="2" fontId="0" fillId="4" borderId="1" xfId="0" applyNumberFormat="1" applyFill="1" applyBorder="1"/>
    <xf numFmtId="0" fontId="0" fillId="4" borderId="1" xfId="0" applyFill="1" applyBorder="1"/>
    <xf numFmtId="166" fontId="0" fillId="0" borderId="0" xfId="0" applyNumberFormat="1"/>
    <xf numFmtId="167" fontId="0" fillId="0" borderId="0" xfId="0" applyNumberFormat="1"/>
    <xf numFmtId="168" fontId="0" fillId="0" borderId="0" xfId="0" applyNumberFormat="1"/>
    <xf numFmtId="10" fontId="0" fillId="0" borderId="0" xfId="0" applyNumberFormat="1"/>
    <xf numFmtId="15" fontId="0" fillId="0" borderId="0" xfId="0" applyNumberFormat="1"/>
    <xf numFmtId="10" fontId="7" fillId="0" borderId="0" xfId="1" applyNumberFormat="1"/>
    <xf numFmtId="4" fontId="0" fillId="0" borderId="0" xfId="0" applyNumberFormat="1"/>
    <xf numFmtId="14" fontId="0" fillId="0" borderId="0" xfId="0" applyNumberFormat="1"/>
    <xf numFmtId="15" fontId="0" fillId="3" borderId="0" xfId="0" applyNumberFormat="1" applyFill="1"/>
    <xf numFmtId="0" fontId="0" fillId="3" borderId="0" xfId="0" applyFill="1"/>
    <xf numFmtId="10" fontId="0" fillId="3" borderId="0" xfId="0" applyNumberFormat="1" applyFill="1"/>
    <xf numFmtId="2"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0" fontId="8" fillId="0" borderId="0" xfId="0" applyFont="1"/>
    <xf numFmtId="165" fontId="6" fillId="5" borderId="0" xfId="0" applyNumberFormat="1" applyFont="1" applyFill="1"/>
    <xf numFmtId="0" fontId="10" fillId="0" borderId="0" xfId="0" applyFont="1"/>
    <xf numFmtId="0" fontId="9" fillId="0" borderId="0" xfId="0" applyFont="1"/>
  </cellXfs>
  <cellStyles count="2">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BFBFBF"/>
      <rgbColor rgb="FF8B8B8B"/>
      <rgbColor rgb="FF9999FF"/>
      <rgbColor rgb="FF993366"/>
      <rgbColor rgb="FFFFFFCC"/>
      <rgbColor rgb="FFE7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496318897637795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'Performance Metrics'!$B$10</c:f>
              <c:strCache>
                <c:ptCount val="1"/>
                <c:pt idx="0">
                  <c:v>Annualised Return</c:v>
                </c:pt>
              </c:strCache>
            </c:strRef>
          </c:tx>
          <c:spPr>
            <a:solidFill>
              <a:schemeClr val="accent1"/>
            </a:solidFill>
            <a:ln>
              <a:noFill/>
            </a:ln>
            <a:effectLst/>
          </c:spPr>
          <c:invertIfNegative val="0"/>
          <c:cat>
            <c:strRef>
              <c:f>'Performance Metrics'!$A$11:$A$14</c:f>
              <c:strCache>
                <c:ptCount val="4"/>
                <c:pt idx="0">
                  <c:v>Canara Robeco</c:v>
                </c:pt>
                <c:pt idx="1">
                  <c:v>HDFC</c:v>
                </c:pt>
                <c:pt idx="2">
                  <c:v>Parag Parikh</c:v>
                </c:pt>
                <c:pt idx="3">
                  <c:v>Nifty 500 TRI (Benchmark)</c:v>
                </c:pt>
              </c:strCache>
            </c:strRef>
          </c:cat>
          <c:val>
            <c:numRef>
              <c:f>'Performance Metrics'!$B$11:$B$14</c:f>
              <c:numCache>
                <c:formatCode>0.00%</c:formatCode>
                <c:ptCount val="4"/>
                <c:pt idx="0">
                  <c:v>9.0589353123074368E-2</c:v>
                </c:pt>
                <c:pt idx="1">
                  <c:v>0.1659072535561803</c:v>
                </c:pt>
                <c:pt idx="2">
                  <c:v>0.11718237562107725</c:v>
                </c:pt>
                <c:pt idx="3">
                  <c:v>0.1067439404113899</c:v>
                </c:pt>
              </c:numCache>
            </c:numRef>
          </c:val>
          <c:extLst>
            <c:ext xmlns:c16="http://schemas.microsoft.com/office/drawing/2014/chart" uri="{C3380CC4-5D6E-409C-BE32-E72D297353CC}">
              <c16:uniqueId val="{00000000-8CF2-4C9C-A795-B94F5D7500D7}"/>
            </c:ext>
          </c:extLst>
        </c:ser>
        <c:dLbls>
          <c:showLegendKey val="0"/>
          <c:showVal val="0"/>
          <c:showCatName val="0"/>
          <c:showSerName val="0"/>
          <c:showPercent val="0"/>
          <c:showBubbleSize val="0"/>
        </c:dLbls>
        <c:gapWidth val="219"/>
        <c:overlap val="-27"/>
        <c:axId val="1827540384"/>
        <c:axId val="1710745712"/>
      </c:barChart>
      <c:catAx>
        <c:axId val="18275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45712"/>
        <c:crosses val="autoZero"/>
        <c:auto val="1"/>
        <c:lblAlgn val="ctr"/>
        <c:lblOffset val="100"/>
        <c:noMultiLvlLbl val="0"/>
      </c:catAx>
      <c:valAx>
        <c:axId val="1710745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40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'Performance Metrics'!$C$10</c:f>
              <c:strCache>
                <c:ptCount val="1"/>
                <c:pt idx="0">
                  <c:v>Annualised Std Dev (Risk)</c:v>
                </c:pt>
              </c:strCache>
            </c:strRef>
          </c:tx>
          <c:spPr>
            <a:solidFill>
              <a:schemeClr val="accent1"/>
            </a:solidFill>
            <a:ln>
              <a:noFill/>
            </a:ln>
            <a:effectLst/>
          </c:spPr>
          <c:invertIfNegative val="0"/>
          <c:cat>
            <c:strRef>
              <c:f>'Performance Metrics'!$A$11:$A$14</c:f>
              <c:strCache>
                <c:ptCount val="4"/>
                <c:pt idx="0">
                  <c:v>Canara Robeco</c:v>
                </c:pt>
                <c:pt idx="1">
                  <c:v>HDFC</c:v>
                </c:pt>
                <c:pt idx="2">
                  <c:v>Parag Parikh</c:v>
                </c:pt>
                <c:pt idx="3">
                  <c:v>Nifty 500 TRI (Benchmark)</c:v>
                </c:pt>
              </c:strCache>
            </c:strRef>
          </c:cat>
          <c:val>
            <c:numRef>
              <c:f>'Performance Metrics'!$C$11:$C$14</c:f>
              <c:numCache>
                <c:formatCode>0.00%</c:formatCode>
                <c:ptCount val="4"/>
                <c:pt idx="0">
                  <c:v>0.13700580620808572</c:v>
                </c:pt>
                <c:pt idx="1">
                  <c:v>0.1279259553110042</c:v>
                </c:pt>
                <c:pt idx="2">
                  <c:v>0.10649326949809036</c:v>
                </c:pt>
                <c:pt idx="3">
                  <c:v>0.14665463788390565</c:v>
                </c:pt>
              </c:numCache>
            </c:numRef>
          </c:val>
          <c:extLst>
            <c:ext xmlns:c16="http://schemas.microsoft.com/office/drawing/2014/chart" uri="{C3380CC4-5D6E-409C-BE32-E72D297353CC}">
              <c16:uniqueId val="{00000000-3804-4A2D-8373-46970688E749}"/>
            </c:ext>
          </c:extLst>
        </c:ser>
        <c:dLbls>
          <c:showLegendKey val="0"/>
          <c:showVal val="0"/>
          <c:showCatName val="0"/>
          <c:showSerName val="0"/>
          <c:showPercent val="0"/>
          <c:showBubbleSize val="0"/>
        </c:dLbls>
        <c:gapWidth val="219"/>
        <c:overlap val="-27"/>
        <c:axId val="176441296"/>
        <c:axId val="1710711632"/>
      </c:barChart>
      <c:catAx>
        <c:axId val="17644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11632"/>
        <c:crosses val="autoZero"/>
        <c:auto val="1"/>
        <c:lblAlgn val="ctr"/>
        <c:lblOffset val="100"/>
        <c:noMultiLvlLbl val="0"/>
      </c:catAx>
      <c:valAx>
        <c:axId val="1710711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41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 analysis.xlsx]pivot!PivotTable7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Canara Robeco</c:v>
                </c:pt>
                <c:pt idx="1">
                  <c:v>HDFC</c:v>
                </c:pt>
                <c:pt idx="2">
                  <c:v>Nifty 500 TRI (Benchmark)</c:v>
                </c:pt>
                <c:pt idx="3">
                  <c:v>Parag Parikh</c:v>
                </c:pt>
              </c:strCache>
            </c:strRef>
          </c:cat>
          <c:val>
            <c:numRef>
              <c:f>pivot!$B$4:$B$8</c:f>
              <c:numCache>
                <c:formatCode>0.00%</c:formatCode>
                <c:ptCount val="4"/>
                <c:pt idx="0">
                  <c:v>0.13700580620808572</c:v>
                </c:pt>
                <c:pt idx="1">
                  <c:v>0.1279259553110042</c:v>
                </c:pt>
                <c:pt idx="2">
                  <c:v>0.14665463788390565</c:v>
                </c:pt>
                <c:pt idx="3">
                  <c:v>0.10649326949809036</c:v>
                </c:pt>
              </c:numCache>
            </c:numRef>
          </c:val>
          <c:extLst>
            <c:ext xmlns:c16="http://schemas.microsoft.com/office/drawing/2014/chart" uri="{C3380CC4-5D6E-409C-BE32-E72D297353CC}">
              <c16:uniqueId val="{00000000-D4D6-4757-9911-2C99B1CFC3CA}"/>
            </c:ext>
          </c:extLst>
        </c:ser>
        <c:dLbls>
          <c:showLegendKey val="0"/>
          <c:showVal val="0"/>
          <c:showCatName val="0"/>
          <c:showSerName val="0"/>
          <c:showPercent val="0"/>
          <c:showBubbleSize val="0"/>
        </c:dLbls>
        <c:gapWidth val="219"/>
        <c:overlap val="-27"/>
        <c:axId val="1827546880"/>
        <c:axId val="1710721232"/>
      </c:barChart>
      <c:catAx>
        <c:axId val="182754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21232"/>
        <c:crosses val="autoZero"/>
        <c:auto val="1"/>
        <c:lblAlgn val="ctr"/>
        <c:lblOffset val="100"/>
        <c:noMultiLvlLbl val="0"/>
      </c:catAx>
      <c:valAx>
        <c:axId val="1710721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54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 analysis.xlsx]pivot!PivotTable9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Sum of Beta</c:v>
                </c:pt>
              </c:strCache>
            </c:strRef>
          </c:tx>
          <c:spPr>
            <a:solidFill>
              <a:schemeClr val="accent1"/>
            </a:solidFill>
            <a:ln>
              <a:noFill/>
            </a:ln>
            <a:effectLst/>
          </c:spPr>
          <c:invertIfNegative val="0"/>
          <c:cat>
            <c:strRef>
              <c:f>pivot!$E$4:$E$8</c:f>
              <c:strCache>
                <c:ptCount val="4"/>
                <c:pt idx="0">
                  <c:v>Canara Robeco</c:v>
                </c:pt>
                <c:pt idx="1">
                  <c:v>HDFC</c:v>
                </c:pt>
                <c:pt idx="2">
                  <c:v>Nifty 500 TRI (Benchmark)</c:v>
                </c:pt>
                <c:pt idx="3">
                  <c:v>Parag Parikh</c:v>
                </c:pt>
              </c:strCache>
            </c:strRef>
          </c:cat>
          <c:val>
            <c:numRef>
              <c:f>pivot!$F$4:$F$8</c:f>
              <c:numCache>
                <c:formatCode>0.00</c:formatCode>
                <c:ptCount val="4"/>
                <c:pt idx="0">
                  <c:v>0.90837894447099332</c:v>
                </c:pt>
                <c:pt idx="1">
                  <c:v>0.8105804470271909</c:v>
                </c:pt>
                <c:pt idx="2">
                  <c:v>1</c:v>
                </c:pt>
                <c:pt idx="3">
                  <c:v>0.64228369453879008</c:v>
                </c:pt>
              </c:numCache>
            </c:numRef>
          </c:val>
          <c:extLst>
            <c:ext xmlns:c16="http://schemas.microsoft.com/office/drawing/2014/chart" uri="{C3380CC4-5D6E-409C-BE32-E72D297353CC}">
              <c16:uniqueId val="{00000000-3A23-460A-B718-B31B2B5CC774}"/>
            </c:ext>
          </c:extLst>
        </c:ser>
        <c:ser>
          <c:idx val="1"/>
          <c:order val="1"/>
          <c:tx>
            <c:strRef>
              <c:f>pivot!$G$3</c:f>
              <c:strCache>
                <c:ptCount val="1"/>
                <c:pt idx="0">
                  <c:v>Count of Treynor Ratio</c:v>
                </c:pt>
              </c:strCache>
            </c:strRef>
          </c:tx>
          <c:spPr>
            <a:solidFill>
              <a:schemeClr val="accent2"/>
            </a:solidFill>
            <a:ln>
              <a:noFill/>
            </a:ln>
            <a:effectLst/>
          </c:spPr>
          <c:invertIfNegative val="0"/>
          <c:cat>
            <c:strRef>
              <c:f>pivot!$E$4:$E$8</c:f>
              <c:strCache>
                <c:ptCount val="4"/>
                <c:pt idx="0">
                  <c:v>Canara Robeco</c:v>
                </c:pt>
                <c:pt idx="1">
                  <c:v>HDFC</c:v>
                </c:pt>
                <c:pt idx="2">
                  <c:v>Nifty 500 TRI (Benchmark)</c:v>
                </c:pt>
                <c:pt idx="3">
                  <c:v>Parag Parikh</c:v>
                </c:pt>
              </c:strCache>
            </c:strRef>
          </c:cat>
          <c:val>
            <c:numRef>
              <c:f>pivot!$G$4:$G$8</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1-3A23-460A-B718-B31B2B5CC774}"/>
            </c:ext>
          </c:extLst>
        </c:ser>
        <c:ser>
          <c:idx val="2"/>
          <c:order val="2"/>
          <c:tx>
            <c:strRef>
              <c:f>pivot!$H$3</c:f>
              <c:strCache>
                <c:ptCount val="1"/>
                <c:pt idx="0">
                  <c:v>Sum of Sharpe Ratio</c:v>
                </c:pt>
              </c:strCache>
            </c:strRef>
          </c:tx>
          <c:spPr>
            <a:solidFill>
              <a:schemeClr val="accent3"/>
            </a:solidFill>
            <a:ln>
              <a:noFill/>
            </a:ln>
            <a:effectLst/>
          </c:spPr>
          <c:invertIfNegative val="0"/>
          <c:cat>
            <c:strRef>
              <c:f>pivot!$E$4:$E$8</c:f>
              <c:strCache>
                <c:ptCount val="4"/>
                <c:pt idx="0">
                  <c:v>Canara Robeco</c:v>
                </c:pt>
                <c:pt idx="1">
                  <c:v>HDFC</c:v>
                </c:pt>
                <c:pt idx="2">
                  <c:v>Nifty 500 TRI (Benchmark)</c:v>
                </c:pt>
                <c:pt idx="3">
                  <c:v>Parag Parikh</c:v>
                </c:pt>
              </c:strCache>
            </c:strRef>
          </c:cat>
          <c:val>
            <c:numRef>
              <c:f>pivot!$H$4:$H$8</c:f>
              <c:numCache>
                <c:formatCode>0.00</c:formatCode>
                <c:ptCount val="4"/>
                <c:pt idx="0">
                  <c:v>0.18677568368313538</c:v>
                </c:pt>
                <c:pt idx="1">
                  <c:v>0.78879421545738693</c:v>
                </c:pt>
                <c:pt idx="2">
                  <c:v>0.28464112021083937</c:v>
                </c:pt>
                <c:pt idx="3">
                  <c:v>0.49000632497261232</c:v>
                </c:pt>
              </c:numCache>
            </c:numRef>
          </c:val>
          <c:extLst>
            <c:ext xmlns:c16="http://schemas.microsoft.com/office/drawing/2014/chart" uri="{C3380CC4-5D6E-409C-BE32-E72D297353CC}">
              <c16:uniqueId val="{00000002-3A23-460A-B718-B31B2B5CC774}"/>
            </c:ext>
          </c:extLst>
        </c:ser>
        <c:dLbls>
          <c:showLegendKey val="0"/>
          <c:showVal val="0"/>
          <c:showCatName val="0"/>
          <c:showSerName val="0"/>
          <c:showPercent val="0"/>
          <c:showBubbleSize val="0"/>
        </c:dLbls>
        <c:gapWidth val="219"/>
        <c:overlap val="-27"/>
        <c:axId val="120655424"/>
        <c:axId val="1710745232"/>
      </c:barChart>
      <c:catAx>
        <c:axId val="12065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45232"/>
        <c:crosses val="autoZero"/>
        <c:auto val="1"/>
        <c:lblAlgn val="ctr"/>
        <c:lblOffset val="100"/>
        <c:noMultiLvlLbl val="0"/>
      </c:catAx>
      <c:valAx>
        <c:axId val="1710745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5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 analysis.xlsx]pivot!PivotTable8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c:f>
              <c:strCache>
                <c:ptCount val="1"/>
                <c:pt idx="0">
                  <c:v>Total</c:v>
                </c:pt>
              </c:strCache>
            </c:strRef>
          </c:tx>
          <c:spPr>
            <a:solidFill>
              <a:schemeClr val="accent1"/>
            </a:solidFill>
            <a:ln>
              <a:noFill/>
            </a:ln>
            <a:effectLst/>
          </c:spPr>
          <c:invertIfNegative val="0"/>
          <c:cat>
            <c:strRef>
              <c:f>pivot!$A$14:$A$18</c:f>
              <c:strCache>
                <c:ptCount val="4"/>
                <c:pt idx="0">
                  <c:v>Canara Robeco</c:v>
                </c:pt>
                <c:pt idx="1">
                  <c:v>HDFC</c:v>
                </c:pt>
                <c:pt idx="2">
                  <c:v>Nifty 500 TRI (Benchmark)</c:v>
                </c:pt>
                <c:pt idx="3">
                  <c:v>Parag Parikh</c:v>
                </c:pt>
              </c:strCache>
            </c:strRef>
          </c:cat>
          <c:val>
            <c:numRef>
              <c:f>pivot!$B$14:$B$18</c:f>
              <c:numCache>
                <c:formatCode>0.00%</c:formatCode>
                <c:ptCount val="4"/>
                <c:pt idx="0">
                  <c:v>9.0589353123074368E-2</c:v>
                </c:pt>
                <c:pt idx="1">
                  <c:v>0.1659072535561803</c:v>
                </c:pt>
                <c:pt idx="2">
                  <c:v>0.1067439404113899</c:v>
                </c:pt>
                <c:pt idx="3">
                  <c:v>0.11718237562107725</c:v>
                </c:pt>
              </c:numCache>
            </c:numRef>
          </c:val>
          <c:extLst>
            <c:ext xmlns:c16="http://schemas.microsoft.com/office/drawing/2014/chart" uri="{C3380CC4-5D6E-409C-BE32-E72D297353CC}">
              <c16:uniqueId val="{00000000-500C-4D97-8B58-D325453EA5E1}"/>
            </c:ext>
          </c:extLst>
        </c:ser>
        <c:dLbls>
          <c:showLegendKey val="0"/>
          <c:showVal val="0"/>
          <c:showCatName val="0"/>
          <c:showSerName val="0"/>
          <c:showPercent val="0"/>
          <c:showBubbleSize val="0"/>
        </c:dLbls>
        <c:gapWidth val="219"/>
        <c:overlap val="-27"/>
        <c:axId val="120614592"/>
        <c:axId val="1710753392"/>
      </c:barChart>
      <c:catAx>
        <c:axId val="12061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53392"/>
        <c:crosses val="autoZero"/>
        <c:auto val="1"/>
        <c:lblAlgn val="ctr"/>
        <c:lblOffset val="100"/>
        <c:noMultiLvlLbl val="0"/>
      </c:catAx>
      <c:valAx>
        <c:axId val="17107533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1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[comparative analysis.xlsx]pivot!PivotTable10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pivot!$F$12</c:f>
              <c:strCache>
                <c:ptCount val="1"/>
                <c:pt idx="0">
                  <c:v>Sum of Beta</c:v>
                </c:pt>
              </c:strCache>
            </c:strRef>
          </c:tx>
          <c:spPr>
            <a:solidFill>
              <a:schemeClr val="accent1"/>
            </a:solidFill>
            <a:ln>
              <a:noFill/>
            </a:ln>
            <a:effectLst/>
          </c:spPr>
          <c:invertIfNegative val="0"/>
          <c:cat>
            <c:strRef>
              <c:f>pivot!$E$13:$E$17</c:f>
              <c:strCache>
                <c:ptCount val="4"/>
                <c:pt idx="0">
                  <c:v>Canara Robeco</c:v>
                </c:pt>
                <c:pt idx="1">
                  <c:v>HDFC</c:v>
                </c:pt>
                <c:pt idx="2">
                  <c:v>Nifty 500 TRI (Benchmark)</c:v>
                </c:pt>
                <c:pt idx="3">
                  <c:v>Parag Parikh</c:v>
                </c:pt>
              </c:strCache>
            </c:strRef>
          </c:cat>
          <c:val>
            <c:numRef>
              <c:f>pivot!$F$13:$F$17</c:f>
              <c:numCache>
                <c:formatCode>0.00</c:formatCode>
                <c:ptCount val="4"/>
                <c:pt idx="0">
                  <c:v>0.90837894447099332</c:v>
                </c:pt>
                <c:pt idx="1">
                  <c:v>0.8105804470271909</c:v>
                </c:pt>
                <c:pt idx="2">
                  <c:v>1</c:v>
                </c:pt>
                <c:pt idx="3">
                  <c:v>0.64228369453879008</c:v>
                </c:pt>
              </c:numCache>
            </c:numRef>
          </c:val>
          <c:extLst>
            <c:ext xmlns:c16="http://schemas.microsoft.com/office/drawing/2014/chart" uri="{C3380CC4-5D6E-409C-BE32-E72D297353CC}">
              <c16:uniqueId val="{00000000-4158-4C01-AC85-08BF07090B6F}"/>
            </c:ext>
          </c:extLst>
        </c:ser>
        <c:ser>
          <c:idx val="1"/>
          <c:order val="1"/>
          <c:tx>
            <c:strRef>
              <c:f>pivot!$G$12</c:f>
              <c:strCache>
                <c:ptCount val="1"/>
                <c:pt idx="0">
                  <c:v>Sum of Jensen's Alpha</c:v>
                </c:pt>
              </c:strCache>
            </c:strRef>
          </c:tx>
          <c:spPr>
            <a:solidFill>
              <a:schemeClr val="accent2"/>
            </a:solidFill>
            <a:ln>
              <a:noFill/>
            </a:ln>
            <a:effectLst/>
          </c:spPr>
          <c:invertIfNegative val="0"/>
          <c:cat>
            <c:strRef>
              <c:f>pivot!$E$13:$E$17</c:f>
              <c:strCache>
                <c:ptCount val="4"/>
                <c:pt idx="0">
                  <c:v>Canara Robeco</c:v>
                </c:pt>
                <c:pt idx="1">
                  <c:v>HDFC</c:v>
                </c:pt>
                <c:pt idx="2">
                  <c:v>Nifty 500 TRI (Benchmark)</c:v>
                </c:pt>
                <c:pt idx="3">
                  <c:v>Parag Parikh</c:v>
                </c:pt>
              </c:strCache>
            </c:strRef>
          </c:cat>
          <c:val>
            <c:numRef>
              <c:f>pivot!$G$13:$G$17</c:f>
              <c:numCache>
                <c:formatCode>0.00%</c:formatCode>
                <c:ptCount val="4"/>
                <c:pt idx="0">
                  <c:v>-1.2329963405884034E-2</c:v>
                </c:pt>
                <c:pt idx="1">
                  <c:v>6.7070431676839459E-2</c:v>
                </c:pt>
                <c:pt idx="2">
                  <c:v>0</c:v>
                </c:pt>
                <c:pt idx="3">
                  <c:v>2.5370923349042646E-2</c:v>
                </c:pt>
              </c:numCache>
            </c:numRef>
          </c:val>
          <c:extLst>
            <c:ext xmlns:c16="http://schemas.microsoft.com/office/drawing/2014/chart" uri="{C3380CC4-5D6E-409C-BE32-E72D297353CC}">
              <c16:uniqueId val="{00000001-4158-4C01-AC85-08BF07090B6F}"/>
            </c:ext>
          </c:extLst>
        </c:ser>
        <c:ser>
          <c:idx val="2"/>
          <c:order val="2"/>
          <c:tx>
            <c:strRef>
              <c:f>pivot!$H$12</c:f>
              <c:strCache>
                <c:ptCount val="1"/>
                <c:pt idx="0">
                  <c:v>Sum of Sharpe Ratio</c:v>
                </c:pt>
              </c:strCache>
            </c:strRef>
          </c:tx>
          <c:spPr>
            <a:solidFill>
              <a:schemeClr val="accent3"/>
            </a:solidFill>
            <a:ln>
              <a:noFill/>
            </a:ln>
            <a:effectLst/>
          </c:spPr>
          <c:invertIfNegative val="0"/>
          <c:cat>
            <c:strRef>
              <c:f>pivot!$E$13:$E$17</c:f>
              <c:strCache>
                <c:ptCount val="4"/>
                <c:pt idx="0">
                  <c:v>Canara Robeco</c:v>
                </c:pt>
                <c:pt idx="1">
                  <c:v>HDFC</c:v>
                </c:pt>
                <c:pt idx="2">
                  <c:v>Nifty 500 TRI (Benchmark)</c:v>
                </c:pt>
                <c:pt idx="3">
                  <c:v>Parag Parikh</c:v>
                </c:pt>
              </c:strCache>
            </c:strRef>
          </c:cat>
          <c:val>
            <c:numRef>
              <c:f>pivot!$H$13:$H$17</c:f>
              <c:numCache>
                <c:formatCode>0.00</c:formatCode>
                <c:ptCount val="4"/>
                <c:pt idx="0">
                  <c:v>0.18677568368313538</c:v>
                </c:pt>
                <c:pt idx="1">
                  <c:v>0.78879421545738693</c:v>
                </c:pt>
                <c:pt idx="2">
                  <c:v>0.28464112021083937</c:v>
                </c:pt>
                <c:pt idx="3">
                  <c:v>0.49000632497261232</c:v>
                </c:pt>
              </c:numCache>
            </c:numRef>
          </c:val>
          <c:extLst>
            <c:ext xmlns:c16="http://schemas.microsoft.com/office/drawing/2014/chart" uri="{C3380CC4-5D6E-409C-BE32-E72D297353CC}">
              <c16:uniqueId val="{00000002-4158-4C01-AC85-08BF07090B6F}"/>
            </c:ext>
          </c:extLst>
        </c:ser>
        <c:ser>
          <c:idx val="3"/>
          <c:order val="3"/>
          <c:tx>
            <c:strRef>
              <c:f>pivot!$I$12</c:f>
              <c:strCache>
                <c:ptCount val="1"/>
                <c:pt idx="0">
                  <c:v>Count of Treynor Ratio</c:v>
                </c:pt>
              </c:strCache>
            </c:strRef>
          </c:tx>
          <c:spPr>
            <a:solidFill>
              <a:schemeClr val="accent4"/>
            </a:solidFill>
            <a:ln>
              <a:noFill/>
            </a:ln>
            <a:effectLst/>
          </c:spPr>
          <c:invertIfNegative val="0"/>
          <c:cat>
            <c:strRef>
              <c:f>pivot!$E$13:$E$17</c:f>
              <c:strCache>
                <c:ptCount val="4"/>
                <c:pt idx="0">
                  <c:v>Canara Robeco</c:v>
                </c:pt>
                <c:pt idx="1">
                  <c:v>HDFC</c:v>
                </c:pt>
                <c:pt idx="2">
                  <c:v>Nifty 500 TRI (Benchmark)</c:v>
                </c:pt>
                <c:pt idx="3">
                  <c:v>Parag Parikh</c:v>
                </c:pt>
              </c:strCache>
            </c:strRef>
          </c:cat>
          <c:val>
            <c:numRef>
              <c:f>pivot!$I$13:$I$17</c:f>
              <c:numCache>
                <c:formatCode>General</c:formatCode>
                <c:ptCount val="4"/>
                <c:pt idx="0">
                  <c:v>1</c:v>
                </c:pt>
                <c:pt idx="1">
                  <c:v>1</c:v>
                </c:pt>
                <c:pt idx="2">
                  <c:v>1</c:v>
                </c:pt>
                <c:pt idx="3">
                  <c:v>1</c:v>
                </c:pt>
              </c:numCache>
            </c:numRef>
          </c:val>
          <c:extLst>
            <c:ext xmlns:c16="http://schemas.microsoft.com/office/drawing/2014/chart" uri="{C3380CC4-5D6E-409C-BE32-E72D297353CC}">
              <c16:uniqueId val="{00000003-4158-4C01-AC85-08BF07090B6F}"/>
            </c:ext>
          </c:extLst>
        </c:ser>
        <c:ser>
          <c:idx val="4"/>
          <c:order val="4"/>
          <c:tx>
            <c:strRef>
              <c:f>pivot!$J$12</c:f>
              <c:strCache>
                <c:ptCount val="1"/>
                <c:pt idx="0">
                  <c:v>Sum of Annualised Return</c:v>
                </c:pt>
              </c:strCache>
            </c:strRef>
          </c:tx>
          <c:spPr>
            <a:solidFill>
              <a:schemeClr val="accent5"/>
            </a:solidFill>
            <a:ln>
              <a:noFill/>
            </a:ln>
            <a:effectLst/>
          </c:spPr>
          <c:invertIfNegative val="0"/>
          <c:cat>
            <c:strRef>
              <c:f>pivot!$E$13:$E$17</c:f>
              <c:strCache>
                <c:ptCount val="4"/>
                <c:pt idx="0">
                  <c:v>Canara Robeco</c:v>
                </c:pt>
                <c:pt idx="1">
                  <c:v>HDFC</c:v>
                </c:pt>
                <c:pt idx="2">
                  <c:v>Nifty 500 TRI (Benchmark)</c:v>
                </c:pt>
                <c:pt idx="3">
                  <c:v>Parag Parikh</c:v>
                </c:pt>
              </c:strCache>
            </c:strRef>
          </c:cat>
          <c:val>
            <c:numRef>
              <c:f>pivot!$J$13:$J$17</c:f>
              <c:numCache>
                <c:formatCode>0.00%</c:formatCode>
                <c:ptCount val="4"/>
                <c:pt idx="0">
                  <c:v>9.0589353123074368E-2</c:v>
                </c:pt>
                <c:pt idx="1">
                  <c:v>0.1659072535561803</c:v>
                </c:pt>
                <c:pt idx="2">
                  <c:v>0.1067439404113899</c:v>
                </c:pt>
                <c:pt idx="3">
                  <c:v>0.11718237562107725</c:v>
                </c:pt>
              </c:numCache>
            </c:numRef>
          </c:val>
          <c:extLst>
            <c:ext xmlns:c16="http://schemas.microsoft.com/office/drawing/2014/chart" uri="{C3380CC4-5D6E-409C-BE32-E72D297353CC}">
              <c16:uniqueId val="{00000004-4158-4C01-AC85-08BF07090B6F}"/>
            </c:ext>
          </c:extLst>
        </c:ser>
        <c:ser>
          <c:idx val="5"/>
          <c:order val="5"/>
          <c:tx>
            <c:strRef>
              <c:f>pivot!$K$12</c:f>
              <c:strCache>
                <c:ptCount val="1"/>
                <c:pt idx="0">
                  <c:v>Sum of Annualised Std Dev (Risk)</c:v>
                </c:pt>
              </c:strCache>
            </c:strRef>
          </c:tx>
          <c:spPr>
            <a:solidFill>
              <a:schemeClr val="accent6"/>
            </a:solidFill>
            <a:ln>
              <a:noFill/>
            </a:ln>
            <a:effectLst/>
          </c:spPr>
          <c:invertIfNegative val="0"/>
          <c:cat>
            <c:strRef>
              <c:f>pivot!$E$13:$E$17</c:f>
              <c:strCache>
                <c:ptCount val="4"/>
                <c:pt idx="0">
                  <c:v>Canara Robeco</c:v>
                </c:pt>
                <c:pt idx="1">
                  <c:v>HDFC</c:v>
                </c:pt>
                <c:pt idx="2">
                  <c:v>Nifty 500 TRI (Benchmark)</c:v>
                </c:pt>
                <c:pt idx="3">
                  <c:v>Parag Parikh</c:v>
                </c:pt>
              </c:strCache>
            </c:strRef>
          </c:cat>
          <c:val>
            <c:numRef>
              <c:f>pivot!$K$13:$K$17</c:f>
              <c:numCache>
                <c:formatCode>0.00%</c:formatCode>
                <c:ptCount val="4"/>
                <c:pt idx="0">
                  <c:v>0.13700580620808572</c:v>
                </c:pt>
                <c:pt idx="1">
                  <c:v>0.1279259553110042</c:v>
                </c:pt>
                <c:pt idx="2">
                  <c:v>0.14665463788390565</c:v>
                </c:pt>
                <c:pt idx="3">
                  <c:v>0.10649326949809036</c:v>
                </c:pt>
              </c:numCache>
            </c:numRef>
          </c:val>
          <c:extLst>
            <c:ext xmlns:c16="http://schemas.microsoft.com/office/drawing/2014/chart" uri="{C3380CC4-5D6E-409C-BE32-E72D297353CC}">
              <c16:uniqueId val="{00000005-4158-4C01-AC85-08BF07090B6F}"/>
            </c:ext>
          </c:extLst>
        </c:ser>
        <c:dLbls>
          <c:showLegendKey val="0"/>
          <c:showVal val="0"/>
          <c:showCatName val="0"/>
          <c:showSerName val="0"/>
          <c:showPercent val="0"/>
          <c:showBubbleSize val="0"/>
        </c:dLbls>
        <c:gapWidth val="182"/>
        <c:axId val="120639648"/>
        <c:axId val="1710739952"/>
      </c:barChart>
      <c:catAx>
        <c:axId val="12063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739952"/>
        <c:crosses val="autoZero"/>
        <c:auto val="1"/>
        <c:lblAlgn val="ctr"/>
        <c:lblOffset val="100"/>
        <c:noMultiLvlLbl val="0"/>
      </c:catAx>
      <c:valAx>
        <c:axId val="17107399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3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523875</xdr:colOff>
      <xdr:row>0</xdr:row>
      <xdr:rowOff>123825</xdr:rowOff>
    </xdr:from>
    <xdr:to>
      <xdr:col>15</xdr:col>
      <xdr:colOff>219075</xdr:colOff>
      <xdr:row>15</xdr:row>
      <xdr:rowOff>104775</xdr:rowOff>
    </xdr:to>
    <xdr:graphicFrame macro="">
      <xdr:nvGraphicFramePr>
        <xdr:cNvPr id="2" name="Chart 1">
          <a:extLst>
            <a:ext uri="{FF2B5EF4-FFF2-40B4-BE49-F238E27FC236}">
              <a16:creationId xmlns:a16="http://schemas.microsoft.com/office/drawing/2014/main" id="{B0410F58-1D63-395D-54EF-57F03CCA8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149225</xdr:rowOff>
    </xdr:from>
    <xdr:to>
      <xdr:col>7</xdr:col>
      <xdr:colOff>304800</xdr:colOff>
      <xdr:row>15</xdr:row>
      <xdr:rowOff>130175</xdr:rowOff>
    </xdr:to>
    <xdr:graphicFrame macro="">
      <xdr:nvGraphicFramePr>
        <xdr:cNvPr id="3" name="Chart 2">
          <a:extLst>
            <a:ext uri="{FF2B5EF4-FFF2-40B4-BE49-F238E27FC236}">
              <a16:creationId xmlns:a16="http://schemas.microsoft.com/office/drawing/2014/main" id="{E5C10A94-0A72-4112-E32D-D71D603C3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173878</xdr:rowOff>
    </xdr:from>
    <xdr:to>
      <xdr:col>7</xdr:col>
      <xdr:colOff>304800</xdr:colOff>
      <xdr:row>20</xdr:row>
      <xdr:rowOff>154828</xdr:rowOff>
    </xdr:to>
    <xdr:graphicFrame macro="">
      <xdr:nvGraphicFramePr>
        <xdr:cNvPr id="2" name="Chart 1">
          <a:extLst>
            <a:ext uri="{FF2B5EF4-FFF2-40B4-BE49-F238E27FC236}">
              <a16:creationId xmlns:a16="http://schemas.microsoft.com/office/drawing/2014/main" id="{75AB3D68-94E4-3BB4-233C-A18BB5C4F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418166</xdr:colOff>
      <xdr:row>5</xdr:row>
      <xdr:rowOff>105024</xdr:rowOff>
    </xdr:from>
    <xdr:to>
      <xdr:col>15</xdr:col>
      <xdr:colOff>113366</xdr:colOff>
      <xdr:row>20</xdr:row>
      <xdr:rowOff>85974</xdr:rowOff>
    </xdr:to>
    <xdr:graphicFrame macro="">
      <xdr:nvGraphicFramePr>
        <xdr:cNvPr id="3" name="Chart 2">
          <a:extLst>
            <a:ext uri="{FF2B5EF4-FFF2-40B4-BE49-F238E27FC236}">
              <a16:creationId xmlns:a16="http://schemas.microsoft.com/office/drawing/2014/main" id="{B6D6433D-E56C-92E9-94B3-50DE66C72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67671</xdr:rowOff>
    </xdr:from>
    <xdr:to>
      <xdr:col>7</xdr:col>
      <xdr:colOff>304800</xdr:colOff>
      <xdr:row>36</xdr:row>
      <xdr:rowOff>48622</xdr:rowOff>
    </xdr:to>
    <xdr:graphicFrame macro="">
      <xdr:nvGraphicFramePr>
        <xdr:cNvPr id="4" name="Chart 3">
          <a:extLst>
            <a:ext uri="{FF2B5EF4-FFF2-40B4-BE49-F238E27FC236}">
              <a16:creationId xmlns:a16="http://schemas.microsoft.com/office/drawing/2014/main" id="{E6CD98D1-C5A1-655D-5C9B-ADDCC1205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468344</xdr:colOff>
      <xdr:row>21</xdr:row>
      <xdr:rowOff>47875</xdr:rowOff>
    </xdr:from>
    <xdr:to>
      <xdr:col>15</xdr:col>
      <xdr:colOff>163046</xdr:colOff>
      <xdr:row>36</xdr:row>
      <xdr:rowOff>28825</xdr:rowOff>
    </xdr:to>
    <xdr:graphicFrame macro="">
      <xdr:nvGraphicFramePr>
        <xdr:cNvPr id="5" name="Chart 4">
          <a:extLst>
            <a:ext uri="{FF2B5EF4-FFF2-40B4-BE49-F238E27FC236}">
              <a16:creationId xmlns:a16="http://schemas.microsoft.com/office/drawing/2014/main" id="{FABBC1A7-7164-DD6D-7023-787C75EA6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124510</xdr:colOff>
      <xdr:row>1</xdr:row>
      <xdr:rowOff>49804</xdr:rowOff>
    </xdr:from>
    <xdr:to>
      <xdr:col>14</xdr:col>
      <xdr:colOff>348627</xdr:colOff>
      <xdr:row>4</xdr:row>
      <xdr:rowOff>0</xdr:rowOff>
    </xdr:to>
    <xdr:sp macro="" textlink="">
      <xdr:nvSpPr>
        <xdr:cNvPr id="6" name="Rectangle: Rounded Corners 5">
          <a:extLst>
            <a:ext uri="{FF2B5EF4-FFF2-40B4-BE49-F238E27FC236}">
              <a16:creationId xmlns:a16="http://schemas.microsoft.com/office/drawing/2014/main" id="{1A7768DC-4C6A-F31E-1746-5614F55B0FBC}"/>
            </a:ext>
          </a:extLst>
        </xdr:cNvPr>
        <xdr:cNvSpPr/>
      </xdr:nvSpPr>
      <xdr:spPr>
        <a:xfrm>
          <a:off x="124510" y="236569"/>
          <a:ext cx="8765490" cy="5104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t>dashboard</a:t>
          </a:r>
        </a:p>
      </xdr:txBody>
    </xdr:sp>
    <xdr:clientData/>
  </xdr:twoCellAnchor>
  <xdr:twoCellAnchor editAs="oneCell">
    <xdr:from>
      <xdr:col>0</xdr:col>
      <xdr:colOff>0</xdr:colOff>
      <xdr:row>37</xdr:row>
      <xdr:rowOff>75329</xdr:rowOff>
    </xdr:from>
    <xdr:to>
      <xdr:col>15</xdr:col>
      <xdr:colOff>186763</xdr:colOff>
      <xdr:row>41</xdr:row>
      <xdr:rowOff>49804</xdr:rowOff>
    </xdr:to>
    <mc:AlternateContent xmlns:mc="http://schemas.openxmlformats.org/markup-compatibility/2006" xmlns:a14="http://schemas.microsoft.com/office/drawing/2010/main">
      <mc:Choice Requires="a14">
        <xdr:graphicFrame macro="">
          <xdr:nvGraphicFramePr>
            <xdr:cNvPr id="7" name="Scheme">
              <a:extLst>
                <a:ext uri="{FF2B5EF4-FFF2-40B4-BE49-F238E27FC236}">
                  <a16:creationId xmlns:a16="http://schemas.microsoft.com/office/drawing/2014/main" id="{E2D72EB3-DAB3-C6F1-AE88-7BA5EADF2DB9}"/>
                </a:ext>
              </a:extLst>
            </xdr:cNvPr>
            <xdr:cNvGraphicFramePr/>
          </xdr:nvGraphicFramePr>
          <xdr:xfrm>
            <a:off x="0" y="0"/>
            <a:ext cx="0" cy="0"/>
          </xdr:xfrm>
          <a:graphic>
            <a:graphicData uri="http://schemas.microsoft.com/office/drawing/2010/slicer">
              <sle:slicer xmlns:sle="http://schemas.microsoft.com/office/drawing/2010/slicer" name="Scheme"/>
            </a:graphicData>
          </a:graphic>
        </xdr:graphicFrame>
      </mc:Choice>
      <mc:Fallback xmlns="">
        <xdr:sp macro="" textlink="">
          <xdr:nvSpPr>
            <xdr:cNvPr id="0" name=""/>
            <xdr:cNvSpPr>
              <a:spLocks noTextEdit="1"/>
            </xdr:cNvSpPr>
          </xdr:nvSpPr>
          <xdr:spPr>
            <a:xfrm>
              <a:off x="0" y="6985623"/>
              <a:ext cx="9338234" cy="721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69.943389699074" createdVersion="8" refreshedVersion="8" minRefreshableVersion="3" recordCount="4" xr:uid="{9676DA98-BC04-4A79-86C2-23DA0B47B22D}">
  <cacheSource type="worksheet">
    <worksheetSource ref="A10:G14" sheet="Performance Metrics"/>
  </cacheSource>
  <cacheFields count="7">
    <cacheField name="Scheme" numFmtId="0">
      <sharedItems count="4">
        <s v="Canara Robeco"/>
        <s v="HDFC"/>
        <s v="Parag Parikh"/>
        <s v="Nifty 500 TRI (Benchmark)"/>
      </sharedItems>
    </cacheField>
    <cacheField name="Annualised Return" numFmtId="10">
      <sharedItems containsSemiMixedTypes="0" containsString="0" containsNumber="1" minValue="9.0589353123074368E-2" maxValue="0.1659072535561803"/>
    </cacheField>
    <cacheField name="Annualised Std Dev (Risk)" numFmtId="10">
      <sharedItems containsSemiMixedTypes="0" containsString="0" containsNumber="1" minValue="0.10649326949809036" maxValue="0.14665463788390565"/>
    </cacheField>
    <cacheField name="Beta" numFmtId="2">
      <sharedItems containsSemiMixedTypes="0" containsString="0" containsNumber="1" minValue="0.64228369453879008" maxValue="1" count="4">
        <n v="0.90837894447099332"/>
        <n v="0.8105804470271909"/>
        <n v="0.64228369453879008"/>
        <n v="1"/>
      </sharedItems>
    </cacheField>
    <cacheField name="Sharpe Ratio" numFmtId="2">
      <sharedItems containsSemiMixedTypes="0" containsString="0" containsNumber="1" minValue="0.18677568368313538" maxValue="0.78879421545738693"/>
    </cacheField>
    <cacheField name="Treynor Ratio" numFmtId="0">
      <sharedItems containsMixedTypes="1" containsNumber="1" minValue="2.8170350357445448E-2" maxValue="0.12448764823560489"/>
    </cacheField>
    <cacheField name="Jensen's Alpha" numFmtId="10">
      <sharedItems containsSemiMixedTypes="0" containsString="0" containsNumber="1" minValue="-1.2329963405884034E-2" maxValue="6.7070431676839459E-2"/>
    </cacheField>
  </cacheFields>
  <extLst>
    <ext xmlns:x14="http://schemas.microsoft.com/office/spreadsheetml/2009/9/main" uri="{725AE2AE-9491-48be-B2B4-4EB974FC3084}">
      <x14:pivotCacheDefinition pivotCacheId="1259813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9.0589353123074368E-2"/>
    <n v="0.13700580620808572"/>
    <x v="0"/>
    <n v="0.18677568368313538"/>
    <n v="2.8170350357445448E-2"/>
    <n v="-1.2329963405884034E-2"/>
  </r>
  <r>
    <x v="1"/>
    <n v="0.1659072535561803"/>
    <n v="0.1279259553110042"/>
    <x v="1"/>
    <n v="0.78879421545738693"/>
    <n v="0.12448764823560489"/>
    <n v="6.7070431676839459E-2"/>
  </r>
  <r>
    <x v="2"/>
    <n v="0.11718237562107725"/>
    <n v="0.10649326949809036"/>
    <x v="2"/>
    <n v="0.49000632497261232"/>
    <n v="8.1245057386282044E-2"/>
    <n v="2.5370923349042646E-2"/>
  </r>
  <r>
    <x v="3"/>
    <n v="0.1067439404113899"/>
    <n v="0.14665463788390565"/>
    <x v="3"/>
    <n v="0.28464112021083937"/>
    <s v="—"/>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55E891-5C3F-4DDC-9677-8B557FCB02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H8" firstHeaderRow="0" firstDataRow="1" firstDataCol="1"/>
  <pivotFields count="7">
    <pivotField axis="axisRow" showAll="0">
      <items count="5">
        <item x="0"/>
        <item x="1"/>
        <item x="3"/>
        <item x="2"/>
        <item t="default"/>
      </items>
    </pivotField>
    <pivotField numFmtId="10" showAll="0"/>
    <pivotField numFmtId="10" showAll="0"/>
    <pivotField dataField="1" numFmtId="2" showAll="0">
      <items count="5">
        <item x="2"/>
        <item x="1"/>
        <item x="0"/>
        <item x="3"/>
        <item t="default"/>
      </items>
    </pivotField>
    <pivotField dataField="1" numFmtId="2" showAll="0"/>
    <pivotField dataField="1" showAll="0"/>
    <pivotField numFmtId="10" showAll="0"/>
  </pivotFields>
  <rowFields count="1">
    <field x="0"/>
  </rowFields>
  <rowItems count="5">
    <i>
      <x/>
    </i>
    <i>
      <x v="1"/>
    </i>
    <i>
      <x v="2"/>
    </i>
    <i>
      <x v="3"/>
    </i>
    <i t="grand">
      <x/>
    </i>
  </rowItems>
  <colFields count="1">
    <field x="-2"/>
  </colFields>
  <colItems count="3">
    <i>
      <x/>
    </i>
    <i i="1">
      <x v="1"/>
    </i>
    <i i="2">
      <x v="2"/>
    </i>
  </colItems>
  <dataFields count="3">
    <dataField name="Sum of Beta" fld="3" baseField="0" baseItem="0" numFmtId="2"/>
    <dataField name="Count of Treynor Ratio" fld="5" subtotal="count" baseField="0" baseItem="0"/>
    <dataField name="Sum of Sharpe Ratio" fld="4" baseField="0" baseItem="0" numFmtId="2"/>
  </dataField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AE5767-E146-4D10-A9D7-E351DB8A462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3:B18" firstHeaderRow="1" firstDataRow="1" firstDataCol="1"/>
  <pivotFields count="7">
    <pivotField axis="axisRow" showAll="0">
      <items count="5">
        <item x="0"/>
        <item x="1"/>
        <item x="3"/>
        <item x="2"/>
        <item t="default"/>
      </items>
    </pivotField>
    <pivotField dataField="1" numFmtId="10" showAll="0"/>
    <pivotField numFmtId="10" showAll="0"/>
    <pivotField numFmtId="2" showAll="0"/>
    <pivotField numFmtId="2" showAll="0"/>
    <pivotField showAll="0"/>
    <pivotField numFmtId="10" showAll="0"/>
  </pivotFields>
  <rowFields count="1">
    <field x="0"/>
  </rowFields>
  <rowItems count="5">
    <i>
      <x/>
    </i>
    <i>
      <x v="1"/>
    </i>
    <i>
      <x v="2"/>
    </i>
    <i>
      <x v="3"/>
    </i>
    <i t="grand">
      <x/>
    </i>
  </rowItems>
  <colItems count="1">
    <i/>
  </colItems>
  <dataFields count="1">
    <dataField name="Sum of Annualised Return" fld="1" baseField="0" baseItem="0" numFmtId="1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DC8C0-AF41-407A-87D0-7406824DB4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7">
    <pivotField axis="axisRow" showAll="0">
      <items count="5">
        <item x="0"/>
        <item x="1"/>
        <item x="3"/>
        <item x="2"/>
        <item t="default"/>
      </items>
    </pivotField>
    <pivotField numFmtId="10" showAll="0"/>
    <pivotField dataField="1" numFmtId="10" showAll="0"/>
    <pivotField numFmtId="2" showAll="0"/>
    <pivotField numFmtId="2" showAll="0"/>
    <pivotField showAll="0"/>
    <pivotField numFmtId="10" showAll="0"/>
  </pivotFields>
  <rowFields count="1">
    <field x="0"/>
  </rowFields>
  <rowItems count="5">
    <i>
      <x/>
    </i>
    <i>
      <x v="1"/>
    </i>
    <i>
      <x v="2"/>
    </i>
    <i>
      <x v="3"/>
    </i>
    <i t="grand">
      <x/>
    </i>
  </rowItems>
  <colItems count="1">
    <i/>
  </colItems>
  <dataFields count="1">
    <dataField name="Sum of Annualised Std Dev (Risk)" fld="2" baseField="0" baseItem="0" numFmtId="1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074FDC-CF98-46C9-85BA-6EF9A377158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12:K17" firstHeaderRow="0" firstDataRow="1" firstDataCol="1"/>
  <pivotFields count="7">
    <pivotField axis="axisRow" showAll="0">
      <items count="5">
        <item x="0"/>
        <item x="1"/>
        <item x="3"/>
        <item x="2"/>
        <item t="default"/>
      </items>
    </pivotField>
    <pivotField dataField="1" numFmtId="10" showAll="0"/>
    <pivotField dataField="1" numFmtId="10" showAll="0"/>
    <pivotField dataField="1" numFmtId="2" showAll="0"/>
    <pivotField dataField="1" numFmtId="2" showAll="0"/>
    <pivotField dataField="1" showAll="0"/>
    <pivotField dataField="1" numFmtId="10" showAll="0"/>
  </pivotFields>
  <rowFields count="1">
    <field x="0"/>
  </rowFields>
  <rowItems count="5">
    <i>
      <x/>
    </i>
    <i>
      <x v="1"/>
    </i>
    <i>
      <x v="2"/>
    </i>
    <i>
      <x v="3"/>
    </i>
    <i t="grand">
      <x/>
    </i>
  </rowItems>
  <colFields count="1">
    <field x="-2"/>
  </colFields>
  <colItems count="6">
    <i>
      <x/>
    </i>
    <i i="1">
      <x v="1"/>
    </i>
    <i i="2">
      <x v="2"/>
    </i>
    <i i="3">
      <x v="3"/>
    </i>
    <i i="4">
      <x v="4"/>
    </i>
    <i i="5">
      <x v="5"/>
    </i>
  </colItems>
  <dataFields count="6">
    <dataField name="Sum of Beta" fld="3" baseField="0" baseItem="0" numFmtId="2"/>
    <dataField name="Sum of Jensen's Alpha" fld="6" baseField="0" baseItem="0" numFmtId="10"/>
    <dataField name="Sum of Sharpe Ratio" fld="4" baseField="0" baseItem="0" numFmtId="2"/>
    <dataField name="Count of Treynor Ratio" fld="5" subtotal="count" baseField="0" baseItem="0"/>
    <dataField name="Sum of Annualised Return" fld="1" baseField="0" baseItem="0" numFmtId="10"/>
    <dataField name="Sum of Annualised Std Dev (Risk)" fld="2" baseField="0" baseItem="0" numFmtId="10"/>
  </dataFields>
  <chartFormats count="6">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3"/>
          </reference>
        </references>
      </pivotArea>
    </chartFormat>
    <chartFormat chart="2" format="10" series="1">
      <pivotArea type="data" outline="0" fieldPosition="0">
        <references count="1">
          <reference field="4294967294" count="1" selected="0">
            <x v="4"/>
          </reference>
        </references>
      </pivotArea>
    </chartFormat>
    <chartFormat chart="2" format="11"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eme" xr10:uid="{A0383CB4-3257-4050-8F7F-4374E014E68B}" sourceName="Scheme">
  <pivotTables>
    <pivotTable tabId="11" name="PivotTable7"/>
    <pivotTable tabId="11" name="PivotTable10"/>
    <pivotTable tabId="11" name="PivotTable8"/>
    <pivotTable tabId="11" name="PivotTable9"/>
  </pivotTables>
  <data>
    <tabular pivotCacheId="1259813898">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heme" xr10:uid="{AF0E5438-8BB5-4F59-8CCE-226D49D5B742}" cache="Slicer_Scheme" caption="Scheme" columnCount="4" rowHeight="251883"/>
</slicer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Normal="100" workbookViewId="0">
      <selection activeCell="C14" sqref="C14"/>
    </sheetView>
  </sheetViews>
  <sheetFormatPr defaultColWidth="8.54296875" defaultRowHeight="14.5" x14ac:dyDescent="0.35"/>
  <cols>
    <col min="1" max="1" width="22" customWidth="1"/>
    <col min="2" max="2" width="16" customWidth="1"/>
    <col min="3" max="3" width="18" customWidth="1"/>
    <col min="4" max="4" width="10" customWidth="1"/>
    <col min="5" max="6" width="12" customWidth="1"/>
    <col min="7" max="7" width="14" customWidth="1"/>
  </cols>
  <sheetData>
    <row r="1" spans="1:7" ht="16.5" x14ac:dyDescent="0.35">
      <c r="A1" s="32" t="s">
        <v>52</v>
      </c>
      <c r="B1" s="32"/>
      <c r="C1" s="32"/>
      <c r="D1" s="32"/>
      <c r="E1" s="32"/>
      <c r="F1" s="32"/>
      <c r="G1" s="32"/>
    </row>
    <row r="2" spans="1:7" x14ac:dyDescent="0.35">
      <c r="A2" s="1"/>
      <c r="B2" s="2"/>
      <c r="C2" s="3"/>
    </row>
    <row r="3" spans="1:7" x14ac:dyDescent="0.35">
      <c r="B3" s="2"/>
      <c r="C3" s="3"/>
    </row>
    <row r="4" spans="1:7" ht="26" x14ac:dyDescent="0.35">
      <c r="A4" s="4" t="s">
        <v>0</v>
      </c>
      <c r="B4" s="5" t="s">
        <v>1</v>
      </c>
      <c r="C4" s="6" t="s">
        <v>2</v>
      </c>
      <c r="D4" s="4" t="s">
        <v>3</v>
      </c>
      <c r="E4" s="4" t="s">
        <v>4</v>
      </c>
      <c r="F4" s="4" t="s">
        <v>5</v>
      </c>
      <c r="G4" s="4" t="s">
        <v>6</v>
      </c>
    </row>
    <row r="5" spans="1:7" x14ac:dyDescent="0.35">
      <c r="A5" s="7" t="str">
        <f>'Performance Metrics'!A11</f>
        <v>Canara Robeco</v>
      </c>
      <c r="B5" s="8">
        <f>'Performance Metrics'!B11</f>
        <v>9.0589353123074368E-2</v>
      </c>
      <c r="C5" s="9">
        <f>'Performance Metrics'!C11</f>
        <v>0.13700580620808572</v>
      </c>
      <c r="D5" s="10">
        <f>'Performance Metrics'!D11</f>
        <v>0.90837894447099332</v>
      </c>
      <c r="E5" s="10">
        <f>'Performance Metrics'!E11</f>
        <v>0.18677568368313538</v>
      </c>
      <c r="F5" s="10">
        <f>'Performance Metrics'!F11</f>
        <v>2.8170350357445448E-2</v>
      </c>
      <c r="G5" s="9">
        <f>'Performance Metrics'!G11</f>
        <v>-1.2329963405884034E-2</v>
      </c>
    </row>
    <row r="6" spans="1:7" x14ac:dyDescent="0.35">
      <c r="A6" s="7" t="str">
        <f>'Performance Metrics'!A12</f>
        <v>HDFC</v>
      </c>
      <c r="B6" s="9">
        <f>'Performance Metrics'!B12</f>
        <v>0.1659072535561803</v>
      </c>
      <c r="C6" s="9">
        <f>'Performance Metrics'!C12</f>
        <v>0.1279259553110042</v>
      </c>
      <c r="D6" s="10">
        <f>'Performance Metrics'!D12</f>
        <v>0.8105804470271909</v>
      </c>
      <c r="E6" s="10">
        <f>'Performance Metrics'!E12</f>
        <v>0.78879421545738693</v>
      </c>
      <c r="F6" s="10">
        <f>'Performance Metrics'!F12</f>
        <v>0.12448764823560489</v>
      </c>
      <c r="G6" s="9">
        <f>'Performance Metrics'!G12</f>
        <v>6.7070431676839459E-2</v>
      </c>
    </row>
    <row r="7" spans="1:7" x14ac:dyDescent="0.35">
      <c r="A7" s="7" t="str">
        <f>'Performance Metrics'!A13</f>
        <v>Parag Parikh</v>
      </c>
      <c r="B7" s="9">
        <f>'Performance Metrics'!B13</f>
        <v>0.11718237562107725</v>
      </c>
      <c r="C7" s="9">
        <f>'Performance Metrics'!C13</f>
        <v>0.10649326949809036</v>
      </c>
      <c r="D7" s="10">
        <f>'Performance Metrics'!D13</f>
        <v>0.64228369453879008</v>
      </c>
      <c r="E7" s="10">
        <f>'Performance Metrics'!E13</f>
        <v>0.49000632497261232</v>
      </c>
      <c r="F7" s="10">
        <f>'Performance Metrics'!F13</f>
        <v>8.1245057386282044E-2</v>
      </c>
      <c r="G7" s="9">
        <f>'Performance Metrics'!G13</f>
        <v>2.5370923349042646E-2</v>
      </c>
    </row>
    <row r="8" spans="1:7" x14ac:dyDescent="0.35">
      <c r="A8" s="7" t="str">
        <f>'Performance Metrics'!A14</f>
        <v>Nifty 500 TRI (Benchmark)</v>
      </c>
      <c r="B8" s="9">
        <f>'Performance Metrics'!B14</f>
        <v>0.1067439404113899</v>
      </c>
      <c r="C8" s="9">
        <f>'Performance Metrics'!C14</f>
        <v>0.14665463788390565</v>
      </c>
      <c r="D8" s="10">
        <f>'Performance Metrics'!D14</f>
        <v>1</v>
      </c>
      <c r="E8" s="10">
        <f>'Performance Metrics'!E14</f>
        <v>0.28464112021083937</v>
      </c>
      <c r="F8" s="10" t="str">
        <f>'Performance Metrics'!F14</f>
        <v>—</v>
      </c>
      <c r="G8" s="9">
        <f>'Performance Metrics'!G14</f>
        <v>0</v>
      </c>
    </row>
    <row r="20" spans="1:7" x14ac:dyDescent="0.35">
      <c r="A20" s="11"/>
    </row>
    <row r="21" spans="1:7" x14ac:dyDescent="0.35">
      <c r="A21" s="33"/>
      <c r="B21" s="33"/>
      <c r="C21" s="33"/>
      <c r="D21" s="33"/>
      <c r="E21" s="33"/>
      <c r="F21" s="33"/>
      <c r="G21" s="33"/>
    </row>
  </sheetData>
  <mergeCells count="2">
    <mergeCell ref="A1:G1"/>
    <mergeCell ref="A21:G21"/>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zoomScaleNormal="100" workbookViewId="0">
      <selection activeCell="B4" sqref="B4"/>
    </sheetView>
  </sheetViews>
  <sheetFormatPr defaultColWidth="8.54296875" defaultRowHeight="14.5" x14ac:dyDescent="0.35"/>
  <cols>
    <col min="1" max="1" width="24" customWidth="1"/>
    <col min="2" max="7" width="15" customWidth="1"/>
  </cols>
  <sheetData>
    <row r="1" spans="1:8" ht="16.5" x14ac:dyDescent="0.35">
      <c r="A1" s="32" t="s">
        <v>50</v>
      </c>
      <c r="B1" s="32"/>
      <c r="C1" s="32"/>
      <c r="D1" s="32"/>
      <c r="E1" s="32"/>
      <c r="F1" s="32"/>
      <c r="G1" s="32"/>
      <c r="H1" s="32"/>
    </row>
    <row r="3" spans="1:8" x14ac:dyDescent="0.35">
      <c r="A3" s="11" t="s">
        <v>7</v>
      </c>
    </row>
    <row r="4" spans="1:8" x14ac:dyDescent="0.35">
      <c r="A4" s="12" t="s">
        <v>8</v>
      </c>
      <c r="B4" s="35">
        <v>6.5000000000000002E-2</v>
      </c>
      <c r="C4" s="36" t="s">
        <v>51</v>
      </c>
    </row>
    <row r="5" spans="1:8" x14ac:dyDescent="0.35">
      <c r="A5" s="12" t="s">
        <v>9</v>
      </c>
      <c r="B5" s="12" t="s">
        <v>10</v>
      </c>
    </row>
    <row r="6" spans="1:8" x14ac:dyDescent="0.35">
      <c r="A6" s="12" t="s">
        <v>11</v>
      </c>
      <c r="B6" s="12" t="str">
        <f>TEXT('Monthly NAV'!A5,"mmm-yyyy")&amp;" to "&amp;TEXT('Monthly NAV'!A63,"mmm-yyyy")</f>
        <v>Oct-2021 to Aug-2026</v>
      </c>
    </row>
    <row r="7" spans="1:8" x14ac:dyDescent="0.35">
      <c r="A7" s="12" t="s">
        <v>12</v>
      </c>
      <c r="B7" s="13">
        <f>('Monthly NAV'!A63-'Monthly NAV'!A5)/365.25</f>
        <v>4.8323066392881584</v>
      </c>
    </row>
    <row r="8" spans="1:8" x14ac:dyDescent="0.35">
      <c r="A8" s="12" t="s">
        <v>13</v>
      </c>
      <c r="B8" s="37" t="s">
        <v>14</v>
      </c>
      <c r="C8" s="37"/>
      <c r="D8" s="37"/>
      <c r="E8" s="37"/>
      <c r="F8" s="37"/>
      <c r="G8" s="37"/>
      <c r="H8" s="37"/>
    </row>
    <row r="10" spans="1:8" ht="26" x14ac:dyDescent="0.35">
      <c r="A10" s="4" t="s">
        <v>0</v>
      </c>
      <c r="B10" s="4" t="s">
        <v>1</v>
      </c>
      <c r="C10" s="4" t="s">
        <v>2</v>
      </c>
      <c r="D10" s="4" t="s">
        <v>3</v>
      </c>
      <c r="E10" s="4" t="s">
        <v>4</v>
      </c>
      <c r="F10" s="4" t="s">
        <v>5</v>
      </c>
      <c r="G10" s="4" t="s">
        <v>6</v>
      </c>
    </row>
    <row r="11" spans="1:8" x14ac:dyDescent="0.35">
      <c r="A11" s="7" t="s">
        <v>15</v>
      </c>
      <c r="B11" s="9">
        <f>('Monthly NAV'!C63/'Monthly NAV'!C5)^(1/$B$7)-1</f>
        <v>9.0589353123074368E-2</v>
      </c>
      <c r="C11" s="9">
        <f>STDEV('Monthly NAV'!D6:D63)*SQRT(12)</f>
        <v>0.13700580620808572</v>
      </c>
      <c r="D11" s="10">
        <f>SLOPE('Monthly NAV'!D6:D63,'Monthly NAV'!M6:M63)</f>
        <v>0.90837894447099332</v>
      </c>
      <c r="E11" s="10">
        <f>(B11-$B$4)/C11</f>
        <v>0.18677568368313538</v>
      </c>
      <c r="F11" s="10">
        <f>(B11-$B$4)/D11</f>
        <v>2.8170350357445448E-2</v>
      </c>
      <c r="G11" s="9">
        <f>B11-($B$4+D11*($B$14-$B$4))</f>
        <v>-1.2329963405884034E-2</v>
      </c>
    </row>
    <row r="12" spans="1:8" x14ac:dyDescent="0.35">
      <c r="A12" s="7" t="s">
        <v>16</v>
      </c>
      <c r="B12" s="9">
        <f>('Monthly NAV'!F63/'Monthly NAV'!F5)^(1/$B$7)-1</f>
        <v>0.1659072535561803</v>
      </c>
      <c r="C12" s="9">
        <f>STDEV('Monthly NAV'!G6:G63)*SQRT(12)</f>
        <v>0.1279259553110042</v>
      </c>
      <c r="D12" s="10">
        <f>SLOPE('Monthly NAV'!G6:G63,'Monthly NAV'!M6:M63)</f>
        <v>0.8105804470271909</v>
      </c>
      <c r="E12" s="10">
        <f>(B12-$B$4)/C12</f>
        <v>0.78879421545738693</v>
      </c>
      <c r="F12" s="10">
        <f>(B12-$B$4)/D12</f>
        <v>0.12448764823560489</v>
      </c>
      <c r="G12" s="9">
        <f>B12-($B$4+D12*($B$14-$B$4))</f>
        <v>6.7070431676839459E-2</v>
      </c>
    </row>
    <row r="13" spans="1:8" x14ac:dyDescent="0.35">
      <c r="A13" s="7" t="s">
        <v>17</v>
      </c>
      <c r="B13" s="9">
        <f>('Monthly NAV'!I63/'Monthly NAV'!I5)^(1/$B$7)-1</f>
        <v>0.11718237562107725</v>
      </c>
      <c r="C13" s="9">
        <f>STDEV('Monthly NAV'!J6:J63)*SQRT(12)</f>
        <v>0.10649326949809036</v>
      </c>
      <c r="D13" s="10">
        <f>SLOPE('Monthly NAV'!J6:J63,'Monthly NAV'!M6:M63)</f>
        <v>0.64228369453879008</v>
      </c>
      <c r="E13" s="10">
        <f>(B13-$B$4)/C13</f>
        <v>0.49000632497261232</v>
      </c>
      <c r="F13" s="10">
        <f>(B13-$B$4)/D13</f>
        <v>8.1245057386282044E-2</v>
      </c>
      <c r="G13" s="9">
        <f>B13-($B$4+D13*($B$14-$B$4))</f>
        <v>2.5370923349042646E-2</v>
      </c>
    </row>
    <row r="14" spans="1:8" x14ac:dyDescent="0.35">
      <c r="A14" s="14" t="s">
        <v>18</v>
      </c>
      <c r="B14" s="15">
        <f>('Monthly NAV'!L63/'Monthly NAV'!L5)^(1/$B$7)-1</f>
        <v>0.1067439404113899</v>
      </c>
      <c r="C14" s="15">
        <f>STDEV('Monthly NAV'!M6:M63)*SQRT(12)</f>
        <v>0.14665463788390565</v>
      </c>
      <c r="D14" s="16">
        <v>1</v>
      </c>
      <c r="E14" s="16">
        <f>(B14-$B$4)/C14</f>
        <v>0.28464112021083937</v>
      </c>
      <c r="F14" s="17" t="s">
        <v>19</v>
      </c>
      <c r="G14" s="15">
        <v>0</v>
      </c>
    </row>
  </sheetData>
  <mergeCells count="2">
    <mergeCell ref="A1:H1"/>
    <mergeCell ref="B8:H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3"/>
  <sheetViews>
    <sheetView zoomScale="81" zoomScaleNormal="100" workbookViewId="0">
      <pane xSplit="1" ySplit="4" topLeftCell="B5" activePane="bottomRight" state="frozen"/>
      <selection pane="topRight" activeCell="B1" sqref="B1"/>
      <selection pane="bottomLeft" activeCell="A5" sqref="A5"/>
      <selection pane="bottomRight" sqref="A1:M1"/>
    </sheetView>
  </sheetViews>
  <sheetFormatPr defaultColWidth="8.54296875" defaultRowHeight="14.5" x14ac:dyDescent="0.35"/>
  <cols>
    <col min="1" max="13" width="13" customWidth="1"/>
  </cols>
  <sheetData>
    <row r="1" spans="1:13" ht="16.5" x14ac:dyDescent="0.35">
      <c r="A1" s="34"/>
      <c r="B1" s="32"/>
      <c r="C1" s="32"/>
      <c r="D1" s="32"/>
      <c r="E1" s="32"/>
      <c r="F1" s="32"/>
      <c r="G1" s="32"/>
      <c r="H1" s="32"/>
      <c r="I1" s="32"/>
      <c r="J1" s="32"/>
      <c r="K1" s="32"/>
      <c r="L1" s="32"/>
      <c r="M1" s="32"/>
    </row>
    <row r="2" spans="1:13" x14ac:dyDescent="0.35">
      <c r="A2" s="33"/>
      <c r="B2" s="33"/>
      <c r="C2" s="33"/>
      <c r="D2" s="33"/>
      <c r="E2" s="33"/>
      <c r="F2" s="33"/>
      <c r="G2" s="33"/>
      <c r="H2" s="33"/>
      <c r="I2" s="33"/>
      <c r="J2" s="33"/>
      <c r="K2" s="33"/>
      <c r="L2" s="33"/>
      <c r="M2" s="33"/>
    </row>
    <row r="4" spans="1:13" ht="39" x14ac:dyDescent="0.35">
      <c r="A4" s="4" t="s">
        <v>20</v>
      </c>
      <c r="B4" s="4" t="s">
        <v>21</v>
      </c>
      <c r="C4" s="4" t="s">
        <v>22</v>
      </c>
      <c r="D4" s="4" t="s">
        <v>23</v>
      </c>
      <c r="E4" s="4" t="s">
        <v>24</v>
      </c>
      <c r="F4" s="4" t="s">
        <v>25</v>
      </c>
      <c r="G4" s="4" t="s">
        <v>26</v>
      </c>
      <c r="H4" s="4" t="s">
        <v>27</v>
      </c>
      <c r="I4" s="4" t="s">
        <v>28</v>
      </c>
      <c r="J4" s="4" t="s">
        <v>29</v>
      </c>
      <c r="K4" s="4" t="s">
        <v>30</v>
      </c>
      <c r="L4" s="4" t="s">
        <v>31</v>
      </c>
      <c r="M4" s="4" t="s">
        <v>32</v>
      </c>
    </row>
    <row r="5" spans="1:13" x14ac:dyDescent="0.35">
      <c r="A5" s="18">
        <v>44500</v>
      </c>
      <c r="B5" s="19">
        <f>SUMPRODUCT(MAX((canara!$A$2:$A$1217&lt;=$A5)*canara!$A$2:$A$1217))</f>
        <v>44498</v>
      </c>
      <c r="C5" s="20">
        <f>INDEX(canara!$B$2:$B$1217, MATCH(B5, canara!$A$2:$A$1217, 0))</f>
        <v>229.1</v>
      </c>
      <c r="E5" s="19">
        <f>SUMPRODUCT(MAX((hdfc!$A$2:$A$1217&lt;=$A5)*hdfc!$A$2:$A$1217))</f>
        <v>44498</v>
      </c>
      <c r="F5" s="20">
        <f>INDEX(hdfc!$B$2:$B$1217, MATCH(E5, hdfc!$A$2:$A$1217, 0))</f>
        <v>996.33600000000001</v>
      </c>
      <c r="H5" s="19">
        <f>SUMPRODUCT(MAX(('parag parikh'!$A$2:$A$1217&lt;=$A5)*'parag parikh'!$A$2:$A$1217))</f>
        <v>44498</v>
      </c>
      <c r="I5" s="20">
        <f>INDEX('parag parikh'!$B$2:$B$1217, MATCH(H5, 'parag parikh'!$A$2:$A$1217, 0))</f>
        <v>53.143999999999998</v>
      </c>
      <c r="K5" s="19">
        <f>SUMPRODUCT(MAX(('Nifty 500 TRI '!$A$2:$A$1217&lt;=$A5)*'Nifty 500 TRI '!$A$2:$A$1217))</f>
        <v>44498</v>
      </c>
      <c r="L5" s="20">
        <f>INDEX('Nifty 500 TRI '!$B$2:$B$1217, MATCH(K5, 'Nifty 500 TRI '!$A$2:$A$1217, 0))</f>
        <v>23100.97</v>
      </c>
    </row>
    <row r="6" spans="1:13" x14ac:dyDescent="0.35">
      <c r="A6" s="18">
        <v>44530</v>
      </c>
      <c r="B6" s="19">
        <f>SUMPRODUCT(MAX((canara!$A$2:$A$1217&lt;=$A6)*canara!$A$2:$A$1217))</f>
        <v>44530</v>
      </c>
      <c r="C6" s="20">
        <f>INDEX(canara!$B$2:$B$1217, MATCH(B6, canara!$A$2:$A$1217, 0))</f>
        <v>222.2</v>
      </c>
      <c r="D6" s="21">
        <f t="shared" ref="D6:D37" si="0">C6/C5-1</f>
        <v>-3.0117852466172046E-2</v>
      </c>
      <c r="E6" s="19">
        <f>SUMPRODUCT(MAX((hdfc!$A$2:$A$1217&lt;=$A6)*hdfc!$A$2:$A$1217))</f>
        <v>44530</v>
      </c>
      <c r="F6" s="20">
        <f>INDEX(hdfc!$B$2:$B$1217, MATCH(E6, hdfc!$A$2:$A$1217, 0))</f>
        <v>955.60699999999997</v>
      </c>
      <c r="G6" s="21">
        <f t="shared" ref="G6:G37" si="1">F6/F5-1</f>
        <v>-4.0878779849368163E-2</v>
      </c>
      <c r="H6" s="19">
        <f>SUMPRODUCT(MAX(('parag parikh'!$A$2:$A$1217&lt;=$A6)*'parag parikh'!$A$2:$A$1217))</f>
        <v>44530</v>
      </c>
      <c r="I6" s="20">
        <f>INDEX('parag parikh'!$B$2:$B$1217, MATCH(H6, 'parag parikh'!$A$2:$A$1217, 0))</f>
        <v>53.176000000000002</v>
      </c>
      <c r="J6" s="21">
        <f t="shared" ref="J6:J37" si="2">I6/I5-1</f>
        <v>6.0213758843907783E-4</v>
      </c>
      <c r="K6" s="19">
        <f>SUMPRODUCT(MAX(('Nifty 500 TRI '!$A$2:$A$1217&lt;=$A6)*'Nifty 500 TRI '!$A$2:$A$1217))</f>
        <v>44530</v>
      </c>
      <c r="L6" s="20">
        <f>INDEX('Nifty 500 TRI '!$B$2:$B$1217, MATCH(K6, 'Nifty 500 TRI '!$A$2:$A$1217, 0))</f>
        <v>22447.74</v>
      </c>
      <c r="M6" s="21">
        <f t="shared" ref="M6:M37" si="3">L6/L5-1</f>
        <v>-2.8277167582140494E-2</v>
      </c>
    </row>
    <row r="7" spans="1:13" x14ac:dyDescent="0.35">
      <c r="A7" s="18">
        <v>44561</v>
      </c>
      <c r="B7" s="19">
        <f>SUMPRODUCT(MAX((canara!$A$2:$A$1217&lt;=$A7)*canara!$A$2:$A$1217))</f>
        <v>44561</v>
      </c>
      <c r="C7" s="20">
        <f>INDEX(canara!$B$2:$B$1217, MATCH(B7, canara!$A$2:$A$1217, 0))</f>
        <v>229.26</v>
      </c>
      <c r="D7" s="21">
        <f t="shared" si="0"/>
        <v>3.1773177317731882E-2</v>
      </c>
      <c r="E7" s="19">
        <f>SUMPRODUCT(MAX((hdfc!$A$2:$A$1217&lt;=$A7)*hdfc!$A$2:$A$1217))</f>
        <v>44561</v>
      </c>
      <c r="F7" s="20">
        <f>INDEX(hdfc!$B$2:$B$1217, MATCH(E7, hdfc!$A$2:$A$1217, 0))</f>
        <v>974.89099999999996</v>
      </c>
      <c r="G7" s="21">
        <f t="shared" si="1"/>
        <v>2.0179843806083397E-2</v>
      </c>
      <c r="H7" s="19">
        <f>SUMPRODUCT(MAX(('parag parikh'!$A$2:$A$1217&lt;=$A7)*'parag parikh'!$A$2:$A$1217))</f>
        <v>44561</v>
      </c>
      <c r="I7" s="20">
        <f>INDEX('parag parikh'!$B$2:$B$1217, MATCH(H7, 'parag parikh'!$A$2:$A$1217, 0))</f>
        <v>54.457999999999998</v>
      </c>
      <c r="J7" s="21">
        <f t="shared" si="2"/>
        <v>2.4108620430269179E-2</v>
      </c>
      <c r="K7" s="19">
        <f>SUMPRODUCT(MAX(('Nifty 500 TRI '!$A$2:$A$1217&lt;=$A7)*'Nifty 500 TRI '!$A$2:$A$1217))</f>
        <v>44561</v>
      </c>
      <c r="L7" s="20">
        <f>INDEX('Nifty 500 TRI '!$B$2:$B$1217, MATCH(K7, 'Nifty 500 TRI '!$A$2:$A$1217, 0))</f>
        <v>22990.880000000001</v>
      </c>
      <c r="M7" s="21">
        <f t="shared" si="3"/>
        <v>2.41957542273743E-2</v>
      </c>
    </row>
    <row r="8" spans="1:13" x14ac:dyDescent="0.35">
      <c r="A8" s="18">
        <v>44592</v>
      </c>
      <c r="B8" s="19">
        <f>SUMPRODUCT(MAX((canara!$A$2:$A$1217&lt;=$A8)*canara!$A$2:$A$1217))</f>
        <v>44589</v>
      </c>
      <c r="C8" s="20">
        <f>INDEX(canara!$B$2:$B$1217, MATCH(B8, canara!$A$2:$A$1217, 0))</f>
        <v>223.95</v>
      </c>
      <c r="D8" s="21">
        <f t="shared" si="0"/>
        <v>-2.3161476053389141E-2</v>
      </c>
      <c r="E8" s="19">
        <f>SUMPRODUCT(MAX((hdfc!$A$2:$A$1217&lt;=$A8)*hdfc!$A$2:$A$1217))</f>
        <v>44592</v>
      </c>
      <c r="F8" s="20">
        <f>INDEX(hdfc!$B$2:$B$1217, MATCH(E8, hdfc!$A$2:$A$1217, 0))</f>
        <v>1020.008</v>
      </c>
      <c r="G8" s="21">
        <f t="shared" si="1"/>
        <v>4.6279019910943964E-2</v>
      </c>
      <c r="H8" s="19">
        <f>SUMPRODUCT(MAX(('parag parikh'!$A$2:$A$1217&lt;=$A8)*'parag parikh'!$A$2:$A$1217))</f>
        <v>44592</v>
      </c>
      <c r="I8" s="20">
        <f>INDEX('parag parikh'!$B$2:$B$1217, MATCH(H8, 'parag parikh'!$A$2:$A$1217, 0))</f>
        <v>52.497</v>
      </c>
      <c r="J8" s="21">
        <f t="shared" si="2"/>
        <v>-3.6009401740791036E-2</v>
      </c>
      <c r="K8" s="19">
        <f>SUMPRODUCT(MAX(('Nifty 500 TRI '!$A$2:$A$1217&lt;=$A8)*'Nifty 500 TRI '!$A$2:$A$1217))</f>
        <v>44592</v>
      </c>
      <c r="L8" s="20">
        <f>INDEX('Nifty 500 TRI '!$B$2:$B$1217, MATCH(K8, 'Nifty 500 TRI '!$A$2:$A$1217, 0))</f>
        <v>22881.58</v>
      </c>
      <c r="M8" s="21">
        <f t="shared" si="3"/>
        <v>-4.7540590007864036E-3</v>
      </c>
    </row>
    <row r="9" spans="1:13" x14ac:dyDescent="0.35">
      <c r="A9" s="18">
        <v>44620</v>
      </c>
      <c r="B9" s="19">
        <f>SUMPRODUCT(MAX((canara!$A$2:$A$1217&lt;=$A9)*canara!$A$2:$A$1217))</f>
        <v>44620</v>
      </c>
      <c r="C9" s="20">
        <f>INDEX(canara!$B$2:$B$1217, MATCH(B9, canara!$A$2:$A$1217, 0))</f>
        <v>218.16</v>
      </c>
      <c r="D9" s="21">
        <f t="shared" si="0"/>
        <v>-2.5853985264567947E-2</v>
      </c>
      <c r="E9" s="19">
        <f>SUMPRODUCT(MAX((hdfc!$A$2:$A$1217&lt;=$A9)*hdfc!$A$2:$A$1217))</f>
        <v>44620</v>
      </c>
      <c r="F9" s="20">
        <f>INDEX(hdfc!$B$2:$B$1217, MATCH(E9, hdfc!$A$2:$A$1217, 0))</f>
        <v>969.34900000000005</v>
      </c>
      <c r="G9" s="21">
        <f t="shared" si="1"/>
        <v>-4.9665296742770648E-2</v>
      </c>
      <c r="H9" s="19">
        <f>SUMPRODUCT(MAX(('parag parikh'!$A$2:$A$1217&lt;=$A9)*'parag parikh'!$A$2:$A$1217))</f>
        <v>44620</v>
      </c>
      <c r="I9" s="20">
        <f>INDEX('parag parikh'!$B$2:$B$1217, MATCH(H9, 'parag parikh'!$A$2:$A$1217, 0))</f>
        <v>50.311</v>
      </c>
      <c r="J9" s="21">
        <f t="shared" si="2"/>
        <v>-4.1640474693792062E-2</v>
      </c>
      <c r="K9" s="19">
        <f>SUMPRODUCT(MAX(('Nifty 500 TRI '!$A$2:$A$1217&lt;=$A9)*'Nifty 500 TRI '!$A$2:$A$1217))</f>
        <v>44620</v>
      </c>
      <c r="L9" s="20">
        <f>INDEX('Nifty 500 TRI '!$B$2:$B$1217, MATCH(K9, 'Nifty 500 TRI '!$A$2:$A$1217, 0))</f>
        <v>21978.65</v>
      </c>
      <c r="M9" s="21">
        <f t="shared" si="3"/>
        <v>-3.9460998759700994E-2</v>
      </c>
    </row>
    <row r="10" spans="1:13" x14ac:dyDescent="0.35">
      <c r="A10" s="18">
        <v>44651</v>
      </c>
      <c r="B10" s="19">
        <f>SUMPRODUCT(MAX((canara!$A$2:$A$1217&lt;=$A10)*canara!$A$2:$A$1217))</f>
        <v>44651</v>
      </c>
      <c r="C10" s="20">
        <f>INDEX(canara!$B$2:$B$1217, MATCH(B10, canara!$A$2:$A$1217, 0))</f>
        <v>221.85</v>
      </c>
      <c r="D10" s="21">
        <f t="shared" si="0"/>
        <v>1.6914191419141966E-2</v>
      </c>
      <c r="E10" s="19">
        <f>SUMPRODUCT(MAX((hdfc!$A$2:$A$1217&lt;=$A10)*hdfc!$A$2:$A$1217))</f>
        <v>44651</v>
      </c>
      <c r="F10" s="20">
        <f>INDEX(hdfc!$B$2:$B$1217, MATCH(E10, hdfc!$A$2:$A$1217, 0))</f>
        <v>1011.296</v>
      </c>
      <c r="G10" s="21">
        <f t="shared" si="1"/>
        <v>4.3273372129130072E-2</v>
      </c>
      <c r="H10" s="19">
        <f>SUMPRODUCT(MAX(('parag parikh'!$A$2:$A$1217&lt;=$A10)*'parag parikh'!$A$2:$A$1217))</f>
        <v>44651</v>
      </c>
      <c r="I10" s="20">
        <f>INDEX('parag parikh'!$B$2:$B$1217, MATCH(H10, 'parag parikh'!$A$2:$A$1217, 0))</f>
        <v>52.514000000000003</v>
      </c>
      <c r="J10" s="21">
        <f t="shared" si="2"/>
        <v>4.3787640873765188E-2</v>
      </c>
      <c r="K10" s="19">
        <f>SUMPRODUCT(MAX(('Nifty 500 TRI '!$A$2:$A$1217&lt;=$A10)*'Nifty 500 TRI '!$A$2:$A$1217))</f>
        <v>44651</v>
      </c>
      <c r="L10" s="20">
        <f>INDEX('Nifty 500 TRI '!$B$2:$B$1217, MATCH(K10, 'Nifty 500 TRI '!$A$2:$A$1217, 0))</f>
        <v>22889.14</v>
      </c>
      <c r="M10" s="21">
        <f t="shared" si="3"/>
        <v>4.1426111248870967E-2</v>
      </c>
    </row>
    <row r="11" spans="1:13" x14ac:dyDescent="0.35">
      <c r="A11" s="18">
        <v>44681</v>
      </c>
      <c r="B11" s="19">
        <f>SUMPRODUCT(MAX((canara!$A$2:$A$1217&lt;=$A11)*canara!$A$2:$A$1217))</f>
        <v>44680</v>
      </c>
      <c r="C11" s="20">
        <f>INDEX(canara!$B$2:$B$1217, MATCH(B11, canara!$A$2:$A$1217, 0))</f>
        <v>216.53</v>
      </c>
      <c r="D11" s="21">
        <f t="shared" si="0"/>
        <v>-2.3980166779355438E-2</v>
      </c>
      <c r="E11" s="19">
        <f>SUMPRODUCT(MAX((hdfc!$A$2:$A$1217&lt;=$A11)*hdfc!$A$2:$A$1217))</f>
        <v>44680</v>
      </c>
      <c r="F11" s="20">
        <f>INDEX(hdfc!$B$2:$B$1217, MATCH(E11, hdfc!$A$2:$A$1217, 0))</f>
        <v>1019.285</v>
      </c>
      <c r="G11" s="21">
        <f t="shared" si="1"/>
        <v>7.8997642628864106E-3</v>
      </c>
      <c r="H11" s="19">
        <f>SUMPRODUCT(MAX(('parag parikh'!$A$2:$A$1217&lt;=$A11)*'parag parikh'!$A$2:$A$1217))</f>
        <v>44680</v>
      </c>
      <c r="I11" s="20">
        <f>INDEX('parag parikh'!$B$2:$B$1217, MATCH(H11, 'parag parikh'!$A$2:$A$1217, 0))</f>
        <v>50.720999999999997</v>
      </c>
      <c r="J11" s="21">
        <f t="shared" si="2"/>
        <v>-3.414327607876011E-2</v>
      </c>
      <c r="K11" s="19">
        <f>SUMPRODUCT(MAX(('Nifty 500 TRI '!$A$2:$A$1217&lt;=$A11)*'Nifty 500 TRI '!$A$2:$A$1217))</f>
        <v>44680</v>
      </c>
      <c r="L11" s="20">
        <f>INDEX('Nifty 500 TRI '!$B$2:$B$1217, MATCH(K11, 'Nifty 500 TRI '!$A$2:$A$1217, 0))</f>
        <v>22726.01</v>
      </c>
      <c r="M11" s="21">
        <f t="shared" si="3"/>
        <v>-7.1269606459657409E-3</v>
      </c>
    </row>
    <row r="12" spans="1:13" x14ac:dyDescent="0.35">
      <c r="A12" s="18">
        <v>44712</v>
      </c>
      <c r="B12" s="19">
        <f>SUMPRODUCT(MAX((canara!$A$2:$A$1217&lt;=$A12)*canara!$A$2:$A$1217))</f>
        <v>44712</v>
      </c>
      <c r="C12" s="20">
        <f>INDEX(canara!$B$2:$B$1217, MATCH(B12, canara!$A$2:$A$1217, 0))</f>
        <v>208.95</v>
      </c>
      <c r="D12" s="21">
        <f t="shared" si="0"/>
        <v>-3.5006696531658443E-2</v>
      </c>
      <c r="E12" s="19">
        <f>SUMPRODUCT(MAX((hdfc!$A$2:$A$1217&lt;=$A12)*hdfc!$A$2:$A$1217))</f>
        <v>44712</v>
      </c>
      <c r="F12" s="20">
        <f>INDEX(hdfc!$B$2:$B$1217, MATCH(E12, hdfc!$A$2:$A$1217, 0))</f>
        <v>997.59900000000005</v>
      </c>
      <c r="G12" s="21">
        <f t="shared" si="1"/>
        <v>-2.127569816096575E-2</v>
      </c>
      <c r="H12" s="19">
        <f>SUMPRODUCT(MAX(('parag parikh'!$A$2:$A$1217&lt;=$A12)*'parag parikh'!$A$2:$A$1217))</f>
        <v>44712</v>
      </c>
      <c r="I12" s="20">
        <f>INDEX('parag parikh'!$B$2:$B$1217, MATCH(H12, 'parag parikh'!$A$2:$A$1217, 0))</f>
        <v>49.558999999999997</v>
      </c>
      <c r="J12" s="21">
        <f t="shared" si="2"/>
        <v>-2.2909642948680031E-2</v>
      </c>
      <c r="K12" s="19">
        <f>SUMPRODUCT(MAX(('Nifty 500 TRI '!$A$2:$A$1217&lt;=$A12)*'Nifty 500 TRI '!$A$2:$A$1217))</f>
        <v>44712</v>
      </c>
      <c r="L12" s="20">
        <f>INDEX('Nifty 500 TRI '!$B$2:$B$1217, MATCH(K12, 'Nifty 500 TRI '!$A$2:$A$1217, 0))</f>
        <v>21765.82</v>
      </c>
      <c r="M12" s="21">
        <f t="shared" si="3"/>
        <v>-4.2250707449305813E-2</v>
      </c>
    </row>
    <row r="13" spans="1:13" x14ac:dyDescent="0.35">
      <c r="A13" s="18">
        <v>44742</v>
      </c>
      <c r="B13" s="19">
        <f>SUMPRODUCT(MAX((canara!$A$2:$A$1217&lt;=$A13)*canara!$A$2:$A$1217))</f>
        <v>44742</v>
      </c>
      <c r="C13" s="20">
        <f>INDEX(canara!$B$2:$B$1217, MATCH(B13, canara!$A$2:$A$1217, 0))</f>
        <v>198.74</v>
      </c>
      <c r="D13" s="21">
        <f t="shared" si="0"/>
        <v>-4.8863364441253831E-2</v>
      </c>
      <c r="E13" s="19">
        <f>SUMPRODUCT(MAX((hdfc!$A$2:$A$1217&lt;=$A13)*hdfc!$A$2:$A$1217))</f>
        <v>44742</v>
      </c>
      <c r="F13" s="20">
        <f>INDEX(hdfc!$B$2:$B$1217, MATCH(E13, hdfc!$A$2:$A$1217, 0))</f>
        <v>958.851</v>
      </c>
      <c r="G13" s="21">
        <f t="shared" si="1"/>
        <v>-3.8841257860122158E-2</v>
      </c>
      <c r="H13" s="19">
        <f>SUMPRODUCT(MAX(('parag parikh'!$A$2:$A$1217&lt;=$A13)*'parag parikh'!$A$2:$A$1217))</f>
        <v>44742</v>
      </c>
      <c r="I13" s="20">
        <f>INDEX('parag parikh'!$B$2:$B$1217, MATCH(H13, 'parag parikh'!$A$2:$A$1217, 0))</f>
        <v>46.826999999999998</v>
      </c>
      <c r="J13" s="21">
        <f t="shared" si="2"/>
        <v>-5.5126213200427765E-2</v>
      </c>
      <c r="K13" s="19">
        <f>SUMPRODUCT(MAX(('Nifty 500 TRI '!$A$2:$A$1217&lt;=$A13)*'Nifty 500 TRI '!$A$2:$A$1217))</f>
        <v>44742</v>
      </c>
      <c r="L13" s="20">
        <f>INDEX('Nifty 500 TRI '!$B$2:$B$1217, MATCH(K13, 'Nifty 500 TRI '!$A$2:$A$1217, 0))</f>
        <v>20667.27</v>
      </c>
      <c r="M13" s="21">
        <f t="shared" si="3"/>
        <v>-5.0471335332185951E-2</v>
      </c>
    </row>
    <row r="14" spans="1:13" x14ac:dyDescent="0.35">
      <c r="A14" s="18">
        <v>44773</v>
      </c>
      <c r="B14" s="19">
        <f>SUMPRODUCT(MAX((canara!$A$2:$A$1217&lt;=$A14)*canara!$A$2:$A$1217))</f>
        <v>44771</v>
      </c>
      <c r="C14" s="20">
        <f>INDEX(canara!$B$2:$B$1217, MATCH(B14, canara!$A$2:$A$1217, 0))</f>
        <v>217.67</v>
      </c>
      <c r="D14" s="21">
        <f t="shared" si="0"/>
        <v>9.5250075475495466E-2</v>
      </c>
      <c r="E14" s="19">
        <f>SUMPRODUCT(MAX((hdfc!$A$2:$A$1217&lt;=$A14)*hdfc!$A$2:$A$1217))</f>
        <v>44771</v>
      </c>
      <c r="F14" s="20">
        <f>INDEX(hdfc!$B$2:$B$1217, MATCH(E14, hdfc!$A$2:$A$1217, 0))</f>
        <v>1047.5920000000001</v>
      </c>
      <c r="G14" s="21">
        <f t="shared" si="1"/>
        <v>9.2549311624016806E-2</v>
      </c>
      <c r="H14" s="19">
        <f>SUMPRODUCT(MAX(('parag parikh'!$A$2:$A$1217&lt;=$A14)*'parag parikh'!$A$2:$A$1217))</f>
        <v>44771</v>
      </c>
      <c r="I14" s="20">
        <f>INDEX('parag parikh'!$B$2:$B$1217, MATCH(H14, 'parag parikh'!$A$2:$A$1217, 0))</f>
        <v>49.978000000000002</v>
      </c>
      <c r="J14" s="21">
        <f t="shared" si="2"/>
        <v>6.729023853759597E-2</v>
      </c>
      <c r="K14" s="19">
        <f>SUMPRODUCT(MAX(('Nifty 500 TRI '!$A$2:$A$1217&lt;=$A14)*'Nifty 500 TRI '!$A$2:$A$1217))</f>
        <v>44771</v>
      </c>
      <c r="L14" s="20">
        <f>INDEX('Nifty 500 TRI '!$B$2:$B$1217, MATCH(K14, 'Nifty 500 TRI '!$A$2:$A$1217, 0))</f>
        <v>22678.29</v>
      </c>
      <c r="M14" s="21">
        <f t="shared" si="3"/>
        <v>9.7304578688912402E-2</v>
      </c>
    </row>
    <row r="15" spans="1:13" x14ac:dyDescent="0.35">
      <c r="A15" s="18">
        <v>44804</v>
      </c>
      <c r="B15" s="19">
        <f>SUMPRODUCT(MAX((canara!$A$2:$A$1217&lt;=$A15)*canara!$A$2:$A$1217))</f>
        <v>44804</v>
      </c>
      <c r="C15" s="20">
        <f>INDEX(canara!$B$2:$B$1217, MATCH(B15, canara!$A$2:$A$1217, 0))</f>
        <v>225.07</v>
      </c>
      <c r="D15" s="21">
        <f t="shared" si="0"/>
        <v>3.3996416593926604E-2</v>
      </c>
      <c r="E15" s="19">
        <f>SUMPRODUCT(MAX((hdfc!$A$2:$A$1217&lt;=$A15)*hdfc!$A$2:$A$1217))</f>
        <v>44803</v>
      </c>
      <c r="F15" s="20">
        <f>INDEX(hdfc!$B$2:$B$1217, MATCH(E15, hdfc!$A$2:$A$1217, 0))</f>
        <v>1095.7239999999999</v>
      </c>
      <c r="G15" s="21">
        <f t="shared" si="1"/>
        <v>4.5945368044047585E-2</v>
      </c>
      <c r="H15" s="19">
        <f>SUMPRODUCT(MAX(('parag parikh'!$A$2:$A$1217&lt;=$A15)*'parag parikh'!$A$2:$A$1217))</f>
        <v>44803</v>
      </c>
      <c r="I15" s="20">
        <f>INDEX('parag parikh'!$B$2:$B$1217, MATCH(H15, 'parag parikh'!$A$2:$A$1217, 0))</f>
        <v>51.326000000000001</v>
      </c>
      <c r="J15" s="21">
        <f t="shared" si="2"/>
        <v>2.6971867621753631E-2</v>
      </c>
      <c r="K15" s="19">
        <f>SUMPRODUCT(MAX(('Nifty 500 TRI '!$A$2:$A$1217&lt;=$A15)*'Nifty 500 TRI '!$A$2:$A$1217))</f>
        <v>44803</v>
      </c>
      <c r="L15" s="20">
        <f>INDEX('Nifty 500 TRI '!$B$2:$B$1217, MATCH(K15, 'Nifty 500 TRI '!$A$2:$A$1217, 0))</f>
        <v>23740.37</v>
      </c>
      <c r="M15" s="21">
        <f t="shared" si="3"/>
        <v>4.6832455180703558E-2</v>
      </c>
    </row>
    <row r="16" spans="1:13" x14ac:dyDescent="0.35">
      <c r="A16" s="18">
        <v>44834</v>
      </c>
      <c r="B16" s="19">
        <f>SUMPRODUCT(MAX((canara!$A$2:$A$1217&lt;=$A16)*canara!$A$2:$A$1217))</f>
        <v>44834</v>
      </c>
      <c r="C16" s="20">
        <f>INDEX(canara!$B$2:$B$1217, MATCH(B16, canara!$A$2:$A$1217, 0))</f>
        <v>218.67</v>
      </c>
      <c r="D16" s="21">
        <f t="shared" si="0"/>
        <v>-2.8435597814013391E-2</v>
      </c>
      <c r="E16" s="19">
        <f>SUMPRODUCT(MAX((hdfc!$A$2:$A$1217&lt;=$A16)*hdfc!$A$2:$A$1217))</f>
        <v>44834</v>
      </c>
      <c r="F16" s="20">
        <f>INDEX(hdfc!$B$2:$B$1217, MATCH(E16, hdfc!$A$2:$A$1217, 0))</f>
        <v>1066.171</v>
      </c>
      <c r="G16" s="21">
        <f t="shared" si="1"/>
        <v>-2.6971208077946507E-2</v>
      </c>
      <c r="H16" s="19">
        <f>SUMPRODUCT(MAX(('parag parikh'!$A$2:$A$1217&lt;=$A16)*'parag parikh'!$A$2:$A$1217))</f>
        <v>44834</v>
      </c>
      <c r="I16" s="20">
        <f>INDEX('parag parikh'!$B$2:$B$1217, MATCH(H16, 'parag parikh'!$A$2:$A$1217, 0))</f>
        <v>49.892000000000003</v>
      </c>
      <c r="J16" s="21">
        <f t="shared" si="2"/>
        <v>-2.7939056228811876E-2</v>
      </c>
      <c r="K16" s="19">
        <f>SUMPRODUCT(MAX(('Nifty 500 TRI '!$A$2:$A$1217&lt;=$A16)*'Nifty 500 TRI '!$A$2:$A$1217))</f>
        <v>44834</v>
      </c>
      <c r="L16" s="20">
        <f>INDEX('Nifty 500 TRI '!$B$2:$B$1217, MATCH(K16, 'Nifty 500 TRI '!$A$2:$A$1217, 0))</f>
        <v>22979.45</v>
      </c>
      <c r="M16" s="21">
        <f t="shared" si="3"/>
        <v>-3.2051732976360436E-2</v>
      </c>
    </row>
    <row r="17" spans="1:13" x14ac:dyDescent="0.35">
      <c r="A17" s="18">
        <v>44865</v>
      </c>
      <c r="B17" s="19">
        <f>SUMPRODUCT(MAX((canara!$A$2:$A$1217&lt;=$A17)*canara!$A$2:$A$1217))</f>
        <v>44865</v>
      </c>
      <c r="C17" s="20">
        <f>INDEX(canara!$B$2:$B$1217, MATCH(B17, canara!$A$2:$A$1217, 0))</f>
        <v>226.89</v>
      </c>
      <c r="D17" s="21">
        <f t="shared" si="0"/>
        <v>3.7590890382768638E-2</v>
      </c>
      <c r="E17" s="19">
        <f>SUMPRODUCT(MAX((hdfc!$A$2:$A$1217&lt;=$A17)*hdfc!$A$2:$A$1217))</f>
        <v>44865</v>
      </c>
      <c r="F17" s="20">
        <f>INDEX(hdfc!$B$2:$B$1217, MATCH(E17, hdfc!$A$2:$A$1217, 0))</f>
        <v>1135.981</v>
      </c>
      <c r="G17" s="21">
        <f t="shared" si="1"/>
        <v>6.5477301483533035E-2</v>
      </c>
      <c r="H17" s="19">
        <f>SUMPRODUCT(MAX(('parag parikh'!$A$2:$A$1217&lt;=$A17)*'parag parikh'!$A$2:$A$1217))</f>
        <v>44865</v>
      </c>
      <c r="I17" s="20">
        <f>INDEX('parag parikh'!$B$2:$B$1217, MATCH(H17, 'parag parikh'!$A$2:$A$1217, 0))</f>
        <v>51.945999999999998</v>
      </c>
      <c r="J17" s="21">
        <f t="shared" si="2"/>
        <v>4.1168924877735824E-2</v>
      </c>
      <c r="K17" s="19">
        <f>SUMPRODUCT(MAX(('Nifty 500 TRI '!$A$2:$A$1217&lt;=$A17)*'Nifty 500 TRI '!$A$2:$A$1217))</f>
        <v>44865</v>
      </c>
      <c r="L17" s="20">
        <f>INDEX('Nifty 500 TRI '!$B$2:$B$1217, MATCH(K17, 'Nifty 500 TRI '!$A$2:$A$1217, 0))</f>
        <v>23919.759999999998</v>
      </c>
      <c r="M17" s="21">
        <f t="shared" si="3"/>
        <v>4.0919604255106101E-2</v>
      </c>
    </row>
    <row r="18" spans="1:13" x14ac:dyDescent="0.35">
      <c r="A18" s="18">
        <v>44895</v>
      </c>
      <c r="B18" s="19">
        <f>SUMPRODUCT(MAX((canara!$A$2:$A$1217&lt;=$A18)*canara!$A$2:$A$1217))</f>
        <v>44895</v>
      </c>
      <c r="C18" s="20">
        <f>INDEX(canara!$B$2:$B$1217, MATCH(B18, canara!$A$2:$A$1217, 0))</f>
        <v>232.68</v>
      </c>
      <c r="D18" s="21">
        <f t="shared" si="0"/>
        <v>2.5518973952135537E-2</v>
      </c>
      <c r="E18" s="19">
        <f>SUMPRODUCT(MAX((hdfc!$A$2:$A$1217&lt;=$A18)*hdfc!$A$2:$A$1217))</f>
        <v>44895</v>
      </c>
      <c r="F18" s="20">
        <f>INDEX(hdfc!$B$2:$B$1217, MATCH(E18, hdfc!$A$2:$A$1217, 0))</f>
        <v>1182.278</v>
      </c>
      <c r="G18" s="21">
        <f t="shared" si="1"/>
        <v>4.0755083051565055E-2</v>
      </c>
      <c r="H18" s="19">
        <f>SUMPRODUCT(MAX(('parag parikh'!$A$2:$A$1217&lt;=$A18)*'parag parikh'!$A$2:$A$1217))</f>
        <v>44895</v>
      </c>
      <c r="I18" s="20">
        <f>INDEX('parag parikh'!$B$2:$B$1217, MATCH(H18, 'parag parikh'!$A$2:$A$1217, 0))</f>
        <v>52.517000000000003</v>
      </c>
      <c r="J18" s="21">
        <f t="shared" si="2"/>
        <v>1.0992184191275678E-2</v>
      </c>
      <c r="K18" s="19">
        <f>SUMPRODUCT(MAX(('Nifty 500 TRI '!$A$2:$A$1217&lt;=$A18)*'Nifty 500 TRI '!$A$2:$A$1217))</f>
        <v>44895</v>
      </c>
      <c r="L18" s="20">
        <f>INDEX('Nifty 500 TRI '!$B$2:$B$1217, MATCH(K18, 'Nifty 500 TRI '!$A$2:$A$1217, 0))</f>
        <v>24738.49</v>
      </c>
      <c r="M18" s="21">
        <f t="shared" si="3"/>
        <v>3.4228186235982339E-2</v>
      </c>
    </row>
    <row r="19" spans="1:13" x14ac:dyDescent="0.35">
      <c r="A19" s="18">
        <v>44926</v>
      </c>
      <c r="B19" s="19">
        <f>SUMPRODUCT(MAX((canara!$A$2:$A$1217&lt;=$A19)*canara!$A$2:$A$1217))</f>
        <v>44925</v>
      </c>
      <c r="C19" s="20">
        <f>INDEX(canara!$B$2:$B$1217, MATCH(B19, canara!$A$2:$A$1217, 0))</f>
        <v>225.44</v>
      </c>
      <c r="D19" s="21">
        <f t="shared" si="0"/>
        <v>-3.1115695375623198E-2</v>
      </c>
      <c r="E19" s="19">
        <f>SUMPRODUCT(MAX((hdfc!$A$2:$A$1217&lt;=$A19)*hdfc!$A$2:$A$1217))</f>
        <v>44925</v>
      </c>
      <c r="F19" s="20">
        <f>INDEX(hdfc!$B$2:$B$1217, MATCH(E19, hdfc!$A$2:$A$1217, 0))</f>
        <v>1153.2049999999999</v>
      </c>
      <c r="G19" s="21">
        <f t="shared" si="1"/>
        <v>-2.4590663109691713E-2</v>
      </c>
      <c r="H19" s="19">
        <f>SUMPRODUCT(MAX(('parag parikh'!$A$2:$A$1217&lt;=$A19)*'parag parikh'!$A$2:$A$1217))</f>
        <v>44925</v>
      </c>
      <c r="I19" s="20">
        <f>INDEX('parag parikh'!$B$2:$B$1217, MATCH(H19, 'parag parikh'!$A$2:$A$1217, 0))</f>
        <v>51.033000000000001</v>
      </c>
      <c r="J19" s="21">
        <f t="shared" si="2"/>
        <v>-2.8257516613667932E-2</v>
      </c>
      <c r="K19" s="19">
        <f>SUMPRODUCT(MAX(('Nifty 500 TRI '!$A$2:$A$1217&lt;=$A19)*'Nifty 500 TRI '!$A$2:$A$1217))</f>
        <v>44925</v>
      </c>
      <c r="L19" s="20">
        <f>INDEX('Nifty 500 TRI '!$B$2:$B$1217, MATCH(K19, 'Nifty 500 TRI '!$A$2:$A$1217, 0))</f>
        <v>23967.119999999999</v>
      </c>
      <c r="M19" s="21">
        <f t="shared" si="3"/>
        <v>-3.1180965370158131E-2</v>
      </c>
    </row>
    <row r="20" spans="1:13" x14ac:dyDescent="0.35">
      <c r="A20" s="18">
        <v>44957</v>
      </c>
      <c r="B20" s="19">
        <f>SUMPRODUCT(MAX((canara!$A$2:$A$1217&lt;=$A20)*canara!$A$2:$A$1217))</f>
        <v>44957</v>
      </c>
      <c r="C20" s="20">
        <f>INDEX(canara!$B$2:$B$1217, MATCH(B20, canara!$A$2:$A$1217, 0))</f>
        <v>219.43</v>
      </c>
      <c r="D20" s="21">
        <f t="shared" si="0"/>
        <v>-2.6658977998580524E-2</v>
      </c>
      <c r="E20" s="19">
        <f>SUMPRODUCT(MAX((hdfc!$A$2:$A$1217&lt;=$A20)*hdfc!$A$2:$A$1217))</f>
        <v>44957</v>
      </c>
      <c r="F20" s="20">
        <f>INDEX(hdfc!$B$2:$B$1217, MATCH(E20, hdfc!$A$2:$A$1217, 0))</f>
        <v>1135.9570000000001</v>
      </c>
      <c r="G20" s="21">
        <f t="shared" si="1"/>
        <v>-1.4956577538251969E-2</v>
      </c>
      <c r="H20" s="19">
        <f>SUMPRODUCT(MAX(('parag parikh'!$A$2:$A$1217&lt;=$A20)*'parag parikh'!$A$2:$A$1217))</f>
        <v>44957</v>
      </c>
      <c r="I20" s="20">
        <f>INDEX('parag parikh'!$B$2:$B$1217, MATCH(H20, 'parag parikh'!$A$2:$A$1217, 0))</f>
        <v>51.969000000000001</v>
      </c>
      <c r="J20" s="21">
        <f t="shared" si="2"/>
        <v>1.8341073423079113E-2</v>
      </c>
      <c r="K20" s="19">
        <f>SUMPRODUCT(MAX(('Nifty 500 TRI '!$A$2:$A$1217&lt;=$A20)*'Nifty 500 TRI '!$A$2:$A$1217))</f>
        <v>44957</v>
      </c>
      <c r="L20" s="20">
        <f>INDEX('Nifty 500 TRI '!$B$2:$B$1217, MATCH(K20, 'Nifty 500 TRI '!$A$2:$A$1217, 0))</f>
        <v>23175.05</v>
      </c>
      <c r="M20" s="21">
        <f t="shared" si="3"/>
        <v>-3.3048192690652844E-2</v>
      </c>
    </row>
    <row r="21" spans="1:13" x14ac:dyDescent="0.35">
      <c r="A21" s="18">
        <v>44985</v>
      </c>
      <c r="B21" s="19">
        <f>SUMPRODUCT(MAX((canara!$A$2:$A$1217&lt;=$A21)*canara!$A$2:$A$1217))</f>
        <v>44985</v>
      </c>
      <c r="C21" s="20">
        <f>INDEX(canara!$B$2:$B$1217, MATCH(B21, canara!$A$2:$A$1217, 0))</f>
        <v>217.46</v>
      </c>
      <c r="D21" s="21">
        <f t="shared" si="0"/>
        <v>-8.9778061340746174E-3</v>
      </c>
      <c r="E21" s="19">
        <f>SUMPRODUCT(MAX((hdfc!$A$2:$A$1217&lt;=$A21)*hdfc!$A$2:$A$1217))</f>
        <v>44985</v>
      </c>
      <c r="F21" s="20">
        <f>INDEX(hdfc!$B$2:$B$1217, MATCH(E21, hdfc!$A$2:$A$1217, 0))</f>
        <v>1114.6389999999999</v>
      </c>
      <c r="G21" s="21">
        <f t="shared" si="1"/>
        <v>-1.8766555424193143E-2</v>
      </c>
      <c r="H21" s="19">
        <f>SUMPRODUCT(MAX(('parag parikh'!$A$2:$A$1217&lt;=$A21)*'parag parikh'!$A$2:$A$1217))</f>
        <v>44970</v>
      </c>
      <c r="I21" s="20">
        <f>INDEX('parag parikh'!$B$2:$B$1217, MATCH(H21, 'parag parikh'!$A$2:$A$1217, 0))</f>
        <v>52.475000000000001</v>
      </c>
      <c r="J21" s="21">
        <f t="shared" si="2"/>
        <v>9.736573726644826E-3</v>
      </c>
      <c r="K21" s="19">
        <f>SUMPRODUCT(MAX(('Nifty 500 TRI '!$A$2:$A$1217&lt;=$A21)*'Nifty 500 TRI '!$A$2:$A$1217))</f>
        <v>44985</v>
      </c>
      <c r="L21" s="20">
        <f>INDEX('Nifty 500 TRI '!$B$2:$B$1217, MATCH(K21, 'Nifty 500 TRI '!$A$2:$A$1217, 0))</f>
        <v>22546.35</v>
      </c>
      <c r="M21" s="21">
        <f t="shared" si="3"/>
        <v>-2.7128312560275036E-2</v>
      </c>
    </row>
    <row r="22" spans="1:13" x14ac:dyDescent="0.35">
      <c r="A22" s="18">
        <v>45016</v>
      </c>
      <c r="B22" s="19">
        <f>SUMPRODUCT(MAX((canara!$A$2:$A$1217&lt;=$A22)*canara!$A$2:$A$1217))</f>
        <v>45016</v>
      </c>
      <c r="C22" s="20">
        <f>INDEX(canara!$B$2:$B$1217, MATCH(B22, canara!$A$2:$A$1217, 0))</f>
        <v>216.84</v>
      </c>
      <c r="D22" s="21">
        <f t="shared" si="0"/>
        <v>-2.851099052699313E-3</v>
      </c>
      <c r="E22" s="19">
        <f>SUMPRODUCT(MAX((hdfc!$A$2:$A$1217&lt;=$A22)*hdfc!$A$2:$A$1217))</f>
        <v>45016</v>
      </c>
      <c r="F22" s="20">
        <f>INDEX(hdfc!$B$2:$B$1217, MATCH(E22, hdfc!$A$2:$A$1217, 0))</f>
        <v>1121.5119999999999</v>
      </c>
      <c r="G22" s="21">
        <f t="shared" si="1"/>
        <v>6.1661219462085803E-3</v>
      </c>
      <c r="H22" s="19">
        <f>SUMPRODUCT(MAX(('parag parikh'!$A$2:$A$1217&lt;=$A22)*'parag parikh'!$A$2:$A$1217))</f>
        <v>45016</v>
      </c>
      <c r="I22" s="20">
        <f>INDEX('parag parikh'!$B$2:$B$1217, MATCH(H22, 'parag parikh'!$A$2:$A$1217, 0))</f>
        <v>53.048999999999999</v>
      </c>
      <c r="J22" s="21">
        <f t="shared" si="2"/>
        <v>1.0938542162934661E-2</v>
      </c>
      <c r="K22" s="19">
        <f>SUMPRODUCT(MAX(('Nifty 500 TRI '!$A$2:$A$1217&lt;=$A22)*'Nifty 500 TRI '!$A$2:$A$1217))</f>
        <v>45016</v>
      </c>
      <c r="L22" s="20">
        <f>INDEX('Nifty 500 TRI '!$B$2:$B$1217, MATCH(K22, 'Nifty 500 TRI '!$A$2:$A$1217, 0))</f>
        <v>22609.54</v>
      </c>
      <c r="M22" s="21">
        <f t="shared" si="3"/>
        <v>2.8026709423034646E-3</v>
      </c>
    </row>
    <row r="23" spans="1:13" x14ac:dyDescent="0.35">
      <c r="A23" s="18">
        <v>45046</v>
      </c>
      <c r="B23" s="19">
        <f>SUMPRODUCT(MAX((canara!$A$2:$A$1217&lt;=$A23)*canara!$A$2:$A$1217))</f>
        <v>45044</v>
      </c>
      <c r="C23" s="20">
        <f>INDEX(canara!$B$2:$B$1217, MATCH(B23, canara!$A$2:$A$1217, 0))</f>
        <v>224.95</v>
      </c>
      <c r="D23" s="21">
        <f t="shared" si="0"/>
        <v>3.7400848551927712E-2</v>
      </c>
      <c r="E23" s="19">
        <f>SUMPRODUCT(MAX((hdfc!$A$2:$A$1217&lt;=$A23)*hdfc!$A$2:$A$1217))</f>
        <v>45044</v>
      </c>
      <c r="F23" s="20">
        <f>INDEX(hdfc!$B$2:$B$1217, MATCH(E23, hdfc!$A$2:$A$1217, 0))</f>
        <v>1159.2809999999999</v>
      </c>
      <c r="G23" s="21">
        <f t="shared" si="1"/>
        <v>3.3676857670716043E-2</v>
      </c>
      <c r="H23" s="19">
        <f>SUMPRODUCT(MAX(('parag parikh'!$A$2:$A$1217&lt;=$A23)*'parag parikh'!$A$2:$A$1217))</f>
        <v>45044</v>
      </c>
      <c r="I23" s="20">
        <f>INDEX('parag parikh'!$B$2:$B$1217, MATCH(H23, 'parag parikh'!$A$2:$A$1217, 0))</f>
        <v>55.994</v>
      </c>
      <c r="J23" s="21">
        <f t="shared" si="2"/>
        <v>5.5514712812682721E-2</v>
      </c>
      <c r="K23" s="19">
        <f>SUMPRODUCT(MAX(('Nifty 500 TRI '!$A$2:$A$1217&lt;=$A23)*'Nifty 500 TRI '!$A$2:$A$1217))</f>
        <v>45044</v>
      </c>
      <c r="L23" s="20">
        <f>INDEX('Nifty 500 TRI '!$B$2:$B$1217, MATCH(K23, 'Nifty 500 TRI '!$A$2:$A$1217, 0))</f>
        <v>23643.94</v>
      </c>
      <c r="M23" s="21">
        <f t="shared" si="3"/>
        <v>4.5750599083395738E-2</v>
      </c>
    </row>
    <row r="24" spans="1:13" x14ac:dyDescent="0.35">
      <c r="A24" s="18">
        <v>45077</v>
      </c>
      <c r="B24" s="19">
        <f>SUMPRODUCT(MAX((canara!$A$2:$A$1217&lt;=$A24)*canara!$A$2:$A$1217))</f>
        <v>45077</v>
      </c>
      <c r="C24" s="20">
        <f>INDEX(canara!$B$2:$B$1217, MATCH(B24, canara!$A$2:$A$1217, 0))</f>
        <v>234.05</v>
      </c>
      <c r="D24" s="21">
        <f t="shared" si="0"/>
        <v>4.0453434096465957E-2</v>
      </c>
      <c r="E24" s="19">
        <f>SUMPRODUCT(MAX((hdfc!$A$2:$A$1217&lt;=$A24)*hdfc!$A$2:$A$1217))</f>
        <v>45077</v>
      </c>
      <c r="F24" s="20">
        <f>INDEX(hdfc!$B$2:$B$1217, MATCH(E24, hdfc!$A$2:$A$1217, 0))</f>
        <v>1196.1510000000001</v>
      </c>
      <c r="G24" s="21">
        <f t="shared" si="1"/>
        <v>3.1804195876582231E-2</v>
      </c>
      <c r="H24" s="19">
        <f>SUMPRODUCT(MAX(('parag parikh'!$A$2:$A$1217&lt;=$A24)*'parag parikh'!$A$2:$A$1217))</f>
        <v>45077</v>
      </c>
      <c r="I24" s="20">
        <f>INDEX('parag parikh'!$B$2:$B$1217, MATCH(H24, 'parag parikh'!$A$2:$A$1217, 0))</f>
        <v>58.335999999999999</v>
      </c>
      <c r="J24" s="21">
        <f t="shared" si="2"/>
        <v>4.1825909918919768E-2</v>
      </c>
      <c r="K24" s="19">
        <f>SUMPRODUCT(MAX(('Nifty 500 TRI '!$A$2:$A$1217&lt;=$A24)*'Nifty 500 TRI '!$A$2:$A$1217))</f>
        <v>45077</v>
      </c>
      <c r="L24" s="20">
        <f>INDEX('Nifty 500 TRI '!$B$2:$B$1217, MATCH(K24, 'Nifty 500 TRI '!$A$2:$A$1217, 0))</f>
        <v>24538.09</v>
      </c>
      <c r="M24" s="21">
        <f t="shared" si="3"/>
        <v>3.7817301177384133E-2</v>
      </c>
    </row>
    <row r="25" spans="1:13" x14ac:dyDescent="0.35">
      <c r="A25" s="18">
        <v>45107</v>
      </c>
      <c r="B25" s="19">
        <f>SUMPRODUCT(MAX((canara!$A$2:$A$1217&lt;=$A25)*canara!$A$2:$A$1217))</f>
        <v>45100</v>
      </c>
      <c r="C25" s="20">
        <f>INDEX(canara!$B$2:$B$1217, MATCH(B25, canara!$A$2:$A$1217, 0))</f>
        <v>237.03</v>
      </c>
      <c r="D25" s="21">
        <f t="shared" si="0"/>
        <v>1.2732322153385933E-2</v>
      </c>
      <c r="E25" s="19">
        <f>SUMPRODUCT(MAX((hdfc!$A$2:$A$1217&lt;=$A25)*hdfc!$A$2:$A$1217))</f>
        <v>45107</v>
      </c>
      <c r="F25" s="20">
        <f>INDEX(hdfc!$B$2:$B$1217, MATCH(E25, hdfc!$A$2:$A$1217, 0))</f>
        <v>1254.5219999999999</v>
      </c>
      <c r="G25" s="21">
        <f t="shared" si="1"/>
        <v>4.8799022865842145E-2</v>
      </c>
      <c r="H25" s="19">
        <f>SUMPRODUCT(MAX(('parag parikh'!$A$2:$A$1217&lt;=$A25)*'parag parikh'!$A$2:$A$1217))</f>
        <v>45107</v>
      </c>
      <c r="I25" s="20">
        <f>INDEX('parag parikh'!$B$2:$B$1217, MATCH(H25, 'parag parikh'!$A$2:$A$1217, 0))</f>
        <v>59.631999999999998</v>
      </c>
      <c r="J25" s="21">
        <f t="shared" si="2"/>
        <v>2.2216127262753682E-2</v>
      </c>
      <c r="K25" s="19">
        <f>SUMPRODUCT(MAX(('Nifty 500 TRI '!$A$2:$A$1217&lt;=$A25)*'Nifty 500 TRI '!$A$2:$A$1217))</f>
        <v>45107</v>
      </c>
      <c r="L25" s="20">
        <f>INDEX('Nifty 500 TRI '!$B$2:$B$1217, MATCH(K25, 'Nifty 500 TRI '!$A$2:$A$1217, 0))</f>
        <v>25605.81</v>
      </c>
      <c r="M25" s="21">
        <f t="shared" si="3"/>
        <v>4.3512759143030433E-2</v>
      </c>
    </row>
    <row r="26" spans="1:13" x14ac:dyDescent="0.35">
      <c r="A26" s="18">
        <v>45138</v>
      </c>
      <c r="B26" s="19">
        <f>SUMPRODUCT(MAX((canara!$A$2:$A$1217&lt;=$A26)*canara!$A$2:$A$1217))</f>
        <v>45138</v>
      </c>
      <c r="C26" s="20">
        <f>INDEX(canara!$B$2:$B$1217, MATCH(B26, canara!$A$2:$A$1217, 0))</f>
        <v>249.34</v>
      </c>
      <c r="D26" s="21">
        <f t="shared" si="0"/>
        <v>5.1934354301143237E-2</v>
      </c>
      <c r="E26" s="19">
        <f>SUMPRODUCT(MAX((hdfc!$A$2:$A$1217&lt;=$A26)*hdfc!$A$2:$A$1217))</f>
        <v>45138</v>
      </c>
      <c r="F26" s="20">
        <f>INDEX(hdfc!$B$2:$B$1217, MATCH(E26, hdfc!$A$2:$A$1217, 0))</f>
        <v>1309.8800000000001</v>
      </c>
      <c r="G26" s="21">
        <f t="shared" si="1"/>
        <v>4.4126767007673262E-2</v>
      </c>
      <c r="H26" s="19">
        <f>SUMPRODUCT(MAX(('parag parikh'!$A$2:$A$1217&lt;=$A26)*'parag parikh'!$A$2:$A$1217))</f>
        <v>45138</v>
      </c>
      <c r="I26" s="20">
        <f>INDEX('parag parikh'!$B$2:$B$1217, MATCH(H26, 'parag parikh'!$A$2:$A$1217, 0))</f>
        <v>61.603000000000002</v>
      </c>
      <c r="J26" s="21">
        <f t="shared" si="2"/>
        <v>3.3052723370002646E-2</v>
      </c>
      <c r="K26" s="19">
        <f>SUMPRODUCT(MAX(('Nifty 500 TRI '!$A$2:$A$1217&lt;=$A26)*'Nifty 500 TRI '!$A$2:$A$1217))</f>
        <v>45138</v>
      </c>
      <c r="L26" s="20">
        <f>INDEX('Nifty 500 TRI '!$B$2:$B$1217, MATCH(K26, 'Nifty 500 TRI '!$A$2:$A$1217, 0))</f>
        <v>26612.52</v>
      </c>
      <c r="M26" s="21">
        <f t="shared" si="3"/>
        <v>3.9315686557074292E-2</v>
      </c>
    </row>
    <row r="27" spans="1:13" x14ac:dyDescent="0.35">
      <c r="A27" s="18">
        <v>45169</v>
      </c>
      <c r="B27" s="19">
        <f>SUMPRODUCT(MAX((canara!$A$2:$A$1217&lt;=$A27)*canara!$A$2:$A$1217))</f>
        <v>45169</v>
      </c>
      <c r="C27" s="20">
        <f>INDEX(canara!$B$2:$B$1217, MATCH(B27, canara!$A$2:$A$1217, 0))</f>
        <v>246.32</v>
      </c>
      <c r="D27" s="21">
        <f t="shared" si="0"/>
        <v>-1.211197561562527E-2</v>
      </c>
      <c r="E27" s="19">
        <f>SUMPRODUCT(MAX((hdfc!$A$2:$A$1217&lt;=$A27)*hdfc!$A$2:$A$1217))</f>
        <v>45169</v>
      </c>
      <c r="F27" s="20">
        <f>INDEX(hdfc!$B$2:$B$1217, MATCH(E27, hdfc!$A$2:$A$1217, 0))</f>
        <v>1310.4259999999999</v>
      </c>
      <c r="G27" s="21">
        <f t="shared" si="1"/>
        <v>4.1683207622056351E-4</v>
      </c>
      <c r="H27" s="19">
        <f>SUMPRODUCT(MAX(('parag parikh'!$A$2:$A$1217&lt;=$A27)*'parag parikh'!$A$2:$A$1217))</f>
        <v>45169</v>
      </c>
      <c r="I27" s="20">
        <f>INDEX('parag parikh'!$B$2:$B$1217, MATCH(H27, 'parag parikh'!$A$2:$A$1217, 0))</f>
        <v>61.323</v>
      </c>
      <c r="J27" s="21">
        <f t="shared" si="2"/>
        <v>-4.5452331866954188E-3</v>
      </c>
      <c r="K27" s="19">
        <f>SUMPRODUCT(MAX(('Nifty 500 TRI '!$A$2:$A$1217&lt;=$A27)*'Nifty 500 TRI '!$A$2:$A$1217))</f>
        <v>45169</v>
      </c>
      <c r="L27" s="20">
        <f>INDEX('Nifty 500 TRI '!$B$2:$B$1217, MATCH(K27, 'Nifty 500 TRI '!$A$2:$A$1217, 0))</f>
        <v>26451.77</v>
      </c>
      <c r="M27" s="21">
        <f t="shared" si="3"/>
        <v>-6.04039001191925E-3</v>
      </c>
    </row>
    <row r="28" spans="1:13" x14ac:dyDescent="0.35">
      <c r="A28" s="18">
        <v>45199</v>
      </c>
      <c r="B28" s="19">
        <f>SUMPRODUCT(MAX((canara!$A$2:$A$1217&lt;=$A28)*canara!$A$2:$A$1217))</f>
        <v>45198</v>
      </c>
      <c r="C28" s="20">
        <f>INDEX(canara!$B$2:$B$1217, MATCH(B28, canara!$A$2:$A$1217, 0))</f>
        <v>249.62</v>
      </c>
      <c r="D28" s="21">
        <f t="shared" si="0"/>
        <v>1.3397206885352508E-2</v>
      </c>
      <c r="E28" s="19">
        <f>SUMPRODUCT(MAX((hdfc!$A$2:$A$1217&lt;=$A28)*hdfc!$A$2:$A$1217))</f>
        <v>45198</v>
      </c>
      <c r="F28" s="20">
        <f>INDEX(hdfc!$B$2:$B$1217, MATCH(E28, hdfc!$A$2:$A$1217, 0))</f>
        <v>1335.2829999999999</v>
      </c>
      <c r="G28" s="21">
        <f t="shared" si="1"/>
        <v>1.8968640732097697E-2</v>
      </c>
      <c r="H28" s="19">
        <f>SUMPRODUCT(MAX(('parag parikh'!$A$2:$A$1217&lt;=$A28)*'parag parikh'!$A$2:$A$1217))</f>
        <v>45198</v>
      </c>
      <c r="I28" s="20">
        <f>INDEX('parag parikh'!$B$2:$B$1217, MATCH(H28, 'parag parikh'!$A$2:$A$1217, 0))</f>
        <v>62.84</v>
      </c>
      <c r="J28" s="21">
        <f t="shared" si="2"/>
        <v>2.4737863444384667E-2</v>
      </c>
      <c r="K28" s="19">
        <f>SUMPRODUCT(MAX(('Nifty 500 TRI '!$A$2:$A$1217&lt;=$A28)*'Nifty 500 TRI '!$A$2:$A$1217))</f>
        <v>45198</v>
      </c>
      <c r="L28" s="20">
        <f>INDEX('Nifty 500 TRI '!$B$2:$B$1217, MATCH(K28, 'Nifty 500 TRI '!$A$2:$A$1217, 0))</f>
        <v>27031.74</v>
      </c>
      <c r="M28" s="21">
        <f t="shared" si="3"/>
        <v>2.1925564905486583E-2</v>
      </c>
    </row>
    <row r="29" spans="1:13" x14ac:dyDescent="0.35">
      <c r="A29" s="18">
        <v>45230</v>
      </c>
      <c r="B29" s="19">
        <f>SUMPRODUCT(MAX((canara!$A$2:$A$1217&lt;=$A29)*canara!$A$2:$A$1217))</f>
        <v>45230</v>
      </c>
      <c r="C29" s="20">
        <f>INDEX(canara!$B$2:$B$1217, MATCH(B29, canara!$A$2:$A$1217, 0))</f>
        <v>242.85</v>
      </c>
      <c r="D29" s="21">
        <f t="shared" si="0"/>
        <v>-2.7121224260876597E-2</v>
      </c>
      <c r="E29" s="19">
        <f>SUMPRODUCT(MAX((hdfc!$A$2:$A$1217&lt;=$A29)*hdfc!$A$2:$A$1217))</f>
        <v>45230</v>
      </c>
      <c r="F29" s="20">
        <f>INDEX(hdfc!$B$2:$B$1217, MATCH(E29, hdfc!$A$2:$A$1217, 0))</f>
        <v>1303.694</v>
      </c>
      <c r="G29" s="21">
        <f t="shared" si="1"/>
        <v>-2.3657157321706257E-2</v>
      </c>
      <c r="H29" s="19">
        <f>SUMPRODUCT(MAX(('parag parikh'!$A$2:$A$1217&lt;=$A29)*'parag parikh'!$A$2:$A$1217))</f>
        <v>45230</v>
      </c>
      <c r="I29" s="20">
        <f>INDEX('parag parikh'!$B$2:$B$1217, MATCH(H29, 'parag parikh'!$A$2:$A$1217, 0))</f>
        <v>62.807000000000002</v>
      </c>
      <c r="J29" s="21">
        <f t="shared" si="2"/>
        <v>-5.2514322087848786E-4</v>
      </c>
      <c r="K29" s="19">
        <f>SUMPRODUCT(MAX(('Nifty 500 TRI '!$A$2:$A$1217&lt;=$A29)*'Nifty 500 TRI '!$A$2:$A$1217))</f>
        <v>45230</v>
      </c>
      <c r="L29" s="20">
        <f>INDEX('Nifty 500 TRI '!$B$2:$B$1217, MATCH(K29, 'Nifty 500 TRI '!$A$2:$A$1217, 0))</f>
        <v>26281.759999999998</v>
      </c>
      <c r="M29" s="21">
        <f t="shared" si="3"/>
        <v>-2.7744421927704321E-2</v>
      </c>
    </row>
    <row r="30" spans="1:13" x14ac:dyDescent="0.35">
      <c r="A30" s="18">
        <v>45260</v>
      </c>
      <c r="B30" s="19">
        <f>SUMPRODUCT(MAX((canara!$A$2:$A$1217&lt;=$A30)*canara!$A$2:$A$1217))</f>
        <v>45260</v>
      </c>
      <c r="C30" s="20">
        <f>INDEX(canara!$B$2:$B$1217, MATCH(B30, canara!$A$2:$A$1217, 0))</f>
        <v>259.39999999999998</v>
      </c>
      <c r="D30" s="21">
        <f t="shared" si="0"/>
        <v>6.8149063207741278E-2</v>
      </c>
      <c r="E30" s="19">
        <f>SUMPRODUCT(MAX((hdfc!$A$2:$A$1217&lt;=$A30)*hdfc!$A$2:$A$1217))</f>
        <v>45260</v>
      </c>
      <c r="F30" s="20">
        <f>INDEX(hdfc!$B$2:$B$1217, MATCH(E30, hdfc!$A$2:$A$1217, 0))</f>
        <v>1399.9580000000001</v>
      </c>
      <c r="G30" s="21">
        <f t="shared" si="1"/>
        <v>7.3839413236541862E-2</v>
      </c>
      <c r="H30" s="19">
        <f>SUMPRODUCT(MAX(('parag parikh'!$A$2:$A$1217&lt;=$A30)*'parag parikh'!$A$2:$A$1217))</f>
        <v>45260</v>
      </c>
      <c r="I30" s="20">
        <f>INDEX('parag parikh'!$B$2:$B$1217, MATCH(H30, 'parag parikh'!$A$2:$A$1217, 0))</f>
        <v>67.007000000000005</v>
      </c>
      <c r="J30" s="21">
        <f t="shared" si="2"/>
        <v>6.6871527059085833E-2</v>
      </c>
      <c r="K30" s="19">
        <f>SUMPRODUCT(MAX(('Nifty 500 TRI '!$A$2:$A$1217&lt;=$A30)*'Nifty 500 TRI '!$A$2:$A$1217))</f>
        <v>45260</v>
      </c>
      <c r="L30" s="20">
        <f>INDEX('Nifty 500 TRI '!$B$2:$B$1217, MATCH(K30, 'Nifty 500 TRI '!$A$2:$A$1217, 0))</f>
        <v>28161.16</v>
      </c>
      <c r="M30" s="21">
        <f t="shared" si="3"/>
        <v>7.150967058522717E-2</v>
      </c>
    </row>
    <row r="31" spans="1:13" x14ac:dyDescent="0.35">
      <c r="A31" s="18">
        <v>45291</v>
      </c>
      <c r="B31" s="19">
        <f>SUMPRODUCT(MAX((canara!$A$2:$A$1217&lt;=$A31)*canara!$A$2:$A$1217))</f>
        <v>45289</v>
      </c>
      <c r="C31" s="20">
        <f>INDEX(canara!$B$2:$B$1217, MATCH(B31, canara!$A$2:$A$1217, 0))</f>
        <v>276.93</v>
      </c>
      <c r="D31" s="21">
        <f t="shared" si="0"/>
        <v>6.7579028527370966E-2</v>
      </c>
      <c r="E31" s="19">
        <f>SUMPRODUCT(MAX((hdfc!$A$2:$A$1217&lt;=$A31)*hdfc!$A$2:$A$1217))</f>
        <v>45289</v>
      </c>
      <c r="F31" s="20">
        <f>INDEX(hdfc!$B$2:$B$1217, MATCH(E31, hdfc!$A$2:$A$1217, 0))</f>
        <v>1506.1410000000001</v>
      </c>
      <c r="G31" s="21">
        <f t="shared" si="1"/>
        <v>7.5847275418262639E-2</v>
      </c>
      <c r="H31" s="19">
        <f>SUMPRODUCT(MAX(('parag parikh'!$A$2:$A$1217&lt;=$A31)*'parag parikh'!$A$2:$A$1217))</f>
        <v>45289</v>
      </c>
      <c r="I31" s="20">
        <f>INDEX('parag parikh'!$B$2:$B$1217, MATCH(H31, 'parag parikh'!$A$2:$A$1217, 0))</f>
        <v>70.242999999999995</v>
      </c>
      <c r="J31" s="21">
        <f t="shared" si="2"/>
        <v>4.8293461877117139E-2</v>
      </c>
      <c r="K31" s="19">
        <f>SUMPRODUCT(MAX(('Nifty 500 TRI '!$A$2:$A$1217&lt;=$A31)*'Nifty 500 TRI '!$A$2:$A$1217))</f>
        <v>45289</v>
      </c>
      <c r="L31" s="20">
        <f>INDEX('Nifty 500 TRI '!$B$2:$B$1217, MATCH(K31, 'Nifty 500 TRI '!$A$2:$A$1217, 0))</f>
        <v>30417.8</v>
      </c>
      <c r="M31" s="21">
        <f t="shared" si="3"/>
        <v>8.0133062700542101E-2</v>
      </c>
    </row>
    <row r="32" spans="1:13" x14ac:dyDescent="0.35">
      <c r="A32" s="18">
        <v>45322</v>
      </c>
      <c r="B32" s="19">
        <f>SUMPRODUCT(MAX((canara!$A$2:$A$1217&lt;=$A32)*canara!$A$2:$A$1217))</f>
        <v>45322</v>
      </c>
      <c r="C32" s="20">
        <f>INDEX(canara!$B$2:$B$1217, MATCH(B32, canara!$A$2:$A$1217, 0))</f>
        <v>278.86</v>
      </c>
      <c r="D32" s="21">
        <f t="shared" si="0"/>
        <v>6.969270212689116E-3</v>
      </c>
      <c r="E32" s="19">
        <f>SUMPRODUCT(MAX((hdfc!$A$2:$A$1217&lt;=$A32)*hdfc!$A$2:$A$1217))</f>
        <v>45322</v>
      </c>
      <c r="F32" s="20">
        <f>INDEX(hdfc!$B$2:$B$1217, MATCH(E32, hdfc!$A$2:$A$1217, 0))</f>
        <v>1539.884</v>
      </c>
      <c r="G32" s="21">
        <f t="shared" si="1"/>
        <v>2.2403612941948925E-2</v>
      </c>
      <c r="H32" s="19">
        <f>SUMPRODUCT(MAX(('parag parikh'!$A$2:$A$1217&lt;=$A32)*'parag parikh'!$A$2:$A$1217))</f>
        <v>45322</v>
      </c>
      <c r="I32" s="20">
        <f>INDEX('parag parikh'!$B$2:$B$1217, MATCH(H32, 'parag parikh'!$A$2:$A$1217, 0))</f>
        <v>71.974999999999994</v>
      </c>
      <c r="J32" s="21">
        <f t="shared" si="2"/>
        <v>2.4657261221758819E-2</v>
      </c>
      <c r="K32" s="19">
        <f>SUMPRODUCT(MAX(('Nifty 500 TRI '!$A$2:$A$1217&lt;=$A32)*'Nifty 500 TRI '!$A$2:$A$1217))</f>
        <v>45322</v>
      </c>
      <c r="L32" s="20">
        <f>INDEX('Nifty 500 TRI '!$B$2:$B$1217, MATCH(K32, 'Nifty 500 TRI '!$A$2:$A$1217, 0))</f>
        <v>31011.17</v>
      </c>
      <c r="M32" s="21">
        <f t="shared" si="3"/>
        <v>1.9507327946136854E-2</v>
      </c>
    </row>
    <row r="33" spans="1:13" x14ac:dyDescent="0.35">
      <c r="A33" s="18">
        <v>45351</v>
      </c>
      <c r="B33" s="19">
        <f>SUMPRODUCT(MAX((canara!$A$2:$A$1217&lt;=$A33)*canara!$A$2:$A$1217))</f>
        <v>45351</v>
      </c>
      <c r="C33" s="20">
        <f>INDEX(canara!$B$2:$B$1217, MATCH(B33, canara!$A$2:$A$1217, 0))</f>
        <v>285.93</v>
      </c>
      <c r="D33" s="21">
        <f t="shared" si="0"/>
        <v>2.535322383991967E-2</v>
      </c>
      <c r="E33" s="19">
        <f>SUMPRODUCT(MAX((hdfc!$A$2:$A$1217&lt;=$A33)*hdfc!$A$2:$A$1217))</f>
        <v>45351</v>
      </c>
      <c r="F33" s="20">
        <f>INDEX(hdfc!$B$2:$B$1217, MATCH(E33, hdfc!$A$2:$A$1217, 0))</f>
        <v>1586.7829999999999</v>
      </c>
      <c r="G33" s="21">
        <f t="shared" si="1"/>
        <v>3.0456190206535005E-2</v>
      </c>
      <c r="H33" s="19">
        <f>SUMPRODUCT(MAX(('parag parikh'!$A$2:$A$1217&lt;=$A33)*'parag parikh'!$A$2:$A$1217))</f>
        <v>45351</v>
      </c>
      <c r="I33" s="20">
        <f>INDEX('parag parikh'!$B$2:$B$1217, MATCH(H33, 'parag parikh'!$A$2:$A$1217, 0))</f>
        <v>74.790000000000006</v>
      </c>
      <c r="J33" s="21">
        <f t="shared" si="2"/>
        <v>3.9110802361931318E-2</v>
      </c>
      <c r="K33" s="19">
        <f>SUMPRODUCT(MAX(('Nifty 500 TRI '!$A$2:$A$1217&lt;=$A33)*'Nifty 500 TRI '!$A$2:$A$1217))</f>
        <v>45351</v>
      </c>
      <c r="L33" s="20">
        <f>INDEX('Nifty 500 TRI '!$B$2:$B$1217, MATCH(K33, 'Nifty 500 TRI '!$A$2:$A$1217, 0))</f>
        <v>31499.31</v>
      </c>
      <c r="M33" s="21">
        <f t="shared" si="3"/>
        <v>1.5740779854484854E-2</v>
      </c>
    </row>
    <row r="34" spans="1:13" x14ac:dyDescent="0.35">
      <c r="A34" s="18">
        <v>45382</v>
      </c>
      <c r="B34" s="19">
        <f>SUMPRODUCT(MAX((canara!$A$2:$A$1217&lt;=$A34)*canara!$A$2:$A$1217))</f>
        <v>45382</v>
      </c>
      <c r="C34" s="20">
        <f>INDEX(canara!$B$2:$B$1217, MATCH(B34, canara!$A$2:$A$1217, 0))</f>
        <v>289.93</v>
      </c>
      <c r="D34" s="21">
        <f t="shared" si="0"/>
        <v>1.3989437974329277E-2</v>
      </c>
      <c r="E34" s="19">
        <f>SUMPRODUCT(MAX((hdfc!$A$2:$A$1217&lt;=$A34)*hdfc!$A$2:$A$1217))</f>
        <v>45382</v>
      </c>
      <c r="F34" s="20">
        <f>INDEX(hdfc!$B$2:$B$1217, MATCH(E34, hdfc!$A$2:$A$1217, 0))</f>
        <v>1605.692</v>
      </c>
      <c r="G34" s="21">
        <f t="shared" si="1"/>
        <v>1.1916563260382818E-2</v>
      </c>
      <c r="H34" s="19">
        <f>SUMPRODUCT(MAX(('parag parikh'!$A$2:$A$1217&lt;=$A34)*'parag parikh'!$A$2:$A$1217))</f>
        <v>45382</v>
      </c>
      <c r="I34" s="20">
        <f>INDEX('parag parikh'!$B$2:$B$1217, MATCH(H34, 'parag parikh'!$A$2:$A$1217, 0))</f>
        <v>74.867999999999995</v>
      </c>
      <c r="J34" s="21">
        <f t="shared" si="2"/>
        <v>1.0429201764940998E-3</v>
      </c>
      <c r="K34" s="19">
        <f>SUMPRODUCT(MAX(('Nifty 500 TRI '!$A$2:$A$1217&lt;=$A34)*'Nifty 500 TRI '!$A$2:$A$1217))</f>
        <v>45378</v>
      </c>
      <c r="L34" s="20">
        <f>INDEX('Nifty 500 TRI '!$B$2:$B$1217, MATCH(K34, 'Nifty 500 TRI '!$A$2:$A$1217, 0))</f>
        <v>31499.32</v>
      </c>
      <c r="M34" s="21">
        <f t="shared" si="3"/>
        <v>3.1746727136017228E-7</v>
      </c>
    </row>
    <row r="35" spans="1:13" x14ac:dyDescent="0.35">
      <c r="A35" s="18">
        <v>45412</v>
      </c>
      <c r="B35" s="19">
        <f>SUMPRODUCT(MAX((canara!$A$2:$A$1217&lt;=$A35)*canara!$A$2:$A$1217))</f>
        <v>45412</v>
      </c>
      <c r="C35" s="20">
        <f>INDEX(canara!$B$2:$B$1217, MATCH(B35, canara!$A$2:$A$1217, 0))</f>
        <v>295.8</v>
      </c>
      <c r="D35" s="21">
        <f t="shared" si="0"/>
        <v>2.0246266340151031E-2</v>
      </c>
      <c r="E35" s="19">
        <f>SUMPRODUCT(MAX((hdfc!$A$2:$A$1217&lt;=$A35)*hdfc!$A$2:$A$1217))</f>
        <v>45412</v>
      </c>
      <c r="F35" s="20">
        <f>INDEX(hdfc!$B$2:$B$1217, MATCH(E35, hdfc!$A$2:$A$1217, 0))</f>
        <v>1658.096</v>
      </c>
      <c r="G35" s="21">
        <f t="shared" si="1"/>
        <v>3.2636396021154646E-2</v>
      </c>
      <c r="H35" s="19">
        <f>SUMPRODUCT(MAX(('parag parikh'!$A$2:$A$1217&lt;=$A35)*'parag parikh'!$A$2:$A$1217))</f>
        <v>45412</v>
      </c>
      <c r="I35" s="20">
        <f>INDEX('parag parikh'!$B$2:$B$1217, MATCH(H35, 'parag parikh'!$A$2:$A$1217, 0))</f>
        <v>76.963999999999999</v>
      </c>
      <c r="J35" s="21">
        <f t="shared" si="2"/>
        <v>2.7995939520222279E-2</v>
      </c>
      <c r="K35" s="19">
        <f>SUMPRODUCT(MAX(('Nifty 500 TRI '!$A$2:$A$1217&lt;=$A35)*'Nifty 500 TRI '!$A$2:$A$1217))</f>
        <v>45412</v>
      </c>
      <c r="L35" s="20">
        <f>INDEX('Nifty 500 TRI '!$B$2:$B$1217, MATCH(K35, 'Nifty 500 TRI '!$A$2:$A$1217, 0))</f>
        <v>32927.379999999997</v>
      </c>
      <c r="M35" s="21">
        <f t="shared" si="3"/>
        <v>4.5336216781822536E-2</v>
      </c>
    </row>
    <row r="36" spans="1:13" x14ac:dyDescent="0.35">
      <c r="A36" s="18">
        <v>45443</v>
      </c>
      <c r="B36" s="19">
        <f>SUMPRODUCT(MAX((canara!$A$2:$A$1217&lt;=$A36)*canara!$A$2:$A$1217))</f>
        <v>45443</v>
      </c>
      <c r="C36" s="20">
        <f>INDEX(canara!$B$2:$B$1217, MATCH(B36, canara!$A$2:$A$1217, 0))</f>
        <v>299.32</v>
      </c>
      <c r="D36" s="21">
        <f t="shared" si="0"/>
        <v>1.1899932386747691E-2</v>
      </c>
      <c r="E36" s="19">
        <f>SUMPRODUCT(MAX((hdfc!$A$2:$A$1217&lt;=$A36)*hdfc!$A$2:$A$1217))</f>
        <v>45443</v>
      </c>
      <c r="F36" s="20">
        <f>INDEX(hdfc!$B$2:$B$1217, MATCH(E36, hdfc!$A$2:$A$1217, 0))</f>
        <v>1693.1569999999999</v>
      </c>
      <c r="G36" s="21">
        <f t="shared" si="1"/>
        <v>2.1145337785025697E-2</v>
      </c>
      <c r="H36" s="19">
        <f>SUMPRODUCT(MAX(('parag parikh'!$A$2:$A$1217&lt;=$A36)*'parag parikh'!$A$2:$A$1217))</f>
        <v>45443</v>
      </c>
      <c r="I36" s="20">
        <f>INDEX('parag parikh'!$B$2:$B$1217, MATCH(H36, 'parag parikh'!$A$2:$A$1217, 0))</f>
        <v>77.77</v>
      </c>
      <c r="J36" s="21">
        <f t="shared" si="2"/>
        <v>1.0472428667948508E-2</v>
      </c>
      <c r="K36" s="19">
        <f>SUMPRODUCT(MAX(('Nifty 500 TRI '!$A$2:$A$1217&lt;=$A36)*'Nifty 500 TRI '!$A$2:$A$1217))</f>
        <v>45443</v>
      </c>
      <c r="L36" s="20">
        <f>INDEX('Nifty 500 TRI '!$B$2:$B$1217, MATCH(K36, 'Nifty 500 TRI '!$A$2:$A$1217, 0))</f>
        <v>33168.199999999997</v>
      </c>
      <c r="M36" s="21">
        <f t="shared" si="3"/>
        <v>7.3136702646854346E-3</v>
      </c>
    </row>
    <row r="37" spans="1:13" x14ac:dyDescent="0.35">
      <c r="A37" s="18">
        <v>45473</v>
      </c>
      <c r="B37" s="19">
        <f>SUMPRODUCT(MAX((canara!$A$2:$A$1217&lt;=$A37)*canara!$A$2:$A$1217))</f>
        <v>45471</v>
      </c>
      <c r="C37" s="20">
        <f>INDEX(canara!$B$2:$B$1217, MATCH(B37, canara!$A$2:$A$1217, 0))</f>
        <v>320.97000000000003</v>
      </c>
      <c r="D37" s="21">
        <f t="shared" si="0"/>
        <v>7.2330616063076336E-2</v>
      </c>
      <c r="E37" s="19">
        <f>SUMPRODUCT(MAX((hdfc!$A$2:$A$1217&lt;=$A37)*hdfc!$A$2:$A$1217))</f>
        <v>45471</v>
      </c>
      <c r="F37" s="20">
        <f>INDEX(hdfc!$B$2:$B$1217, MATCH(E37, hdfc!$A$2:$A$1217, 0))</f>
        <v>1803.396</v>
      </c>
      <c r="G37" s="21">
        <f t="shared" si="1"/>
        <v>6.5108551658233704E-2</v>
      </c>
      <c r="H37" s="19">
        <f>SUMPRODUCT(MAX(('parag parikh'!$A$2:$A$1217&lt;=$A37)*'parag parikh'!$A$2:$A$1217))</f>
        <v>45471</v>
      </c>
      <c r="I37" s="20">
        <f>INDEX('parag parikh'!$B$2:$B$1217, MATCH(H37, 'parag parikh'!$A$2:$A$1217, 0))</f>
        <v>81.938000000000002</v>
      </c>
      <c r="J37" s="21">
        <f t="shared" si="2"/>
        <v>5.3593930821653757E-2</v>
      </c>
      <c r="K37" s="19">
        <f>SUMPRODUCT(MAX(('Nifty 500 TRI '!$A$2:$A$1217&lt;=$A37)*'Nifty 500 TRI '!$A$2:$A$1217))</f>
        <v>45471</v>
      </c>
      <c r="L37" s="20">
        <f>INDEX('Nifty 500 TRI '!$B$2:$B$1217, MATCH(K37, 'Nifty 500 TRI '!$A$2:$A$1217, 0))</f>
        <v>35506.97</v>
      </c>
      <c r="M37" s="21">
        <f t="shared" si="3"/>
        <v>7.0512418521354814E-2</v>
      </c>
    </row>
    <row r="38" spans="1:13" x14ac:dyDescent="0.35">
      <c r="A38" s="18">
        <v>45504</v>
      </c>
      <c r="B38" s="19">
        <f>SUMPRODUCT(MAX((canara!$A$2:$A$1217&lt;=$A38)*canara!$A$2:$A$1217))</f>
        <v>45504</v>
      </c>
      <c r="C38" s="20">
        <f>INDEX(canara!$B$2:$B$1217, MATCH(B38, canara!$A$2:$A$1217, 0))</f>
        <v>333.83</v>
      </c>
      <c r="D38" s="21">
        <f t="shared" ref="D38:D63" si="4">C38/C37-1</f>
        <v>4.0066049786584346E-2</v>
      </c>
      <c r="E38" s="19">
        <f>SUMPRODUCT(MAX((hdfc!$A$2:$A$1217&lt;=$A38)*hdfc!$A$2:$A$1217))</f>
        <v>45504</v>
      </c>
      <c r="F38" s="20">
        <f>INDEX(hdfc!$B$2:$B$1217, MATCH(E38, hdfc!$A$2:$A$1217, 0))</f>
        <v>1862.9269999999999</v>
      </c>
      <c r="G38" s="21">
        <f t="shared" ref="G38:G63" si="5">F38/F37-1</f>
        <v>3.3010497971604602E-2</v>
      </c>
      <c r="H38" s="19">
        <f>SUMPRODUCT(MAX(('parag parikh'!$A$2:$A$1217&lt;=$A38)*'parag parikh'!$A$2:$A$1217))</f>
        <v>45504</v>
      </c>
      <c r="I38" s="20">
        <f>INDEX('parag parikh'!$B$2:$B$1217, MATCH(H38, 'parag parikh'!$A$2:$A$1217, 0))</f>
        <v>84.900999999999996</v>
      </c>
      <c r="J38" s="21">
        <f t="shared" ref="J38:J63" si="6">I38/I37-1</f>
        <v>3.6161487954306848E-2</v>
      </c>
      <c r="K38" s="19">
        <f>SUMPRODUCT(MAX(('Nifty 500 TRI '!$A$2:$A$1217&lt;=$A38)*'Nifty 500 TRI '!$A$2:$A$1217))</f>
        <v>45504</v>
      </c>
      <c r="L38" s="20">
        <f>INDEX('Nifty 500 TRI '!$B$2:$B$1217, MATCH(K38, 'Nifty 500 TRI '!$A$2:$A$1217, 0))</f>
        <v>37066.080000000002</v>
      </c>
      <c r="M38" s="21">
        <f t="shared" ref="M38:M63" si="7">L38/L37-1</f>
        <v>4.3909970352299821E-2</v>
      </c>
    </row>
    <row r="39" spans="1:13" x14ac:dyDescent="0.35">
      <c r="A39" s="18">
        <v>45535</v>
      </c>
      <c r="B39" s="19">
        <f>SUMPRODUCT(MAX((canara!$A$2:$A$1217&lt;=$A39)*canara!$A$2:$A$1217))</f>
        <v>45534</v>
      </c>
      <c r="C39" s="20">
        <f>INDEX(canara!$B$2:$B$1217, MATCH(B39, canara!$A$2:$A$1217, 0))</f>
        <v>339.87</v>
      </c>
      <c r="D39" s="21">
        <f t="shared" si="4"/>
        <v>1.8093041368361096E-2</v>
      </c>
      <c r="E39" s="19">
        <f>SUMPRODUCT(MAX((hdfc!$A$2:$A$1217&lt;=$A39)*hdfc!$A$2:$A$1217))</f>
        <v>45534</v>
      </c>
      <c r="F39" s="20">
        <f>INDEX(hdfc!$B$2:$B$1217, MATCH(E39, hdfc!$A$2:$A$1217, 0))</f>
        <v>1894.8109999999999</v>
      </c>
      <c r="G39" s="21">
        <f t="shared" si="5"/>
        <v>1.7115002359190612E-2</v>
      </c>
      <c r="H39" s="19">
        <f>SUMPRODUCT(MAX(('parag parikh'!$A$2:$A$1217&lt;=$A39)*'parag parikh'!$A$2:$A$1217))</f>
        <v>45534</v>
      </c>
      <c r="I39" s="20">
        <f>INDEX('parag parikh'!$B$2:$B$1217, MATCH(H39, 'parag parikh'!$A$2:$A$1217, 0))</f>
        <v>85.887</v>
      </c>
      <c r="J39" s="21">
        <f t="shared" si="6"/>
        <v>1.1613526342445946E-2</v>
      </c>
      <c r="K39" s="19">
        <f>SUMPRODUCT(MAX(('Nifty 500 TRI '!$A$2:$A$1217&lt;=$A39)*'Nifty 500 TRI '!$A$2:$A$1217))</f>
        <v>45534</v>
      </c>
      <c r="L39" s="20">
        <f>INDEX('Nifty 500 TRI '!$B$2:$B$1217, MATCH(K39, 'Nifty 500 TRI '!$A$2:$A$1217, 0))</f>
        <v>37449.919999999998</v>
      </c>
      <c r="M39" s="21">
        <f t="shared" si="7"/>
        <v>1.0355559584396268E-2</v>
      </c>
    </row>
    <row r="40" spans="1:13" x14ac:dyDescent="0.35">
      <c r="A40" s="18">
        <v>45565</v>
      </c>
      <c r="B40" s="19">
        <f>SUMPRODUCT(MAX((canara!$A$2:$A$1217&lt;=$A40)*canara!$A$2:$A$1217))</f>
        <v>45565</v>
      </c>
      <c r="C40" s="20">
        <f>INDEX(canara!$B$2:$B$1217, MATCH(B40, canara!$A$2:$A$1217, 0))</f>
        <v>347.98</v>
      </c>
      <c r="D40" s="21">
        <f t="shared" si="4"/>
        <v>2.3862064907170355E-2</v>
      </c>
      <c r="E40" s="19">
        <f>SUMPRODUCT(MAX((hdfc!$A$2:$A$1217&lt;=$A40)*hdfc!$A$2:$A$1217))</f>
        <v>45562</v>
      </c>
      <c r="F40" s="20">
        <f>INDEX(hdfc!$B$2:$B$1217, MATCH(E40, hdfc!$A$2:$A$1217, 0))</f>
        <v>1974.7829999999999</v>
      </c>
      <c r="G40" s="21">
        <f t="shared" si="5"/>
        <v>4.2205792556619048E-2</v>
      </c>
      <c r="H40" s="19">
        <f>SUMPRODUCT(MAX(('parag parikh'!$A$2:$A$1217&lt;=$A40)*'parag parikh'!$A$2:$A$1217))</f>
        <v>45565</v>
      </c>
      <c r="I40" s="20">
        <f>INDEX('parag parikh'!$B$2:$B$1217, MATCH(H40, 'parag parikh'!$A$2:$A$1217, 0))</f>
        <v>88.617000000000004</v>
      </c>
      <c r="J40" s="21">
        <f t="shared" si="6"/>
        <v>3.1785951308114235E-2</v>
      </c>
      <c r="K40" s="19">
        <f>SUMPRODUCT(MAX(('Nifty 500 TRI '!$A$2:$A$1217&lt;=$A40)*'Nifty 500 TRI '!$A$2:$A$1217))</f>
        <v>45565</v>
      </c>
      <c r="L40" s="20">
        <f>INDEX('Nifty 500 TRI '!$B$2:$B$1217, MATCH(K40, 'Nifty 500 TRI '!$A$2:$A$1217, 0))</f>
        <v>38261.39</v>
      </c>
      <c r="M40" s="21">
        <f t="shared" si="7"/>
        <v>2.1668137074792204E-2</v>
      </c>
    </row>
    <row r="41" spans="1:13" x14ac:dyDescent="0.35">
      <c r="A41" s="18">
        <v>45596</v>
      </c>
      <c r="B41" s="19">
        <f>SUMPRODUCT(MAX((canara!$A$2:$A$1217&lt;=$A41)*canara!$A$2:$A$1217))</f>
        <v>45596</v>
      </c>
      <c r="C41" s="20">
        <f>INDEX(canara!$B$2:$B$1217, MATCH(B41, canara!$A$2:$A$1217, 0))</f>
        <v>327.96</v>
      </c>
      <c r="D41" s="21">
        <f t="shared" si="4"/>
        <v>-5.7532042071383516E-2</v>
      </c>
      <c r="E41" s="19">
        <f>SUMPRODUCT(MAX((hdfc!$A$2:$A$1217&lt;=$A41)*hdfc!$A$2:$A$1217))</f>
        <v>45596</v>
      </c>
      <c r="F41" s="20">
        <f>INDEX(hdfc!$B$2:$B$1217, MATCH(E41, hdfc!$A$2:$A$1217, 0))</f>
        <v>1877.4090000000001</v>
      </c>
      <c r="G41" s="21">
        <f t="shared" si="5"/>
        <v>-4.9308708855605787E-2</v>
      </c>
      <c r="H41" s="19">
        <f>SUMPRODUCT(MAX(('parag parikh'!$A$2:$A$1217&lt;=$A41)*'parag parikh'!$A$2:$A$1217))</f>
        <v>45596</v>
      </c>
      <c r="I41" s="20">
        <f>INDEX('parag parikh'!$B$2:$B$1217, MATCH(H41, 'parag parikh'!$A$2:$A$1217, 0))</f>
        <v>85.980999999999995</v>
      </c>
      <c r="J41" s="21">
        <f t="shared" si="6"/>
        <v>-2.9745985533249919E-2</v>
      </c>
      <c r="K41" s="19">
        <f>SUMPRODUCT(MAX(('Nifty 500 TRI '!$A$2:$A$1217&lt;=$A41)*'Nifty 500 TRI '!$A$2:$A$1217))</f>
        <v>45596</v>
      </c>
      <c r="L41" s="20">
        <f>INDEX('Nifty 500 TRI '!$B$2:$B$1217, MATCH(K41, 'Nifty 500 TRI '!$A$2:$A$1217, 0))</f>
        <v>35830.980000000003</v>
      </c>
      <c r="M41" s="21">
        <f t="shared" si="7"/>
        <v>-6.3521215512557072E-2</v>
      </c>
    </row>
    <row r="42" spans="1:13" x14ac:dyDescent="0.35">
      <c r="A42" s="18">
        <v>45626</v>
      </c>
      <c r="B42" s="19">
        <f>SUMPRODUCT(MAX((canara!$A$2:$A$1217&lt;=$A42)*canara!$A$2:$A$1217))</f>
        <v>45625</v>
      </c>
      <c r="C42" s="20">
        <f>INDEX(canara!$B$2:$B$1217, MATCH(B42, canara!$A$2:$A$1217, 0))</f>
        <v>328.9</v>
      </c>
      <c r="D42" s="21">
        <f t="shared" si="4"/>
        <v>2.866203195511563E-3</v>
      </c>
      <c r="E42" s="19">
        <f>SUMPRODUCT(MAX((hdfc!$A$2:$A$1217&lt;=$A42)*hdfc!$A$2:$A$1217))</f>
        <v>45625</v>
      </c>
      <c r="F42" s="20">
        <f>INDEX(hdfc!$B$2:$B$1217, MATCH(E42, hdfc!$A$2:$A$1217, 0))</f>
        <v>1883.672</v>
      </c>
      <c r="G42" s="21">
        <f t="shared" si="5"/>
        <v>3.3359805987933644E-3</v>
      </c>
      <c r="H42" s="19">
        <f>SUMPRODUCT(MAX(('parag parikh'!$A$2:$A$1217&lt;=$A42)*'parag parikh'!$A$2:$A$1217))</f>
        <v>45625</v>
      </c>
      <c r="I42" s="20">
        <f>INDEX('parag parikh'!$B$2:$B$1217, MATCH(H42, 'parag parikh'!$A$2:$A$1217, 0))</f>
        <v>86.763999999999996</v>
      </c>
      <c r="J42" s="21">
        <f t="shared" si="6"/>
        <v>9.1066630999872E-3</v>
      </c>
      <c r="K42" s="19">
        <f>SUMPRODUCT(MAX(('Nifty 500 TRI '!$A$2:$A$1217&lt;=$A42)*'Nifty 500 TRI '!$A$2:$A$1217))</f>
        <v>45625</v>
      </c>
      <c r="L42" s="20">
        <f>INDEX('Nifty 500 TRI '!$B$2:$B$1217, MATCH(K42, 'Nifty 500 TRI '!$A$2:$A$1217, 0))</f>
        <v>35847.4</v>
      </c>
      <c r="M42" s="21">
        <f t="shared" si="7"/>
        <v>4.5826265427284518E-4</v>
      </c>
    </row>
    <row r="43" spans="1:13" x14ac:dyDescent="0.35">
      <c r="A43" s="18">
        <v>45657</v>
      </c>
      <c r="B43" s="19">
        <f>SUMPRODUCT(MAX((canara!$A$2:$A$1217&lt;=$A43)*canara!$A$2:$A$1217))</f>
        <v>45657</v>
      </c>
      <c r="C43" s="20">
        <f>INDEX(canara!$B$2:$B$1217, MATCH(B43, canara!$A$2:$A$1217, 0))</f>
        <v>326.44</v>
      </c>
      <c r="D43" s="21">
        <f t="shared" si="4"/>
        <v>-7.479477044694427E-3</v>
      </c>
      <c r="E43" s="19">
        <f>SUMPRODUCT(MAX((hdfc!$A$2:$A$1217&lt;=$A43)*hdfc!$A$2:$A$1217))</f>
        <v>45657</v>
      </c>
      <c r="F43" s="20">
        <f>INDEX(hdfc!$B$2:$B$1217, MATCH(E43, hdfc!$A$2:$A$1217, 0))</f>
        <v>1859.771</v>
      </c>
      <c r="G43" s="21">
        <f t="shared" si="5"/>
        <v>-1.2688514773272708E-2</v>
      </c>
      <c r="H43" s="19">
        <f>SUMPRODUCT(MAX(('parag parikh'!$A$2:$A$1217&lt;=$A43)*'parag parikh'!$A$2:$A$1217))</f>
        <v>45657</v>
      </c>
      <c r="I43" s="20">
        <f>INDEX('parag parikh'!$B$2:$B$1217, MATCH(H43, 'parag parikh'!$A$2:$A$1217, 0))</f>
        <v>87.673000000000002</v>
      </c>
      <c r="J43" s="21">
        <f t="shared" si="6"/>
        <v>1.0476695403623726E-2</v>
      </c>
      <c r="K43" s="19">
        <f>SUMPRODUCT(MAX(('Nifty 500 TRI '!$A$2:$A$1217&lt;=$A43)*'Nifty 500 TRI '!$A$2:$A$1217))</f>
        <v>45657</v>
      </c>
      <c r="L43" s="20">
        <f>INDEX('Nifty 500 TRI '!$B$2:$B$1217, MATCH(K43, 'Nifty 500 TRI '!$A$2:$A$1217, 0))</f>
        <v>35357.9</v>
      </c>
      <c r="M43" s="21">
        <f t="shared" si="7"/>
        <v>-1.365510469378528E-2</v>
      </c>
    </row>
    <row r="44" spans="1:13" x14ac:dyDescent="0.35">
      <c r="A44" s="18">
        <v>45688</v>
      </c>
      <c r="B44" s="19">
        <f>SUMPRODUCT(MAX((canara!$A$2:$A$1217&lt;=$A44)*canara!$A$2:$A$1217))</f>
        <v>45688</v>
      </c>
      <c r="C44" s="20">
        <f>INDEX(canara!$B$2:$B$1217, MATCH(B44, canara!$A$2:$A$1217, 0))</f>
        <v>312.56</v>
      </c>
      <c r="D44" s="21">
        <f t="shared" si="4"/>
        <v>-4.2519299105501784E-2</v>
      </c>
      <c r="E44" s="19">
        <f>SUMPRODUCT(MAX((hdfc!$A$2:$A$1217&lt;=$A44)*hdfc!$A$2:$A$1217))</f>
        <v>45688</v>
      </c>
      <c r="F44" s="20">
        <f>INDEX(hdfc!$B$2:$B$1217, MATCH(E44, hdfc!$A$2:$A$1217, 0))</f>
        <v>1814.3389999999999</v>
      </c>
      <c r="G44" s="21">
        <f t="shared" si="5"/>
        <v>-2.4428814085175055E-2</v>
      </c>
      <c r="H44" s="19">
        <f>SUMPRODUCT(MAX(('parag parikh'!$A$2:$A$1217&lt;=$A44)*'parag parikh'!$A$2:$A$1217))</f>
        <v>45688</v>
      </c>
      <c r="I44" s="20">
        <f>INDEX('parag parikh'!$B$2:$B$1217, MATCH(H44, 'parag parikh'!$A$2:$A$1217, 0))</f>
        <v>87.435000000000002</v>
      </c>
      <c r="J44" s="21">
        <f t="shared" si="6"/>
        <v>-2.7146327831829575E-3</v>
      </c>
      <c r="K44" s="19">
        <f>SUMPRODUCT(MAX(('Nifty 500 TRI '!$A$2:$A$1217&lt;=$A44)*'Nifty 500 TRI '!$A$2:$A$1217))</f>
        <v>45688</v>
      </c>
      <c r="L44" s="20">
        <f>INDEX('Nifty 500 TRI '!$B$2:$B$1217, MATCH(K44, 'Nifty 500 TRI '!$A$2:$A$1217, 0))</f>
        <v>34130.93</v>
      </c>
      <c r="M44" s="21">
        <f t="shared" si="7"/>
        <v>-3.4701438716665867E-2</v>
      </c>
    </row>
    <row r="45" spans="1:13" x14ac:dyDescent="0.35">
      <c r="A45" s="18">
        <v>45716</v>
      </c>
      <c r="B45" s="19">
        <f>SUMPRODUCT(MAX((canara!$A$2:$A$1217&lt;=$A45)*canara!$A$2:$A$1217))</f>
        <v>45716</v>
      </c>
      <c r="C45" s="20">
        <f>INDEX(canara!$B$2:$B$1217, MATCH(B45, canara!$A$2:$A$1217, 0))</f>
        <v>289.86</v>
      </c>
      <c r="D45" s="21">
        <f t="shared" si="4"/>
        <v>-7.262605579728687E-2</v>
      </c>
      <c r="E45" s="19">
        <f>SUMPRODUCT(MAX((hdfc!$A$2:$A$1217&lt;=$A45)*hdfc!$A$2:$A$1217))</f>
        <v>45702</v>
      </c>
      <c r="F45" s="20">
        <f>INDEX(hdfc!$B$2:$B$1217, MATCH(E45, hdfc!$A$2:$A$1217, 0))</f>
        <v>1780.954</v>
      </c>
      <c r="G45" s="21">
        <f t="shared" si="5"/>
        <v>-1.8400640674096747E-2</v>
      </c>
      <c r="H45" s="19">
        <f>SUMPRODUCT(MAX(('parag parikh'!$A$2:$A$1217&lt;=$A45)*'parag parikh'!$A$2:$A$1217))</f>
        <v>45716</v>
      </c>
      <c r="I45" s="20">
        <f>INDEX('parag parikh'!$B$2:$B$1217, MATCH(H45, 'parag parikh'!$A$2:$A$1217, 0))</f>
        <v>83.491</v>
      </c>
      <c r="J45" s="21">
        <f t="shared" si="6"/>
        <v>-4.5107794361525788E-2</v>
      </c>
      <c r="K45" s="19">
        <f>SUMPRODUCT(MAX(('Nifty 500 TRI '!$A$2:$A$1217&lt;=$A45)*'Nifty 500 TRI '!$A$2:$A$1217))</f>
        <v>45716</v>
      </c>
      <c r="L45" s="20">
        <f>INDEX('Nifty 500 TRI '!$B$2:$B$1217, MATCH(K45, 'Nifty 500 TRI '!$A$2:$A$1217, 0))</f>
        <v>31473.37</v>
      </c>
      <c r="M45" s="21">
        <f t="shared" si="7"/>
        <v>-7.7863685519263703E-2</v>
      </c>
    </row>
    <row r="46" spans="1:13" x14ac:dyDescent="0.35">
      <c r="A46" s="18">
        <v>45747</v>
      </c>
      <c r="B46" s="19">
        <f>SUMPRODUCT(MAX((canara!$A$2:$A$1217&lt;=$A46)*canara!$A$2:$A$1217))</f>
        <v>45747</v>
      </c>
      <c r="C46" s="20">
        <f>INDEX(canara!$B$2:$B$1217, MATCH(B46, canara!$A$2:$A$1217, 0))</f>
        <v>309.76</v>
      </c>
      <c r="D46" s="21">
        <f t="shared" si="4"/>
        <v>6.8653832884840948E-2</v>
      </c>
      <c r="E46" s="19">
        <f>SUMPRODUCT(MAX((hdfc!$A$2:$A$1217&lt;=$A46)*hdfc!$A$2:$A$1217))</f>
        <v>45747</v>
      </c>
      <c r="F46" s="20">
        <f>INDEX(hdfc!$B$2:$B$1217, MATCH(E46, hdfc!$A$2:$A$1217, 0))</f>
        <v>1846.2170000000001</v>
      </c>
      <c r="G46" s="21">
        <f t="shared" si="5"/>
        <v>3.6644966686393943E-2</v>
      </c>
      <c r="H46" s="19">
        <f>SUMPRODUCT(MAX(('parag parikh'!$A$2:$A$1217&lt;=$A46)*'parag parikh'!$A$2:$A$1217))</f>
        <v>45747</v>
      </c>
      <c r="I46" s="20">
        <f>INDEX('parag parikh'!$B$2:$B$1217, MATCH(H46, 'parag parikh'!$A$2:$A$1217, 0))</f>
        <v>85.8</v>
      </c>
      <c r="J46" s="21">
        <f t="shared" si="6"/>
        <v>2.7655675462025853E-2</v>
      </c>
      <c r="K46" s="19">
        <f>SUMPRODUCT(MAX(('Nifty 500 TRI '!$A$2:$A$1217&lt;=$A46)*'Nifty 500 TRI '!$A$2:$A$1217))</f>
        <v>45744</v>
      </c>
      <c r="L46" s="20">
        <f>INDEX('Nifty 500 TRI '!$B$2:$B$1217, MATCH(K46, 'Nifty 500 TRI '!$A$2:$A$1217, 0))</f>
        <v>33787.56</v>
      </c>
      <c r="M46" s="21">
        <f t="shared" si="7"/>
        <v>7.3528509975258505E-2</v>
      </c>
    </row>
    <row r="47" spans="1:13" x14ac:dyDescent="0.35">
      <c r="A47" s="18">
        <v>45777</v>
      </c>
      <c r="B47" s="19">
        <f>SUMPRODUCT(MAX((canara!$A$2:$A$1217&lt;=$A47)*canara!$A$2:$A$1217))</f>
        <v>45777</v>
      </c>
      <c r="C47" s="20">
        <f>INDEX(canara!$B$2:$B$1217, MATCH(B47, canara!$A$2:$A$1217, 0))</f>
        <v>320.22000000000003</v>
      </c>
      <c r="D47" s="21">
        <f t="shared" si="4"/>
        <v>3.3768078512396826E-2</v>
      </c>
      <c r="E47" s="19">
        <f>SUMPRODUCT(MAX((hdfc!$A$2:$A$1217&lt;=$A47)*hdfc!$A$2:$A$1217))</f>
        <v>45777</v>
      </c>
      <c r="F47" s="20">
        <f>INDEX(hdfc!$B$2:$B$1217, MATCH(E47, hdfc!$A$2:$A$1217, 0))</f>
        <v>1920.9369999999999</v>
      </c>
      <c r="G47" s="21">
        <f t="shared" si="5"/>
        <v>4.0471948855416162E-2</v>
      </c>
      <c r="H47" s="19">
        <f>SUMPRODUCT(MAX(('parag parikh'!$A$2:$A$1217&lt;=$A47)*'parag parikh'!$A$2:$A$1217))</f>
        <v>45777</v>
      </c>
      <c r="I47" s="20">
        <f>INDEX('parag parikh'!$B$2:$B$1217, MATCH(H47, 'parag parikh'!$A$2:$A$1217, 0))</f>
        <v>87.412000000000006</v>
      </c>
      <c r="J47" s="21">
        <f t="shared" si="6"/>
        <v>1.8787878787878798E-2</v>
      </c>
      <c r="K47" s="19">
        <f>SUMPRODUCT(MAX(('Nifty 500 TRI '!$A$2:$A$1217&lt;=$A47)*'Nifty 500 TRI '!$A$2:$A$1217))</f>
        <v>45777</v>
      </c>
      <c r="L47" s="20">
        <f>INDEX('Nifty 500 TRI '!$B$2:$B$1217, MATCH(K47, 'Nifty 500 TRI '!$A$2:$A$1217, 0))</f>
        <v>34886.080000000002</v>
      </c>
      <c r="M47" s="21">
        <f t="shared" si="7"/>
        <v>3.2512557876331005E-2</v>
      </c>
    </row>
    <row r="48" spans="1:13" x14ac:dyDescent="0.35">
      <c r="A48" s="18">
        <v>45808</v>
      </c>
      <c r="B48" s="19">
        <f>SUMPRODUCT(MAX((canara!$A$2:$A$1217&lt;=$A48)*canara!$A$2:$A$1217))</f>
        <v>45807</v>
      </c>
      <c r="C48" s="20">
        <f>INDEX(canara!$B$2:$B$1217, MATCH(B48, canara!$A$2:$A$1217, 0))</f>
        <v>332.45</v>
      </c>
      <c r="D48" s="21">
        <f t="shared" si="4"/>
        <v>3.8192492661295319E-2</v>
      </c>
      <c r="E48" s="19">
        <f>SUMPRODUCT(MAX((hdfc!$A$2:$A$1217&lt;=$A48)*hdfc!$A$2:$A$1217))</f>
        <v>45807</v>
      </c>
      <c r="F48" s="20">
        <f>INDEX(hdfc!$B$2:$B$1217, MATCH(E48, hdfc!$A$2:$A$1217, 0))</f>
        <v>1946.115</v>
      </c>
      <c r="G48" s="21">
        <f t="shared" si="5"/>
        <v>1.3107145106789009E-2</v>
      </c>
      <c r="H48" s="19">
        <f>SUMPRODUCT(MAX(('parag parikh'!$A$2:$A$1217&lt;=$A48)*'parag parikh'!$A$2:$A$1217))</f>
        <v>45807</v>
      </c>
      <c r="I48" s="20">
        <f>INDEX('parag parikh'!$B$2:$B$1217, MATCH(H48, 'parag parikh'!$A$2:$A$1217, 0))</f>
        <v>89.784000000000006</v>
      </c>
      <c r="J48" s="21">
        <f t="shared" si="6"/>
        <v>2.7135862352994922E-2</v>
      </c>
      <c r="K48" s="19">
        <f>SUMPRODUCT(MAX(('Nifty 500 TRI '!$A$2:$A$1217&lt;=$A48)*'Nifty 500 TRI '!$A$2:$A$1217))</f>
        <v>45807</v>
      </c>
      <c r="L48" s="20">
        <f>INDEX('Nifty 500 TRI '!$B$2:$B$1217, MATCH(K48, 'Nifty 500 TRI '!$A$2:$A$1217, 0))</f>
        <v>36160.26</v>
      </c>
      <c r="M48" s="21">
        <f t="shared" si="7"/>
        <v>3.652402333538185E-2</v>
      </c>
    </row>
    <row r="49" spans="1:13" x14ac:dyDescent="0.35">
      <c r="A49" s="18">
        <v>45838</v>
      </c>
      <c r="B49" s="19">
        <f>SUMPRODUCT(MAX((canara!$A$2:$A$1217&lt;=$A49)*canara!$A$2:$A$1217))</f>
        <v>45838</v>
      </c>
      <c r="C49" s="20">
        <f>INDEX(canara!$B$2:$B$1217, MATCH(B49, canara!$A$2:$A$1217, 0))</f>
        <v>345.93</v>
      </c>
      <c r="D49" s="21">
        <f t="shared" si="4"/>
        <v>4.0547450744472968E-2</v>
      </c>
      <c r="E49" s="19">
        <f>SUMPRODUCT(MAX((hdfc!$A$2:$A$1217&lt;=$A49)*hdfc!$A$2:$A$1217))</f>
        <v>45838</v>
      </c>
      <c r="F49" s="20">
        <f>INDEX(hdfc!$B$2:$B$1217, MATCH(E49, hdfc!$A$2:$A$1217, 0))</f>
        <v>1998.76</v>
      </c>
      <c r="G49" s="21">
        <f t="shared" si="5"/>
        <v>2.7051330471220769E-2</v>
      </c>
      <c r="H49" s="19">
        <f>SUMPRODUCT(MAX(('parag parikh'!$A$2:$A$1217&lt;=$A49)*'parag parikh'!$A$2:$A$1217))</f>
        <v>45838</v>
      </c>
      <c r="I49" s="20">
        <f>INDEX('parag parikh'!$B$2:$B$1217, MATCH(H49, 'parag parikh'!$A$2:$A$1217, 0))</f>
        <v>92.903000000000006</v>
      </c>
      <c r="J49" s="21">
        <f t="shared" si="6"/>
        <v>3.4738928985119877E-2</v>
      </c>
      <c r="K49" s="19">
        <f>SUMPRODUCT(MAX(('Nifty 500 TRI '!$A$2:$A$1217&lt;=$A49)*'Nifty 500 TRI '!$A$2:$A$1217))</f>
        <v>45838</v>
      </c>
      <c r="L49" s="20">
        <f>INDEX('Nifty 500 TRI '!$B$2:$B$1217, MATCH(K49, 'Nifty 500 TRI '!$A$2:$A$1217, 0))</f>
        <v>37522.379999999997</v>
      </c>
      <c r="M49" s="21">
        <f t="shared" si="7"/>
        <v>3.7668976937665688E-2</v>
      </c>
    </row>
    <row r="50" spans="1:13" x14ac:dyDescent="0.35">
      <c r="A50" s="18">
        <v>45869</v>
      </c>
      <c r="B50" s="19">
        <f>SUMPRODUCT(MAX((canara!$A$2:$A$1217&lt;=$A50)*canara!$A$2:$A$1217))</f>
        <v>45869</v>
      </c>
      <c r="C50" s="20">
        <f>INDEX(canara!$B$2:$B$1217, MATCH(B50, canara!$A$2:$A$1217, 0))</f>
        <v>339.74</v>
      </c>
      <c r="D50" s="21">
        <f t="shared" si="4"/>
        <v>-1.7893793542046121E-2</v>
      </c>
      <c r="E50" s="19">
        <f>SUMPRODUCT(MAX((hdfc!$A$2:$A$1217&lt;=$A50)*hdfc!$A$2:$A$1217))</f>
        <v>45869</v>
      </c>
      <c r="F50" s="20">
        <f>INDEX(hdfc!$B$2:$B$1217, MATCH(E50, hdfc!$A$2:$A$1217, 0))</f>
        <v>1969.163</v>
      </c>
      <c r="G50" s="21">
        <f t="shared" si="5"/>
        <v>-1.4807680762072506E-2</v>
      </c>
      <c r="H50" s="19">
        <f>SUMPRODUCT(MAX(('parag parikh'!$A$2:$A$1217&lt;=$A50)*'parag parikh'!$A$2:$A$1217))</f>
        <v>45869</v>
      </c>
      <c r="I50" s="20">
        <f>INDEX('parag parikh'!$B$2:$B$1217, MATCH(H50, 'parag parikh'!$A$2:$A$1217, 0))</f>
        <v>92.16</v>
      </c>
      <c r="J50" s="21">
        <f t="shared" si="6"/>
        <v>-7.9975888830285946E-3</v>
      </c>
      <c r="K50" s="19">
        <f>SUMPRODUCT(MAX(('Nifty 500 TRI '!$A$2:$A$1217&lt;=$A50)*'Nifty 500 TRI '!$A$2:$A$1217))</f>
        <v>45869</v>
      </c>
      <c r="L50" s="20">
        <f>INDEX('Nifty 500 TRI '!$B$2:$B$1217, MATCH(K50, 'Nifty 500 TRI '!$A$2:$A$1217, 0))</f>
        <v>36461.71</v>
      </c>
      <c r="M50" s="21">
        <f t="shared" si="7"/>
        <v>-2.8267663191940295E-2</v>
      </c>
    </row>
    <row r="51" spans="1:13" x14ac:dyDescent="0.35">
      <c r="A51" s="18">
        <v>45900</v>
      </c>
      <c r="B51" s="19">
        <f>SUMPRODUCT(MAX((canara!$A$2:$A$1217&lt;=$A51)*canara!$A$2:$A$1217))</f>
        <v>45898</v>
      </c>
      <c r="C51" s="20">
        <f>INDEX(canara!$B$2:$B$1217, MATCH(B51, canara!$A$2:$A$1217, 0))</f>
        <v>337.46</v>
      </c>
      <c r="D51" s="21">
        <f t="shared" si="4"/>
        <v>-6.7110143050569393E-3</v>
      </c>
      <c r="E51" s="19">
        <f>SUMPRODUCT(MAX((hdfc!$A$2:$A$1217&lt;=$A51)*hdfc!$A$2:$A$1217))</f>
        <v>45898</v>
      </c>
      <c r="F51" s="20">
        <f>INDEX(hdfc!$B$2:$B$1217, MATCH(E51, hdfc!$A$2:$A$1217, 0))</f>
        <v>1970.1610000000001</v>
      </c>
      <c r="G51" s="21">
        <f t="shared" si="5"/>
        <v>5.0681431653964992E-4</v>
      </c>
      <c r="H51" s="19">
        <f>SUMPRODUCT(MAX(('parag parikh'!$A$2:$A$1217&lt;=$A51)*'parag parikh'!$A$2:$A$1217))</f>
        <v>45898</v>
      </c>
      <c r="I51" s="20">
        <f>INDEX('parag parikh'!$B$2:$B$1217, MATCH(H51, 'parag parikh'!$A$2:$A$1217, 0))</f>
        <v>91.073999999999998</v>
      </c>
      <c r="J51" s="21">
        <f t="shared" si="6"/>
        <v>-1.1783854166666607E-2</v>
      </c>
      <c r="K51" s="19">
        <f>SUMPRODUCT(MAX(('Nifty 500 TRI '!$A$2:$A$1217&lt;=$A51)*'Nifty 500 TRI '!$A$2:$A$1217))</f>
        <v>45898</v>
      </c>
      <c r="L51" s="20">
        <f>INDEX('Nifty 500 TRI '!$B$2:$B$1217, MATCH(K51, 'Nifty 500 TRI '!$A$2:$A$1217, 0))</f>
        <v>35799.379999999997</v>
      </c>
      <c r="M51" s="21">
        <f t="shared" si="7"/>
        <v>-1.8165083316169284E-2</v>
      </c>
    </row>
    <row r="52" spans="1:13" x14ac:dyDescent="0.35">
      <c r="A52" s="18">
        <v>45930</v>
      </c>
      <c r="B52" s="19">
        <f>SUMPRODUCT(MAX((canara!$A$2:$A$1217&lt;=$A52)*canara!$A$2:$A$1217))</f>
        <v>45930</v>
      </c>
      <c r="C52" s="20">
        <f>INDEX(canara!$B$2:$B$1217, MATCH(B52, canara!$A$2:$A$1217, 0))</f>
        <v>338.57</v>
      </c>
      <c r="D52" s="21">
        <f t="shared" si="4"/>
        <v>3.2892787293308245E-3</v>
      </c>
      <c r="E52" s="19">
        <f>SUMPRODUCT(MAX((hdfc!$A$2:$A$1217&lt;=$A52)*hdfc!$A$2:$A$1217))</f>
        <v>45930</v>
      </c>
      <c r="F52" s="20">
        <f>INDEX(hdfc!$B$2:$B$1217, MATCH(E52, hdfc!$A$2:$A$1217, 0))</f>
        <v>2002.998</v>
      </c>
      <c r="G52" s="21">
        <f t="shared" si="5"/>
        <v>1.66671657798525E-2</v>
      </c>
      <c r="H52" s="19">
        <f>SUMPRODUCT(MAX(('parag parikh'!$A$2:$A$1217&lt;=$A52)*'parag parikh'!$A$2:$A$1217))</f>
        <v>45930</v>
      </c>
      <c r="I52" s="20">
        <f>INDEX('parag parikh'!$B$2:$B$1217, MATCH(H52, 'parag parikh'!$A$2:$A$1217, 0))</f>
        <v>92.096000000000004</v>
      </c>
      <c r="J52" s="21">
        <f t="shared" si="6"/>
        <v>1.1221643937896708E-2</v>
      </c>
      <c r="K52" s="19">
        <f>SUMPRODUCT(MAX(('Nifty 500 TRI '!$A$2:$A$1217&lt;=$A52)*'Nifty 500 TRI '!$A$2:$A$1217))</f>
        <v>45930</v>
      </c>
      <c r="L52" s="20">
        <f>INDEX('Nifty 500 TRI '!$B$2:$B$1217, MATCH(K52, 'Nifty 500 TRI '!$A$2:$A$1217, 0))</f>
        <v>36248.22</v>
      </c>
      <c r="M52" s="21">
        <f t="shared" si="7"/>
        <v>1.2537647300037147E-2</v>
      </c>
    </row>
    <row r="53" spans="1:13" x14ac:dyDescent="0.35">
      <c r="A53" s="18">
        <v>45961</v>
      </c>
      <c r="B53" s="19">
        <f>SUMPRODUCT(MAX((canara!$A$2:$A$1217&lt;=$A53)*canara!$A$2:$A$1217))</f>
        <v>45961</v>
      </c>
      <c r="C53" s="20">
        <f>INDEX(canara!$B$2:$B$1217, MATCH(B53, canara!$A$2:$A$1217, 0))</f>
        <v>349.71</v>
      </c>
      <c r="D53" s="21">
        <f t="shared" si="4"/>
        <v>3.2903092418111513E-2</v>
      </c>
      <c r="E53" s="19">
        <f>SUMPRODUCT(MAX((hdfc!$A$2:$A$1217&lt;=$A53)*hdfc!$A$2:$A$1217))</f>
        <v>45961</v>
      </c>
      <c r="F53" s="20">
        <f>INDEX(hdfc!$B$2:$B$1217, MATCH(E53, hdfc!$A$2:$A$1217, 0))</f>
        <v>2068.8330000000001</v>
      </c>
      <c r="G53" s="21">
        <f t="shared" si="5"/>
        <v>3.2868230522446806E-2</v>
      </c>
      <c r="H53" s="19">
        <f>SUMPRODUCT(MAX(('parag parikh'!$A$2:$A$1217&lt;=$A53)*'parag parikh'!$A$2:$A$1217))</f>
        <v>45961</v>
      </c>
      <c r="I53" s="20">
        <f>INDEX('parag parikh'!$B$2:$B$1217, MATCH(H53, 'parag parikh'!$A$2:$A$1217, 0))</f>
        <v>94.406999999999996</v>
      </c>
      <c r="J53" s="21">
        <f t="shared" si="6"/>
        <v>2.5093380820013778E-2</v>
      </c>
      <c r="K53" s="19">
        <f>SUMPRODUCT(MAX(('Nifty 500 TRI '!$A$2:$A$1217&lt;=$A53)*'Nifty 500 TRI '!$A$2:$A$1217))</f>
        <v>45961</v>
      </c>
      <c r="L53" s="20">
        <f>INDEX('Nifty 500 TRI '!$B$2:$B$1217, MATCH(K53, 'Nifty 500 TRI '!$A$2:$A$1217, 0))</f>
        <v>37822.449999999997</v>
      </c>
      <c r="M53" s="21">
        <f t="shared" si="7"/>
        <v>4.3429167004614078E-2</v>
      </c>
    </row>
    <row r="54" spans="1:13" x14ac:dyDescent="0.35">
      <c r="A54" s="18">
        <v>45991</v>
      </c>
      <c r="B54" s="19">
        <f>SUMPRODUCT(MAX((canara!$A$2:$A$1217&lt;=$A54)*canara!$A$2:$A$1217))</f>
        <v>45989</v>
      </c>
      <c r="C54" s="20">
        <f>INDEX(canara!$B$2:$B$1217, MATCH(B54, canara!$A$2:$A$1217, 0))</f>
        <v>352.79</v>
      </c>
      <c r="D54" s="21">
        <f t="shared" si="4"/>
        <v>8.8072974750508237E-3</v>
      </c>
      <c r="E54" s="19">
        <f>SUMPRODUCT(MAX((hdfc!$A$2:$A$1217&lt;=$A54)*hdfc!$A$2:$A$1217))</f>
        <v>45989</v>
      </c>
      <c r="F54" s="20">
        <f>INDEX(hdfc!$B$2:$B$1217, MATCH(E54, hdfc!$A$2:$A$1217, 0))</f>
        <v>2078.8119999999999</v>
      </c>
      <c r="G54" s="21">
        <f t="shared" si="5"/>
        <v>4.8234922780137079E-3</v>
      </c>
      <c r="H54" s="19">
        <f>SUMPRODUCT(MAX(('parag parikh'!$A$2:$A$1217&lt;=$A54)*'parag parikh'!$A$2:$A$1217))</f>
        <v>45989</v>
      </c>
      <c r="I54" s="20">
        <f>INDEX('parag parikh'!$B$2:$B$1217, MATCH(H54, 'parag parikh'!$A$2:$A$1217, 0))</f>
        <v>95.001999999999995</v>
      </c>
      <c r="J54" s="21">
        <f t="shared" si="6"/>
        <v>6.3024987553887968E-3</v>
      </c>
      <c r="K54" s="19">
        <f>SUMPRODUCT(MAX(('Nifty 500 TRI '!$A$2:$A$1217&lt;=$A54)*'Nifty 500 TRI '!$A$2:$A$1217))</f>
        <v>45989</v>
      </c>
      <c r="L54" s="20">
        <f>INDEX('Nifty 500 TRI '!$B$2:$B$1217, MATCH(K54, 'Nifty 500 TRI '!$A$2:$A$1217, 0))</f>
        <v>38199.35</v>
      </c>
      <c r="M54" s="21">
        <f t="shared" si="7"/>
        <v>9.9649811157129786E-3</v>
      </c>
    </row>
    <row r="55" spans="1:13" x14ac:dyDescent="0.35">
      <c r="A55" s="18">
        <v>46022</v>
      </c>
      <c r="B55" s="19">
        <f>SUMPRODUCT(MAX((canara!$A$2:$A$1217&lt;=$A55)*canara!$A$2:$A$1217))</f>
        <v>46022</v>
      </c>
      <c r="C55" s="20">
        <f>INDEX(canara!$B$2:$B$1217, MATCH(B55, canara!$A$2:$A$1217, 0))</f>
        <v>349.42</v>
      </c>
      <c r="D55" s="21">
        <f t="shared" si="4"/>
        <v>-9.5524249553559093E-3</v>
      </c>
      <c r="E55" s="19">
        <f>SUMPRODUCT(MAX((hdfc!$A$2:$A$1217&lt;=$A55)*hdfc!$A$2:$A$1217))</f>
        <v>46022</v>
      </c>
      <c r="F55" s="20">
        <f>INDEX(hdfc!$B$2:$B$1217, MATCH(E55, hdfc!$A$2:$A$1217, 0))</f>
        <v>2072.3490000000002</v>
      </c>
      <c r="G55" s="21">
        <f t="shared" si="5"/>
        <v>-3.1089872484860726E-3</v>
      </c>
      <c r="H55" s="19">
        <f>SUMPRODUCT(MAX(('parag parikh'!$A$2:$A$1217&lt;=$A55)*'parag parikh'!$A$2:$A$1217))</f>
        <v>46022</v>
      </c>
      <c r="I55" s="20">
        <f>INDEX('parag parikh'!$B$2:$B$1217, MATCH(H55, 'parag parikh'!$A$2:$A$1217, 0))</f>
        <v>95.171000000000006</v>
      </c>
      <c r="J55" s="21">
        <f t="shared" si="6"/>
        <v>1.7789099176861445E-3</v>
      </c>
      <c r="K55" s="19">
        <f>SUMPRODUCT(MAX(('Nifty 500 TRI '!$A$2:$A$1217&lt;=$A55)*'Nifty 500 TRI '!$A$2:$A$1217))</f>
        <v>46022</v>
      </c>
      <c r="L55" s="20">
        <f>INDEX('Nifty 500 TRI '!$B$2:$B$1217, MATCH(K55, 'Nifty 500 TRI '!$A$2:$A$1217, 0))</f>
        <v>38101.06</v>
      </c>
      <c r="M55" s="21">
        <f t="shared" si="7"/>
        <v>-2.5730804319968881E-3</v>
      </c>
    </row>
    <row r="56" spans="1:13" x14ac:dyDescent="0.35">
      <c r="A56" s="18">
        <v>46053</v>
      </c>
      <c r="B56" s="19">
        <f>SUMPRODUCT(MAX((canara!$A$2:$A$1217&lt;=$A56)*canara!$A$2:$A$1217))</f>
        <v>46052</v>
      </c>
      <c r="C56" s="20">
        <f>INDEX(canara!$B$2:$B$1217, MATCH(B56, canara!$A$2:$A$1217, 0))</f>
        <v>338.21</v>
      </c>
      <c r="D56" s="21">
        <f t="shared" si="4"/>
        <v>-3.2081735447312743E-2</v>
      </c>
      <c r="E56" s="19">
        <f>SUMPRODUCT(MAX((hdfc!$A$2:$A$1217&lt;=$A56)*hdfc!$A$2:$A$1217))</f>
        <v>46052</v>
      </c>
      <c r="F56" s="20">
        <f>INDEX(hdfc!$B$2:$B$1217, MATCH(E56, hdfc!$A$2:$A$1217, 0))</f>
        <v>2044.9110000000001</v>
      </c>
      <c r="G56" s="21">
        <f t="shared" si="5"/>
        <v>-1.3240047887686957E-2</v>
      </c>
      <c r="H56" s="19">
        <f>SUMPRODUCT(MAX(('parag parikh'!$A$2:$A$1217&lt;=$A56)*'parag parikh'!$A$2:$A$1217))</f>
        <v>46052</v>
      </c>
      <c r="I56" s="20">
        <f>INDEX('parag parikh'!$B$2:$B$1217, MATCH(H56, 'parag parikh'!$A$2:$A$1217, 0))</f>
        <v>93.521000000000001</v>
      </c>
      <c r="J56" s="21">
        <f t="shared" si="6"/>
        <v>-1.733721406731048E-2</v>
      </c>
      <c r="K56" s="19">
        <f>SUMPRODUCT(MAX(('Nifty 500 TRI '!$A$2:$A$1217&lt;=$A56)*'Nifty 500 TRI '!$A$2:$A$1217))</f>
        <v>46052</v>
      </c>
      <c r="L56" s="20">
        <f>INDEX('Nifty 500 TRI '!$B$2:$B$1217, MATCH(K56, 'Nifty 500 TRI '!$A$2:$A$1217, 0))</f>
        <v>36853.919999999998</v>
      </c>
      <c r="M56" s="21">
        <f t="shared" si="7"/>
        <v>-3.2732422667505867E-2</v>
      </c>
    </row>
    <row r="57" spans="1:13" x14ac:dyDescent="0.35">
      <c r="A57" s="18">
        <v>46081</v>
      </c>
      <c r="B57" s="19">
        <f>SUMPRODUCT(MAX((canara!$A$2:$A$1217&lt;=$A57)*canara!$A$2:$A$1217))</f>
        <v>46080</v>
      </c>
      <c r="C57" s="20">
        <f>INDEX(canara!$B$2:$B$1217, MATCH(B57, canara!$A$2:$A$1217, 0))</f>
        <v>339.67</v>
      </c>
      <c r="D57" s="21">
        <f t="shared" si="4"/>
        <v>4.3168445640284769E-3</v>
      </c>
      <c r="E57" s="19">
        <f>SUMPRODUCT(MAX((hdfc!$A$2:$A$1217&lt;=$A57)*hdfc!$A$2:$A$1217))</f>
        <v>46080</v>
      </c>
      <c r="F57" s="20">
        <f>INDEX(hdfc!$B$2:$B$1217, MATCH(E57, hdfc!$A$2:$A$1217, 0))</f>
        <v>2060.127</v>
      </c>
      <c r="G57" s="21">
        <f t="shared" si="5"/>
        <v>7.4409106313184648E-3</v>
      </c>
      <c r="H57" s="19">
        <f>SUMPRODUCT(MAX(('parag parikh'!$A$2:$A$1217&lt;=$A57)*'parag parikh'!$A$2:$A$1217))</f>
        <v>46080</v>
      </c>
      <c r="I57" s="20">
        <f>INDEX('parag parikh'!$B$2:$B$1217, MATCH(H57, 'parag parikh'!$A$2:$A$1217, 0))</f>
        <v>91.953999999999994</v>
      </c>
      <c r="J57" s="21">
        <f t="shared" si="6"/>
        <v>-1.6755595000053525E-2</v>
      </c>
      <c r="K57" s="19">
        <f>SUMPRODUCT(MAX(('Nifty 500 TRI '!$A$2:$A$1217&lt;=$A57)*'Nifty 500 TRI '!$A$2:$A$1217))</f>
        <v>46080</v>
      </c>
      <c r="L57" s="20">
        <f>INDEX('Nifty 500 TRI '!$B$2:$B$1217, MATCH(K57, 'Nifty 500 TRI '!$A$2:$A$1217, 0))</f>
        <v>37020.379999999997</v>
      </c>
      <c r="M57" s="21">
        <f t="shared" si="7"/>
        <v>4.5167515423054638E-3</v>
      </c>
    </row>
    <row r="58" spans="1:13" x14ac:dyDescent="0.35">
      <c r="A58" s="18">
        <v>46112</v>
      </c>
      <c r="B58" s="19">
        <f>SUMPRODUCT(MAX((canara!$A$2:$A$1217&lt;=$A58)*canara!$A$2:$A$1217))</f>
        <v>46112</v>
      </c>
      <c r="C58" s="20">
        <f>INDEX(canara!$B$2:$B$1217, MATCH(B58, canara!$A$2:$A$1217, 0))</f>
        <v>301.27999999999997</v>
      </c>
      <c r="D58" s="21">
        <f t="shared" si="4"/>
        <v>-0.11302146200724239</v>
      </c>
      <c r="E58" s="19">
        <f>SUMPRODUCT(MAX((hdfc!$A$2:$A$1217&lt;=$A58)*hdfc!$A$2:$A$1217))</f>
        <v>46112</v>
      </c>
      <c r="F58" s="20">
        <f>INDEX(hdfc!$B$2:$B$1217, MATCH(E58, hdfc!$A$2:$A$1217, 0))</f>
        <v>1817.5920000000001</v>
      </c>
      <c r="G58" s="21">
        <f t="shared" si="5"/>
        <v>-0.11772817889382536</v>
      </c>
      <c r="H58" s="19">
        <f>SUMPRODUCT(MAX(('parag parikh'!$A$2:$A$1217&lt;=$A58)*'parag parikh'!$A$2:$A$1217))</f>
        <v>46112</v>
      </c>
      <c r="I58" s="20">
        <f>INDEX('parag parikh'!$B$2:$B$1217, MATCH(H58, 'parag parikh'!$A$2:$A$1217, 0))</f>
        <v>85.677999999999997</v>
      </c>
      <c r="J58" s="21">
        <f t="shared" si="6"/>
        <v>-6.8251517062879241E-2</v>
      </c>
      <c r="K58" s="19">
        <f>SUMPRODUCT(MAX(('Nifty 500 TRI '!$A$2:$A$1217&lt;=$A58)*'Nifty 500 TRI '!$A$2:$A$1217))</f>
        <v>46111</v>
      </c>
      <c r="L58" s="20">
        <f>INDEX('Nifty 500 TRI '!$B$2:$B$1217, MATCH(K58, 'Nifty 500 TRI '!$A$2:$A$1217, 0))</f>
        <v>32813.14</v>
      </c>
      <c r="M58" s="21">
        <f t="shared" si="7"/>
        <v>-0.11364659141802425</v>
      </c>
    </row>
    <row r="59" spans="1:13" x14ac:dyDescent="0.35">
      <c r="A59" s="18">
        <v>46142</v>
      </c>
      <c r="B59" s="19">
        <f>SUMPRODUCT(MAX((canara!$A$2:$A$1217&lt;=$A59)*canara!$A$2:$A$1217))</f>
        <v>46142</v>
      </c>
      <c r="C59" s="20">
        <f>INDEX(canara!$B$2:$B$1217, MATCH(B59, canara!$A$2:$A$1217, 0))</f>
        <v>329.62</v>
      </c>
      <c r="D59" s="21">
        <f t="shared" si="4"/>
        <v>9.4065321295804694E-2</v>
      </c>
      <c r="E59" s="19">
        <f>SUMPRODUCT(MAX((hdfc!$A$2:$A$1217&lt;=$A59)*hdfc!$A$2:$A$1217))</f>
        <v>46142</v>
      </c>
      <c r="F59" s="20">
        <f>INDEX(hdfc!$B$2:$B$1217, MATCH(E59, hdfc!$A$2:$A$1217, 0))</f>
        <v>1944.502</v>
      </c>
      <c r="G59" s="21">
        <f t="shared" si="5"/>
        <v>6.982315063006439E-2</v>
      </c>
      <c r="H59" s="19">
        <f>SUMPRODUCT(MAX(('parag parikh'!$A$2:$A$1217&lt;=$A59)*'parag parikh'!$A$2:$A$1217))</f>
        <v>46142</v>
      </c>
      <c r="I59" s="20">
        <f>INDEX('parag parikh'!$B$2:$B$1217, MATCH(H59, 'parag parikh'!$A$2:$A$1217, 0))</f>
        <v>91.29</v>
      </c>
      <c r="J59" s="21">
        <f t="shared" si="6"/>
        <v>6.5501062116295916E-2</v>
      </c>
      <c r="K59" s="19">
        <f>SUMPRODUCT(MAX(('Nifty 500 TRI '!$A$2:$A$1217&lt;=$A59)*'Nifty 500 TRI '!$A$2:$A$1217))</f>
        <v>46142</v>
      </c>
      <c r="L59" s="20">
        <f>INDEX('Nifty 500 TRI '!$B$2:$B$1217, MATCH(K59, 'Nifty 500 TRI '!$A$2:$A$1217, 0))</f>
        <v>36266.61</v>
      </c>
      <c r="M59" s="21">
        <f t="shared" si="7"/>
        <v>0.10524655671477956</v>
      </c>
    </row>
    <row r="60" spans="1:13" x14ac:dyDescent="0.35">
      <c r="A60" s="18">
        <v>46173</v>
      </c>
      <c r="B60" s="19">
        <f>SUMPRODUCT(MAX((canara!$A$2:$A$1217&lt;=$A60)*canara!$A$2:$A$1217))</f>
        <v>46171</v>
      </c>
      <c r="C60" s="20">
        <f>INDEX(canara!$B$2:$B$1217, MATCH(B60, canara!$A$2:$A$1217, 0))</f>
        <v>328.34</v>
      </c>
      <c r="D60" s="21">
        <f t="shared" si="4"/>
        <v>-3.8832595109521417E-3</v>
      </c>
      <c r="E60" s="19">
        <f>SUMPRODUCT(MAX((hdfc!$A$2:$A$1217&lt;=$A60)*hdfc!$A$2:$A$1217))</f>
        <v>46171</v>
      </c>
      <c r="F60" s="20">
        <f>INDEX(hdfc!$B$2:$B$1217, MATCH(E60, hdfc!$A$2:$A$1217, 0))</f>
        <v>1939.1110000000001</v>
      </c>
      <c r="G60" s="21">
        <f t="shared" si="5"/>
        <v>-2.7724322217204111E-3</v>
      </c>
      <c r="H60" s="19">
        <f>SUMPRODUCT(MAX(('parag parikh'!$A$2:$A$1217&lt;=$A60)*'parag parikh'!$A$2:$A$1217))</f>
        <v>46171</v>
      </c>
      <c r="I60" s="20">
        <f>INDEX('parag parikh'!$B$2:$B$1217, MATCH(H60, 'parag parikh'!$A$2:$A$1217, 0))</f>
        <v>90.058999999999997</v>
      </c>
      <c r="J60" s="21">
        <f t="shared" si="6"/>
        <v>-1.34844999452296E-2</v>
      </c>
      <c r="K60" s="19">
        <f>SUMPRODUCT(MAX(('Nifty 500 TRI '!$A$2:$A$1217&lt;=$A60)*'Nifty 500 TRI '!$A$2:$A$1217))</f>
        <v>46171</v>
      </c>
      <c r="L60" s="20">
        <f>INDEX('Nifty 500 TRI '!$B$2:$B$1217, MATCH(K60, 'Nifty 500 TRI '!$A$2:$A$1217, 0))</f>
        <v>36261.800000000003</v>
      </c>
      <c r="M60" s="21">
        <f t="shared" si="7"/>
        <v>-1.3262888370313419E-4</v>
      </c>
    </row>
    <row r="61" spans="1:13" x14ac:dyDescent="0.35">
      <c r="A61" s="18">
        <v>46203</v>
      </c>
      <c r="B61" s="19">
        <f>SUMPRODUCT(MAX((canara!$A$2:$A$1217&lt;=$A61)*canara!$A$2:$A$1217))</f>
        <v>46203</v>
      </c>
      <c r="C61" s="20">
        <f>INDEX(canara!$B$2:$B$1217, MATCH(B61, canara!$A$2:$A$1217, 0))</f>
        <v>336.71</v>
      </c>
      <c r="D61" s="21">
        <f t="shared" si="4"/>
        <v>2.5491868185417488E-2</v>
      </c>
      <c r="E61" s="19">
        <f>SUMPRODUCT(MAX((hdfc!$A$2:$A$1217&lt;=$A61)*hdfc!$A$2:$A$1217))</f>
        <v>46203</v>
      </c>
      <c r="F61" s="20">
        <f>INDEX(hdfc!$B$2:$B$1217, MATCH(E61, hdfc!$A$2:$A$1217, 0))</f>
        <v>2001.393</v>
      </c>
      <c r="G61" s="21">
        <f t="shared" si="5"/>
        <v>3.2118842087946353E-2</v>
      </c>
      <c r="H61" s="19">
        <f>SUMPRODUCT(MAX(('parag parikh'!$A$2:$A$1217&lt;=$A61)*'parag parikh'!$A$2:$A$1217))</f>
        <v>46203</v>
      </c>
      <c r="I61" s="20">
        <f>INDEX('parag parikh'!$B$2:$B$1217, MATCH(H61, 'parag parikh'!$A$2:$A$1217, 0))</f>
        <v>89.838999999999999</v>
      </c>
      <c r="J61" s="21">
        <f t="shared" si="6"/>
        <v>-2.4428430251279831E-3</v>
      </c>
      <c r="K61" s="19">
        <f>SUMPRODUCT(MAX(('Nifty 500 TRI '!$A$2:$A$1217&lt;=$A61)*'Nifty 500 TRI '!$A$2:$A$1217))</f>
        <v>46203</v>
      </c>
      <c r="L61" s="20">
        <f>INDEX('Nifty 500 TRI '!$B$2:$B$1217, MATCH(K61, 'Nifty 500 TRI '!$A$2:$A$1217, 0))</f>
        <v>36880.75</v>
      </c>
      <c r="M61" s="21">
        <f t="shared" si="7"/>
        <v>1.7068926528743589E-2</v>
      </c>
    </row>
    <row r="62" spans="1:13" x14ac:dyDescent="0.35">
      <c r="A62" s="18">
        <v>46234</v>
      </c>
      <c r="B62" s="19">
        <f>SUMPRODUCT(MAX((canara!$A$2:$A$1217&lt;=$A62)*canara!$A$2:$A$1217))</f>
        <v>46234</v>
      </c>
      <c r="C62" s="20">
        <f>INDEX(canara!$B$2:$B$1217, MATCH(B62, canara!$A$2:$A$1217, 0))</f>
        <v>345.12</v>
      </c>
      <c r="D62" s="21">
        <f t="shared" si="4"/>
        <v>2.4976983160583277E-2</v>
      </c>
      <c r="E62" s="19">
        <f>SUMPRODUCT(MAX((hdfc!$A$2:$A$1217&lt;=$A62)*hdfc!$A$2:$A$1217))</f>
        <v>46234</v>
      </c>
      <c r="F62" s="20">
        <f>INDEX(hdfc!$B$2:$B$1217, MATCH(E62, hdfc!$A$2:$A$1217, 0))</f>
        <v>2059.826</v>
      </c>
      <c r="G62" s="21">
        <f t="shared" si="5"/>
        <v>2.9196164871167163E-2</v>
      </c>
      <c r="H62" s="19">
        <f>SUMPRODUCT(MAX(('parag parikh'!$A$2:$A$1217&lt;=$A62)*'parag parikh'!$A$2:$A$1217))</f>
        <v>46234</v>
      </c>
      <c r="I62" s="20">
        <f>INDEX('parag parikh'!$B$2:$B$1217, MATCH(H62, 'parag parikh'!$A$2:$A$1217, 0))</f>
        <v>92.052999999999997</v>
      </c>
      <c r="J62" s="21">
        <f t="shared" si="6"/>
        <v>2.4644085530782789E-2</v>
      </c>
      <c r="K62" s="19">
        <f>SUMPRODUCT(MAX(('Nifty 500 TRI '!$A$2:$A$1217&lt;=$A62)*'Nifty 500 TRI '!$A$2:$A$1217))</f>
        <v>46234</v>
      </c>
      <c r="L62" s="20">
        <f>INDEX('Nifty 500 TRI '!$B$2:$B$1217, MATCH(K62, 'Nifty 500 TRI '!$A$2:$A$1217, 0))</f>
        <v>37692.089999999997</v>
      </c>
      <c r="M62" s="21">
        <f t="shared" si="7"/>
        <v>2.1999010323813906E-2</v>
      </c>
    </row>
    <row r="63" spans="1:13" x14ac:dyDescent="0.35">
      <c r="A63" s="18">
        <v>46265</v>
      </c>
      <c r="B63" s="19">
        <f>SUMPRODUCT(MAX((canara!$A$2:$A$1217&lt;=$A63)*canara!$A$2:$A$1217))</f>
        <v>46265</v>
      </c>
      <c r="C63" s="20">
        <f>INDEX(canara!$B$2:$B$1217, MATCH(B63, canara!$A$2:$A$1217, 0))</f>
        <v>348.35</v>
      </c>
      <c r="D63" s="21">
        <f t="shared" si="4"/>
        <v>9.3590635141400647E-3</v>
      </c>
      <c r="E63" s="19">
        <f>SUMPRODUCT(MAX((hdfc!$A$2:$A$1217&lt;=$A63)*hdfc!$A$2:$A$1217))</f>
        <v>46265</v>
      </c>
      <c r="F63" s="20">
        <f>INDEX(hdfc!$B$2:$B$1217, MATCH(E63, hdfc!$A$2:$A$1217, 0))</f>
        <v>2091.9279999999999</v>
      </c>
      <c r="G63" s="21">
        <f t="shared" si="5"/>
        <v>1.5584811532624476E-2</v>
      </c>
      <c r="H63" s="19">
        <f>SUMPRODUCT(MAX(('parag parikh'!$A$2:$A$1217&lt;=$A63)*'parag parikh'!$A$2:$A$1217))</f>
        <v>46265</v>
      </c>
      <c r="I63" s="20">
        <f>INDEX('parag parikh'!$B$2:$B$1217, MATCH(H63, 'parag parikh'!$A$2:$A$1217, 0))</f>
        <v>90.783000000000001</v>
      </c>
      <c r="J63" s="21">
        <f t="shared" si="6"/>
        <v>-1.3796399900057543E-2</v>
      </c>
      <c r="K63" s="19">
        <f>SUMPRODUCT(MAX(('Nifty 500 TRI '!$A$2:$A$1217&lt;=$A63)*'Nifty 500 TRI '!$A$2:$A$1217))</f>
        <v>46265</v>
      </c>
      <c r="L63" s="20">
        <f>INDEX('Nifty 500 TRI '!$B$2:$B$1217, MATCH(K63, 'Nifty 500 TRI '!$A$2:$A$1217, 0))</f>
        <v>37712</v>
      </c>
      <c r="M63" s="21">
        <f t="shared" si="7"/>
        <v>5.2822754057957333E-4</v>
      </c>
    </row>
  </sheetData>
  <mergeCells count="2">
    <mergeCell ref="A1:M1"/>
    <mergeCell ref="A2:M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217"/>
  <sheetViews>
    <sheetView zoomScale="83" zoomScaleNormal="83" workbookViewId="0">
      <selection activeCell="F10" sqref="F10"/>
    </sheetView>
  </sheetViews>
  <sheetFormatPr defaultColWidth="8.54296875" defaultRowHeight="14.5" x14ac:dyDescent="0.35"/>
  <cols>
    <col min="1" max="1" width="11.1796875" customWidth="1"/>
  </cols>
  <sheetData>
    <row r="1" spans="1:6" x14ac:dyDescent="0.35">
      <c r="A1" t="s">
        <v>33</v>
      </c>
      <c r="B1" t="s">
        <v>34</v>
      </c>
      <c r="C1" t="s">
        <v>35</v>
      </c>
      <c r="D1" t="s">
        <v>36</v>
      </c>
      <c r="E1" t="s">
        <v>37</v>
      </c>
      <c r="F1" t="s">
        <v>38</v>
      </c>
    </row>
    <row r="2" spans="1:6" x14ac:dyDescent="0.35">
      <c r="A2" s="22">
        <v>44475</v>
      </c>
      <c r="B2">
        <v>226.99</v>
      </c>
      <c r="C2">
        <v>226.99</v>
      </c>
      <c r="D2">
        <v>226.99</v>
      </c>
      <c r="E2">
        <v>226.99</v>
      </c>
    </row>
    <row r="3" spans="1:6" x14ac:dyDescent="0.35">
      <c r="A3" s="22">
        <v>44476</v>
      </c>
      <c r="B3">
        <v>230.73</v>
      </c>
      <c r="C3">
        <v>230.73</v>
      </c>
      <c r="D3">
        <v>230.73</v>
      </c>
      <c r="E3">
        <v>230.73</v>
      </c>
      <c r="F3" s="23">
        <f t="shared" ref="F3:F66" si="0">(B3-B2)/B2</f>
        <v>1.6476496761971809E-2</v>
      </c>
    </row>
    <row r="4" spans="1:6" x14ac:dyDescent="0.35">
      <c r="A4" s="22">
        <v>44477</v>
      </c>
      <c r="B4">
        <v>231.43</v>
      </c>
      <c r="C4">
        <v>231.43</v>
      </c>
      <c r="D4">
        <v>231.43</v>
      </c>
      <c r="E4">
        <v>231.43</v>
      </c>
      <c r="F4" s="23">
        <f t="shared" si="0"/>
        <v>3.0338490876783129E-3</v>
      </c>
    </row>
    <row r="5" spans="1:6" x14ac:dyDescent="0.35">
      <c r="A5" s="22">
        <v>44480</v>
      </c>
      <c r="B5">
        <v>232.51</v>
      </c>
      <c r="C5">
        <v>232.51</v>
      </c>
      <c r="D5">
        <v>232.51</v>
      </c>
      <c r="E5">
        <v>232.51</v>
      </c>
      <c r="F5" s="23">
        <f t="shared" si="0"/>
        <v>4.6666378602600528E-3</v>
      </c>
    </row>
    <row r="6" spans="1:6" x14ac:dyDescent="0.35">
      <c r="A6" s="22">
        <v>44481</v>
      </c>
      <c r="B6">
        <v>232.88</v>
      </c>
      <c r="C6">
        <v>232.88</v>
      </c>
      <c r="D6">
        <v>232.88</v>
      </c>
      <c r="E6">
        <v>232.88</v>
      </c>
      <c r="F6" s="23">
        <f t="shared" si="0"/>
        <v>1.5913294051868932E-3</v>
      </c>
    </row>
    <row r="7" spans="1:6" x14ac:dyDescent="0.35">
      <c r="A7" s="22">
        <v>44482</v>
      </c>
      <c r="B7">
        <v>235.94</v>
      </c>
      <c r="C7">
        <v>235.94</v>
      </c>
      <c r="D7">
        <v>235.94</v>
      </c>
      <c r="E7">
        <v>235.94</v>
      </c>
      <c r="F7" s="23">
        <f t="shared" si="0"/>
        <v>1.3139814496736527E-2</v>
      </c>
    </row>
    <row r="8" spans="1:6" x14ac:dyDescent="0.35">
      <c r="A8" s="22">
        <v>44483</v>
      </c>
      <c r="B8">
        <v>237.87</v>
      </c>
      <c r="C8">
        <v>237.87</v>
      </c>
      <c r="D8">
        <v>237.87</v>
      </c>
      <c r="E8">
        <v>237.87</v>
      </c>
      <c r="F8" s="23">
        <f t="shared" si="0"/>
        <v>8.1800457743494391E-3</v>
      </c>
    </row>
    <row r="9" spans="1:6" x14ac:dyDescent="0.35">
      <c r="A9" s="22">
        <v>44487</v>
      </c>
      <c r="B9">
        <v>238.9</v>
      </c>
      <c r="C9">
        <v>238.9</v>
      </c>
      <c r="D9">
        <v>238.9</v>
      </c>
      <c r="E9">
        <v>238.9</v>
      </c>
      <c r="F9" s="23">
        <f t="shared" si="0"/>
        <v>4.3300962710724391E-3</v>
      </c>
    </row>
    <row r="10" spans="1:6" x14ac:dyDescent="0.35">
      <c r="A10" s="22">
        <v>44488</v>
      </c>
      <c r="B10">
        <v>236.5</v>
      </c>
      <c r="C10">
        <v>236.5</v>
      </c>
      <c r="D10">
        <v>236.5</v>
      </c>
      <c r="E10">
        <v>236.5</v>
      </c>
      <c r="F10" s="23">
        <f t="shared" si="0"/>
        <v>-1.0046044370029324E-2</v>
      </c>
    </row>
    <row r="11" spans="1:6" x14ac:dyDescent="0.35">
      <c r="A11" s="22">
        <v>44489</v>
      </c>
      <c r="B11">
        <v>233.6</v>
      </c>
      <c r="C11">
        <v>233.6</v>
      </c>
      <c r="D11">
        <v>233.6</v>
      </c>
      <c r="E11">
        <v>233.6</v>
      </c>
      <c r="F11" s="23">
        <f t="shared" si="0"/>
        <v>-1.2262156448202983E-2</v>
      </c>
    </row>
    <row r="12" spans="1:6" x14ac:dyDescent="0.35">
      <c r="A12" s="22">
        <v>44490</v>
      </c>
      <c r="B12">
        <v>232.55</v>
      </c>
      <c r="C12">
        <v>232.55</v>
      </c>
      <c r="D12">
        <v>232.55</v>
      </c>
      <c r="E12">
        <v>232.55</v>
      </c>
      <c r="F12" s="23">
        <f t="shared" si="0"/>
        <v>-4.494863013698557E-3</v>
      </c>
    </row>
    <row r="13" spans="1:6" x14ac:dyDescent="0.35">
      <c r="A13" s="22">
        <v>44491</v>
      </c>
      <c r="B13">
        <v>231.24</v>
      </c>
      <c r="C13">
        <v>231.24</v>
      </c>
      <c r="D13">
        <v>231.24</v>
      </c>
      <c r="E13">
        <v>231.24</v>
      </c>
      <c r="F13" s="23">
        <f t="shared" si="0"/>
        <v>-5.6331971619006764E-3</v>
      </c>
    </row>
    <row r="14" spans="1:6" x14ac:dyDescent="0.35">
      <c r="A14" s="22">
        <v>44494</v>
      </c>
      <c r="B14">
        <v>231.4</v>
      </c>
      <c r="C14">
        <v>231.4</v>
      </c>
      <c r="D14">
        <v>231.4</v>
      </c>
      <c r="E14">
        <v>231.4</v>
      </c>
      <c r="F14" s="23">
        <f t="shared" si="0"/>
        <v>6.9192181283513488E-4</v>
      </c>
    </row>
    <row r="15" spans="1:6" x14ac:dyDescent="0.35">
      <c r="A15" s="22">
        <v>44495</v>
      </c>
      <c r="B15">
        <v>234.2</v>
      </c>
      <c r="C15">
        <v>234.2</v>
      </c>
      <c r="D15">
        <v>234.2</v>
      </c>
      <c r="E15">
        <v>234.2</v>
      </c>
      <c r="F15" s="23">
        <f t="shared" si="0"/>
        <v>1.2100259291270453E-2</v>
      </c>
    </row>
    <row r="16" spans="1:6" x14ac:dyDescent="0.35">
      <c r="A16" s="22">
        <v>44496</v>
      </c>
      <c r="B16">
        <v>233.55</v>
      </c>
      <c r="C16">
        <v>233.55</v>
      </c>
      <c r="D16">
        <v>233.55</v>
      </c>
      <c r="E16">
        <v>233.55</v>
      </c>
      <c r="F16" s="23">
        <f t="shared" si="0"/>
        <v>-2.7754056362082721E-3</v>
      </c>
    </row>
    <row r="17" spans="1:6" x14ac:dyDescent="0.35">
      <c r="A17" s="22">
        <v>44497</v>
      </c>
      <c r="B17">
        <v>230.21</v>
      </c>
      <c r="C17">
        <v>230.21</v>
      </c>
      <c r="D17">
        <v>230.21</v>
      </c>
      <c r="E17">
        <v>230.21</v>
      </c>
      <c r="F17" s="23">
        <f t="shared" si="0"/>
        <v>-1.4301006208520673E-2</v>
      </c>
    </row>
    <row r="18" spans="1:6" x14ac:dyDescent="0.35">
      <c r="A18" s="22">
        <v>44498</v>
      </c>
      <c r="B18">
        <v>229.1</v>
      </c>
      <c r="C18">
        <v>229.1</v>
      </c>
      <c r="D18">
        <v>229.1</v>
      </c>
      <c r="E18">
        <v>229.1</v>
      </c>
      <c r="F18" s="23">
        <f t="shared" si="0"/>
        <v>-4.8216845488902029E-3</v>
      </c>
    </row>
    <row r="19" spans="1:6" x14ac:dyDescent="0.35">
      <c r="A19" s="22">
        <v>44501</v>
      </c>
      <c r="B19">
        <v>232.04</v>
      </c>
      <c r="C19">
        <v>232.04</v>
      </c>
      <c r="D19">
        <v>232.04</v>
      </c>
      <c r="E19">
        <v>232.04</v>
      </c>
      <c r="F19" s="23">
        <f t="shared" si="0"/>
        <v>1.2832824094281964E-2</v>
      </c>
    </row>
    <row r="20" spans="1:6" x14ac:dyDescent="0.35">
      <c r="A20" s="22">
        <v>44502</v>
      </c>
      <c r="B20">
        <v>232.58</v>
      </c>
      <c r="C20">
        <v>232.58</v>
      </c>
      <c r="D20">
        <v>232.58</v>
      </c>
      <c r="E20">
        <v>232.58</v>
      </c>
      <c r="F20" s="23">
        <f t="shared" si="0"/>
        <v>2.3271849681090351E-3</v>
      </c>
    </row>
    <row r="21" spans="1:6" x14ac:dyDescent="0.35">
      <c r="A21" s="22">
        <v>44503</v>
      </c>
      <c r="B21">
        <v>232.1</v>
      </c>
      <c r="C21">
        <v>232.1</v>
      </c>
      <c r="D21">
        <v>232.1</v>
      </c>
      <c r="E21">
        <v>232.1</v>
      </c>
      <c r="F21" s="23">
        <f t="shared" si="0"/>
        <v>-2.0638060022358678E-3</v>
      </c>
    </row>
    <row r="22" spans="1:6" x14ac:dyDescent="0.35">
      <c r="A22" s="22">
        <v>44508</v>
      </c>
      <c r="B22">
        <v>234.75</v>
      </c>
      <c r="C22">
        <v>234.75</v>
      </c>
      <c r="D22">
        <v>234.75</v>
      </c>
      <c r="E22">
        <v>234.75</v>
      </c>
      <c r="F22" s="23">
        <f t="shared" si="0"/>
        <v>1.1417492460146514E-2</v>
      </c>
    </row>
    <row r="23" spans="1:6" x14ac:dyDescent="0.35">
      <c r="A23" s="22">
        <v>44509</v>
      </c>
      <c r="B23">
        <v>235.3</v>
      </c>
      <c r="C23">
        <v>235.3</v>
      </c>
      <c r="D23">
        <v>235.3</v>
      </c>
      <c r="E23">
        <v>235.3</v>
      </c>
      <c r="F23" s="23">
        <f t="shared" si="0"/>
        <v>2.3429179978701228E-3</v>
      </c>
    </row>
    <row r="24" spans="1:6" x14ac:dyDescent="0.35">
      <c r="A24" s="22">
        <v>44510</v>
      </c>
      <c r="B24">
        <v>235.21</v>
      </c>
      <c r="C24">
        <v>235.21</v>
      </c>
      <c r="D24">
        <v>235.21</v>
      </c>
      <c r="E24">
        <v>235.21</v>
      </c>
      <c r="F24" s="23">
        <f t="shared" si="0"/>
        <v>-3.8249043773907099E-4</v>
      </c>
    </row>
    <row r="25" spans="1:6" x14ac:dyDescent="0.35">
      <c r="A25" s="22">
        <v>44511</v>
      </c>
      <c r="B25">
        <v>233.46</v>
      </c>
      <c r="C25">
        <v>233.46</v>
      </c>
      <c r="D25">
        <v>233.46</v>
      </c>
      <c r="E25">
        <v>233.46</v>
      </c>
      <c r="F25" s="23">
        <f t="shared" si="0"/>
        <v>-7.4401598571489308E-3</v>
      </c>
    </row>
    <row r="26" spans="1:6" x14ac:dyDescent="0.35">
      <c r="A26" s="22">
        <v>44512</v>
      </c>
      <c r="B26">
        <v>236.11</v>
      </c>
      <c r="C26">
        <v>236.11</v>
      </c>
      <c r="D26">
        <v>236.11</v>
      </c>
      <c r="E26">
        <v>236.11</v>
      </c>
      <c r="F26" s="23">
        <f t="shared" si="0"/>
        <v>1.1350980896085007E-2</v>
      </c>
    </row>
    <row r="27" spans="1:6" x14ac:dyDescent="0.35">
      <c r="A27" s="22">
        <v>44515</v>
      </c>
      <c r="B27">
        <v>236.28</v>
      </c>
      <c r="C27">
        <v>236.28</v>
      </c>
      <c r="D27">
        <v>236.28</v>
      </c>
      <c r="E27">
        <v>236.28</v>
      </c>
      <c r="F27" s="23">
        <f t="shared" si="0"/>
        <v>7.2000338825118585E-4</v>
      </c>
    </row>
    <row r="28" spans="1:6" x14ac:dyDescent="0.35">
      <c r="A28" s="22">
        <v>44516</v>
      </c>
      <c r="B28">
        <v>235.26</v>
      </c>
      <c r="C28">
        <v>235.26</v>
      </c>
      <c r="D28">
        <v>235.26</v>
      </c>
      <c r="E28">
        <v>235.26</v>
      </c>
      <c r="F28" s="23">
        <f t="shared" si="0"/>
        <v>-4.316912138141232E-3</v>
      </c>
    </row>
    <row r="29" spans="1:6" x14ac:dyDescent="0.35">
      <c r="A29" s="22">
        <v>44517</v>
      </c>
      <c r="B29">
        <v>234.02</v>
      </c>
      <c r="C29">
        <v>234.02</v>
      </c>
      <c r="D29">
        <v>234.02</v>
      </c>
      <c r="E29">
        <v>234.02</v>
      </c>
      <c r="F29" s="23">
        <f t="shared" si="0"/>
        <v>-5.270764260817737E-3</v>
      </c>
    </row>
    <row r="30" spans="1:6" x14ac:dyDescent="0.35">
      <c r="A30" s="22">
        <v>44518</v>
      </c>
      <c r="B30">
        <v>231.75</v>
      </c>
      <c r="C30">
        <v>231.75</v>
      </c>
      <c r="D30">
        <v>231.75</v>
      </c>
      <c r="E30">
        <v>231.75</v>
      </c>
      <c r="F30" s="23">
        <f t="shared" si="0"/>
        <v>-9.7000256388343302E-3</v>
      </c>
    </row>
    <row r="31" spans="1:6" x14ac:dyDescent="0.35">
      <c r="A31" s="22">
        <v>44522</v>
      </c>
      <c r="B31">
        <v>226.52</v>
      </c>
      <c r="C31">
        <v>226.52</v>
      </c>
      <c r="D31">
        <v>226.52</v>
      </c>
      <c r="E31">
        <v>226.52</v>
      </c>
      <c r="F31" s="23">
        <f t="shared" si="0"/>
        <v>-2.2567421790722717E-2</v>
      </c>
    </row>
    <row r="32" spans="1:6" x14ac:dyDescent="0.35">
      <c r="A32" s="22">
        <v>44523</v>
      </c>
      <c r="B32">
        <v>228.53</v>
      </c>
      <c r="C32">
        <v>228.53</v>
      </c>
      <c r="D32">
        <v>228.53</v>
      </c>
      <c r="E32">
        <v>228.53</v>
      </c>
      <c r="F32" s="23">
        <f t="shared" si="0"/>
        <v>8.8733886632526519E-3</v>
      </c>
    </row>
    <row r="33" spans="1:6" x14ac:dyDescent="0.35">
      <c r="A33" s="22">
        <v>44524</v>
      </c>
      <c r="B33">
        <v>227.43</v>
      </c>
      <c r="C33">
        <v>227.43</v>
      </c>
      <c r="D33">
        <v>227.43</v>
      </c>
      <c r="E33">
        <v>227.43</v>
      </c>
      <c r="F33" s="23">
        <f t="shared" si="0"/>
        <v>-4.81337242375178E-3</v>
      </c>
    </row>
    <row r="34" spans="1:6" x14ac:dyDescent="0.35">
      <c r="A34" s="22">
        <v>44525</v>
      </c>
      <c r="B34">
        <v>228.64</v>
      </c>
      <c r="C34">
        <v>228.64</v>
      </c>
      <c r="D34">
        <v>228.64</v>
      </c>
      <c r="E34">
        <v>228.64</v>
      </c>
      <c r="F34" s="23">
        <f t="shared" si="0"/>
        <v>5.3203183397088315E-3</v>
      </c>
    </row>
    <row r="35" spans="1:6" x14ac:dyDescent="0.35">
      <c r="A35" s="22">
        <v>44526</v>
      </c>
      <c r="B35">
        <v>222.04</v>
      </c>
      <c r="C35">
        <v>222.04</v>
      </c>
      <c r="D35">
        <v>222.04</v>
      </c>
      <c r="E35">
        <v>222.04</v>
      </c>
      <c r="F35" s="23">
        <f t="shared" si="0"/>
        <v>-2.8866340097970587E-2</v>
      </c>
    </row>
    <row r="36" spans="1:6" x14ac:dyDescent="0.35">
      <c r="A36" s="22">
        <v>44529</v>
      </c>
      <c r="B36">
        <v>222.05</v>
      </c>
      <c r="C36">
        <v>222.05</v>
      </c>
      <c r="D36">
        <v>222.05</v>
      </c>
      <c r="E36">
        <v>222.05</v>
      </c>
      <c r="F36" s="23">
        <f t="shared" si="0"/>
        <v>4.5036930282918963E-5</v>
      </c>
    </row>
    <row r="37" spans="1:6" x14ac:dyDescent="0.35">
      <c r="A37" s="22">
        <v>44530</v>
      </c>
      <c r="B37">
        <v>222.2</v>
      </c>
      <c r="C37">
        <v>222.2</v>
      </c>
      <c r="D37">
        <v>222.2</v>
      </c>
      <c r="E37">
        <v>222.2</v>
      </c>
      <c r="F37" s="23">
        <f t="shared" si="0"/>
        <v>6.7552353073621824E-4</v>
      </c>
    </row>
    <row r="38" spans="1:6" x14ac:dyDescent="0.35">
      <c r="A38" s="22">
        <v>44531</v>
      </c>
      <c r="B38">
        <v>224.46</v>
      </c>
      <c r="C38">
        <v>224.46</v>
      </c>
      <c r="D38">
        <v>224.46</v>
      </c>
      <c r="E38">
        <v>224.46</v>
      </c>
      <c r="F38" s="23">
        <f t="shared" si="0"/>
        <v>1.0171017101710259E-2</v>
      </c>
    </row>
    <row r="39" spans="1:6" x14ac:dyDescent="0.35">
      <c r="A39" s="22">
        <v>44532</v>
      </c>
      <c r="B39">
        <v>226.81</v>
      </c>
      <c r="C39">
        <v>226.81</v>
      </c>
      <c r="D39">
        <v>226.81</v>
      </c>
      <c r="E39">
        <v>226.81</v>
      </c>
      <c r="F39" s="23">
        <f t="shared" si="0"/>
        <v>1.0469571415842441E-2</v>
      </c>
    </row>
    <row r="40" spans="1:6" x14ac:dyDescent="0.35">
      <c r="A40" s="22">
        <v>44533</v>
      </c>
      <c r="B40">
        <v>225.13</v>
      </c>
      <c r="C40">
        <v>225.13</v>
      </c>
      <c r="D40">
        <v>225.13</v>
      </c>
      <c r="E40">
        <v>225.13</v>
      </c>
      <c r="F40" s="23">
        <f t="shared" si="0"/>
        <v>-7.4070808165425106E-3</v>
      </c>
    </row>
    <row r="41" spans="1:6" x14ac:dyDescent="0.35">
      <c r="A41" s="22">
        <v>44536</v>
      </c>
      <c r="B41">
        <v>221.33</v>
      </c>
      <c r="C41">
        <v>221.33</v>
      </c>
      <c r="D41">
        <v>221.33</v>
      </c>
      <c r="E41">
        <v>221.33</v>
      </c>
      <c r="F41" s="23">
        <f t="shared" si="0"/>
        <v>-1.6879136498911665E-2</v>
      </c>
    </row>
    <row r="42" spans="1:6" x14ac:dyDescent="0.35">
      <c r="A42" s="22">
        <v>44537</v>
      </c>
      <c r="B42">
        <v>224.47</v>
      </c>
      <c r="C42">
        <v>224.47</v>
      </c>
      <c r="D42">
        <v>224.47</v>
      </c>
      <c r="E42">
        <v>224.47</v>
      </c>
      <c r="F42" s="23">
        <f t="shared" si="0"/>
        <v>1.4186960646997633E-2</v>
      </c>
    </row>
    <row r="43" spans="1:6" x14ac:dyDescent="0.35">
      <c r="A43" s="22">
        <v>44538</v>
      </c>
      <c r="B43">
        <v>228.54</v>
      </c>
      <c r="C43">
        <v>228.54</v>
      </c>
      <c r="D43">
        <v>228.54</v>
      </c>
      <c r="E43">
        <v>228.54</v>
      </c>
      <c r="F43" s="23">
        <f t="shared" si="0"/>
        <v>1.8131598877355517E-2</v>
      </c>
    </row>
    <row r="44" spans="1:6" x14ac:dyDescent="0.35">
      <c r="A44" s="22">
        <v>44539</v>
      </c>
      <c r="B44">
        <v>228.99</v>
      </c>
      <c r="C44">
        <v>228.99</v>
      </c>
      <c r="D44">
        <v>228.99</v>
      </c>
      <c r="E44">
        <v>228.99</v>
      </c>
      <c r="F44" s="23">
        <f t="shared" si="0"/>
        <v>1.9690207403518733E-3</v>
      </c>
    </row>
    <row r="45" spans="1:6" x14ac:dyDescent="0.35">
      <c r="A45" s="22">
        <v>44540</v>
      </c>
      <c r="B45">
        <v>229.35</v>
      </c>
      <c r="C45">
        <v>229.35</v>
      </c>
      <c r="D45">
        <v>229.35</v>
      </c>
      <c r="E45">
        <v>229.35</v>
      </c>
      <c r="F45" s="23">
        <f t="shared" si="0"/>
        <v>1.5721210533210411E-3</v>
      </c>
    </row>
    <row r="46" spans="1:6" x14ac:dyDescent="0.35">
      <c r="A46" s="22">
        <v>44543</v>
      </c>
      <c r="B46">
        <v>228.82</v>
      </c>
      <c r="C46">
        <v>228.82</v>
      </c>
      <c r="D46">
        <v>228.82</v>
      </c>
      <c r="E46">
        <v>228.82</v>
      </c>
      <c r="F46" s="23">
        <f t="shared" si="0"/>
        <v>-2.3108785698713807E-3</v>
      </c>
    </row>
    <row r="47" spans="1:6" x14ac:dyDescent="0.35">
      <c r="A47" s="22">
        <v>44544</v>
      </c>
      <c r="B47">
        <v>228.07</v>
      </c>
      <c r="C47">
        <v>228.07</v>
      </c>
      <c r="D47">
        <v>228.07</v>
      </c>
      <c r="E47">
        <v>228.07</v>
      </c>
      <c r="F47" s="23">
        <f t="shared" si="0"/>
        <v>-3.2776855170002623E-3</v>
      </c>
    </row>
    <row r="48" spans="1:6" x14ac:dyDescent="0.35">
      <c r="A48" s="22">
        <v>44545</v>
      </c>
      <c r="B48">
        <v>226.79</v>
      </c>
      <c r="C48">
        <v>226.79</v>
      </c>
      <c r="D48">
        <v>226.79</v>
      </c>
      <c r="E48">
        <v>226.79</v>
      </c>
      <c r="F48" s="23">
        <f t="shared" si="0"/>
        <v>-5.6123120094707813E-3</v>
      </c>
    </row>
    <row r="49" spans="1:6" x14ac:dyDescent="0.35">
      <c r="A49" s="22">
        <v>44546</v>
      </c>
      <c r="B49">
        <v>227.07</v>
      </c>
      <c r="C49">
        <v>227.07</v>
      </c>
      <c r="D49">
        <v>227.07</v>
      </c>
      <c r="E49">
        <v>227.07</v>
      </c>
      <c r="F49" s="23">
        <f t="shared" si="0"/>
        <v>1.2346223378455891E-3</v>
      </c>
    </row>
    <row r="50" spans="1:6" x14ac:dyDescent="0.35">
      <c r="A50" s="22">
        <v>44547</v>
      </c>
      <c r="B50">
        <v>223.72</v>
      </c>
      <c r="C50">
        <v>223.72</v>
      </c>
      <c r="D50">
        <v>223.72</v>
      </c>
      <c r="E50">
        <v>223.72</v>
      </c>
      <c r="F50" s="23">
        <f t="shared" si="0"/>
        <v>-1.4753159818558129E-2</v>
      </c>
    </row>
    <row r="51" spans="1:6" x14ac:dyDescent="0.35">
      <c r="A51" s="22">
        <v>44550</v>
      </c>
      <c r="B51">
        <v>218.21</v>
      </c>
      <c r="C51">
        <v>218.21</v>
      </c>
      <c r="D51">
        <v>218.21</v>
      </c>
      <c r="E51">
        <v>218.21</v>
      </c>
      <c r="F51" s="23">
        <f t="shared" si="0"/>
        <v>-2.4629000536384726E-2</v>
      </c>
    </row>
    <row r="52" spans="1:6" x14ac:dyDescent="0.35">
      <c r="A52" s="22">
        <v>44551</v>
      </c>
      <c r="B52">
        <v>220.83</v>
      </c>
      <c r="C52">
        <v>220.83</v>
      </c>
      <c r="D52">
        <v>220.83</v>
      </c>
      <c r="E52">
        <v>220.83</v>
      </c>
      <c r="F52" s="23">
        <f t="shared" si="0"/>
        <v>1.2006782457265957E-2</v>
      </c>
    </row>
    <row r="53" spans="1:6" x14ac:dyDescent="0.35">
      <c r="A53" s="22">
        <v>44552</v>
      </c>
      <c r="B53">
        <v>224.24</v>
      </c>
      <c r="C53">
        <v>224.24</v>
      </c>
      <c r="D53">
        <v>224.24</v>
      </c>
      <c r="E53">
        <v>224.24</v>
      </c>
      <c r="F53" s="23">
        <f t="shared" si="0"/>
        <v>1.5441742516868162E-2</v>
      </c>
    </row>
    <row r="54" spans="1:6" x14ac:dyDescent="0.35">
      <c r="A54" s="22">
        <v>44553</v>
      </c>
      <c r="B54">
        <v>225.54</v>
      </c>
      <c r="C54">
        <v>225.54</v>
      </c>
      <c r="D54">
        <v>225.54</v>
      </c>
      <c r="E54">
        <v>225.54</v>
      </c>
      <c r="F54" s="23">
        <f t="shared" si="0"/>
        <v>5.7973599714590748E-3</v>
      </c>
    </row>
    <row r="55" spans="1:6" x14ac:dyDescent="0.35">
      <c r="A55" s="22">
        <v>44554</v>
      </c>
      <c r="B55">
        <v>224.18</v>
      </c>
      <c r="C55">
        <v>224.18</v>
      </c>
      <c r="D55">
        <v>224.18</v>
      </c>
      <c r="E55">
        <v>224.18</v>
      </c>
      <c r="F55" s="23">
        <f t="shared" si="0"/>
        <v>-6.0299725104193723E-3</v>
      </c>
    </row>
    <row r="56" spans="1:6" x14ac:dyDescent="0.35">
      <c r="A56" s="22">
        <v>44557</v>
      </c>
      <c r="B56">
        <v>225.2</v>
      </c>
      <c r="C56">
        <v>225.2</v>
      </c>
      <c r="D56">
        <v>225.2</v>
      </c>
      <c r="E56">
        <v>225.2</v>
      </c>
      <c r="F56" s="23">
        <f t="shared" si="0"/>
        <v>4.5499152466766963E-3</v>
      </c>
    </row>
    <row r="57" spans="1:6" x14ac:dyDescent="0.35">
      <c r="A57" s="22">
        <v>44558</v>
      </c>
      <c r="B57">
        <v>227.29</v>
      </c>
      <c r="C57">
        <v>227.29</v>
      </c>
      <c r="D57">
        <v>227.29</v>
      </c>
      <c r="E57">
        <v>227.29</v>
      </c>
      <c r="F57" s="23">
        <f t="shared" si="0"/>
        <v>9.2806394316163575E-3</v>
      </c>
    </row>
    <row r="58" spans="1:6" x14ac:dyDescent="0.35">
      <c r="A58" s="22">
        <v>44559</v>
      </c>
      <c r="B58">
        <v>226.79</v>
      </c>
      <c r="C58">
        <v>226.79</v>
      </c>
      <c r="D58">
        <v>226.79</v>
      </c>
      <c r="E58">
        <v>226.79</v>
      </c>
      <c r="F58" s="23">
        <f t="shared" si="0"/>
        <v>-2.1998328127062344E-3</v>
      </c>
    </row>
    <row r="59" spans="1:6" x14ac:dyDescent="0.35">
      <c r="A59" s="22">
        <v>44560</v>
      </c>
      <c r="B59">
        <v>226.82</v>
      </c>
      <c r="C59">
        <v>226.82</v>
      </c>
      <c r="D59">
        <v>226.82</v>
      </c>
      <c r="E59">
        <v>226.82</v>
      </c>
      <c r="F59" s="23">
        <f t="shared" si="0"/>
        <v>1.3228096476917473E-4</v>
      </c>
    </row>
    <row r="60" spans="1:6" x14ac:dyDescent="0.35">
      <c r="A60" s="22">
        <v>44561</v>
      </c>
      <c r="B60">
        <v>229.26</v>
      </c>
      <c r="C60">
        <v>229.26</v>
      </c>
      <c r="D60">
        <v>229.26</v>
      </c>
      <c r="E60">
        <v>229.26</v>
      </c>
      <c r="F60" s="23">
        <f t="shared" si="0"/>
        <v>1.0757428798165937E-2</v>
      </c>
    </row>
    <row r="61" spans="1:6" x14ac:dyDescent="0.35">
      <c r="A61" s="22">
        <v>44564</v>
      </c>
      <c r="B61">
        <v>232.24</v>
      </c>
      <c r="C61">
        <v>232.24</v>
      </c>
      <c r="D61">
        <v>232.24</v>
      </c>
      <c r="E61">
        <v>232.24</v>
      </c>
      <c r="F61" s="23">
        <f t="shared" si="0"/>
        <v>1.2998342493239197E-2</v>
      </c>
    </row>
    <row r="62" spans="1:6" x14ac:dyDescent="0.35">
      <c r="A62" s="22">
        <v>44565</v>
      </c>
      <c r="B62">
        <v>233.43</v>
      </c>
      <c r="C62">
        <v>233.43</v>
      </c>
      <c r="D62">
        <v>233.43</v>
      </c>
      <c r="E62">
        <v>233.43</v>
      </c>
      <c r="F62" s="23">
        <f t="shared" si="0"/>
        <v>5.1240096451946162E-3</v>
      </c>
    </row>
    <row r="63" spans="1:6" x14ac:dyDescent="0.35">
      <c r="A63" s="22">
        <v>44566</v>
      </c>
      <c r="B63">
        <v>234.31</v>
      </c>
      <c r="C63">
        <v>234.31</v>
      </c>
      <c r="D63">
        <v>234.31</v>
      </c>
      <c r="E63">
        <v>234.31</v>
      </c>
      <c r="F63" s="23">
        <f t="shared" si="0"/>
        <v>3.7698667694811955E-3</v>
      </c>
    </row>
    <row r="64" spans="1:6" x14ac:dyDescent="0.35">
      <c r="A64" s="22">
        <v>44567</v>
      </c>
      <c r="B64">
        <v>232.96</v>
      </c>
      <c r="C64">
        <v>232.96</v>
      </c>
      <c r="D64">
        <v>232.96</v>
      </c>
      <c r="E64">
        <v>232.96</v>
      </c>
      <c r="F64" s="23">
        <f t="shared" si="0"/>
        <v>-5.7615978831462352E-3</v>
      </c>
    </row>
    <row r="65" spans="1:6" x14ac:dyDescent="0.35">
      <c r="A65" s="22">
        <v>44568</v>
      </c>
      <c r="B65">
        <v>233.89</v>
      </c>
      <c r="C65">
        <v>233.89</v>
      </c>
      <c r="D65">
        <v>233.89</v>
      </c>
      <c r="E65">
        <v>233.89</v>
      </c>
      <c r="F65" s="23">
        <f t="shared" si="0"/>
        <v>3.9921016483515552E-3</v>
      </c>
    </row>
    <row r="66" spans="1:6" x14ac:dyDescent="0.35">
      <c r="A66" s="22">
        <v>44571</v>
      </c>
      <c r="B66">
        <v>235.86</v>
      </c>
      <c r="C66">
        <v>235.86</v>
      </c>
      <c r="D66">
        <v>235.86</v>
      </c>
      <c r="E66">
        <v>235.86</v>
      </c>
      <c r="F66" s="23">
        <f t="shared" si="0"/>
        <v>8.422762837231295E-3</v>
      </c>
    </row>
    <row r="67" spans="1:6" x14ac:dyDescent="0.35">
      <c r="A67" s="22">
        <v>44572</v>
      </c>
      <c r="B67">
        <v>236.25</v>
      </c>
      <c r="C67">
        <v>236.25</v>
      </c>
      <c r="D67">
        <v>236.25</v>
      </c>
      <c r="E67">
        <v>236.25</v>
      </c>
      <c r="F67" s="23">
        <f t="shared" ref="F67:F130" si="1">(B67-B66)/B66</f>
        <v>1.6535232765199116E-3</v>
      </c>
    </row>
    <row r="68" spans="1:6" x14ac:dyDescent="0.35">
      <c r="A68" s="22">
        <v>44573</v>
      </c>
      <c r="B68">
        <v>238.15</v>
      </c>
      <c r="C68">
        <v>238.15</v>
      </c>
      <c r="D68">
        <v>238.15</v>
      </c>
      <c r="E68">
        <v>238.15</v>
      </c>
      <c r="F68" s="23">
        <f t="shared" si="1"/>
        <v>8.042328042328066E-3</v>
      </c>
    </row>
    <row r="69" spans="1:6" x14ac:dyDescent="0.35">
      <c r="A69" s="22">
        <v>44574</v>
      </c>
      <c r="B69">
        <v>238.77</v>
      </c>
      <c r="C69">
        <v>238.77</v>
      </c>
      <c r="D69">
        <v>238.77</v>
      </c>
      <c r="E69">
        <v>238.77</v>
      </c>
      <c r="F69" s="23">
        <f t="shared" si="1"/>
        <v>2.6034012177199436E-3</v>
      </c>
    </row>
    <row r="70" spans="1:6" x14ac:dyDescent="0.35">
      <c r="A70" s="22">
        <v>44575</v>
      </c>
      <c r="B70">
        <v>239.11</v>
      </c>
      <c r="C70">
        <v>239.11</v>
      </c>
      <c r="D70">
        <v>239.11</v>
      </c>
      <c r="E70">
        <v>239.11</v>
      </c>
      <c r="F70" s="23">
        <f t="shared" si="1"/>
        <v>1.4239644846505146E-3</v>
      </c>
    </row>
    <row r="71" spans="1:6" x14ac:dyDescent="0.35">
      <c r="A71" s="22">
        <v>44578</v>
      </c>
      <c r="B71">
        <v>239.72</v>
      </c>
      <c r="C71">
        <v>239.72</v>
      </c>
      <c r="D71">
        <v>239.72</v>
      </c>
      <c r="E71">
        <v>239.72</v>
      </c>
      <c r="F71" s="23">
        <f t="shared" si="1"/>
        <v>2.5511270963154416E-3</v>
      </c>
    </row>
    <row r="72" spans="1:6" x14ac:dyDescent="0.35">
      <c r="A72" s="22">
        <v>44579</v>
      </c>
      <c r="B72">
        <v>236.9</v>
      </c>
      <c r="C72">
        <v>236.9</v>
      </c>
      <c r="D72">
        <v>236.9</v>
      </c>
      <c r="E72">
        <v>236.9</v>
      </c>
      <c r="F72" s="23">
        <f t="shared" si="1"/>
        <v>-1.1763724345069219E-2</v>
      </c>
    </row>
    <row r="73" spans="1:6" x14ac:dyDescent="0.35">
      <c r="A73" s="22">
        <v>44580</v>
      </c>
      <c r="B73">
        <v>235.17</v>
      </c>
      <c r="C73">
        <v>235.17</v>
      </c>
      <c r="D73">
        <v>235.17</v>
      </c>
      <c r="E73">
        <v>235.17</v>
      </c>
      <c r="F73" s="23">
        <f t="shared" si="1"/>
        <v>-7.3026593499367588E-3</v>
      </c>
    </row>
    <row r="74" spans="1:6" x14ac:dyDescent="0.35">
      <c r="A74" s="22">
        <v>44581</v>
      </c>
      <c r="B74">
        <v>233.72</v>
      </c>
      <c r="C74">
        <v>233.72</v>
      </c>
      <c r="D74">
        <v>233.72</v>
      </c>
      <c r="E74">
        <v>233.72</v>
      </c>
      <c r="F74" s="23">
        <f t="shared" si="1"/>
        <v>-6.1657524344091025E-3</v>
      </c>
    </row>
    <row r="75" spans="1:6" x14ac:dyDescent="0.35">
      <c r="A75" s="22">
        <v>44582</v>
      </c>
      <c r="B75">
        <v>230.71</v>
      </c>
      <c r="C75">
        <v>230.71</v>
      </c>
      <c r="D75">
        <v>230.71</v>
      </c>
      <c r="E75">
        <v>230.71</v>
      </c>
      <c r="F75" s="23">
        <f t="shared" si="1"/>
        <v>-1.2878658223515279E-2</v>
      </c>
    </row>
    <row r="76" spans="1:6" x14ac:dyDescent="0.35">
      <c r="A76" s="22">
        <v>44585</v>
      </c>
      <c r="B76">
        <v>224.11</v>
      </c>
      <c r="C76">
        <v>224.11</v>
      </c>
      <c r="D76">
        <v>224.11</v>
      </c>
      <c r="E76">
        <v>224.11</v>
      </c>
      <c r="F76" s="23">
        <f t="shared" si="1"/>
        <v>-2.8607342551254796E-2</v>
      </c>
    </row>
    <row r="77" spans="1:6" x14ac:dyDescent="0.35">
      <c r="A77" s="22">
        <v>44586</v>
      </c>
      <c r="B77">
        <v>225.88</v>
      </c>
      <c r="C77">
        <v>225.88</v>
      </c>
      <c r="D77">
        <v>225.88</v>
      </c>
      <c r="E77">
        <v>225.88</v>
      </c>
      <c r="F77" s="23">
        <f t="shared" si="1"/>
        <v>7.8979072776760601E-3</v>
      </c>
    </row>
    <row r="78" spans="1:6" x14ac:dyDescent="0.35">
      <c r="A78" s="22">
        <v>44587</v>
      </c>
      <c r="B78">
        <v>225.88</v>
      </c>
      <c r="C78">
        <v>225.88</v>
      </c>
      <c r="D78">
        <v>225.88</v>
      </c>
      <c r="E78">
        <v>225.88</v>
      </c>
      <c r="F78" s="23">
        <f t="shared" si="1"/>
        <v>0</v>
      </c>
    </row>
    <row r="79" spans="1:6" x14ac:dyDescent="0.35">
      <c r="A79" s="22">
        <v>44588</v>
      </c>
      <c r="B79">
        <v>223.59</v>
      </c>
      <c r="C79">
        <v>223.59</v>
      </c>
      <c r="D79">
        <v>223.59</v>
      </c>
      <c r="E79">
        <v>223.59</v>
      </c>
      <c r="F79" s="23">
        <f t="shared" si="1"/>
        <v>-1.0138126438817036E-2</v>
      </c>
    </row>
    <row r="80" spans="1:6" x14ac:dyDescent="0.35">
      <c r="A80" s="22">
        <v>44589</v>
      </c>
      <c r="B80">
        <v>223.95</v>
      </c>
      <c r="C80">
        <v>223.95</v>
      </c>
      <c r="D80">
        <v>223.95</v>
      </c>
      <c r="E80">
        <v>223.95</v>
      </c>
      <c r="F80" s="23">
        <f t="shared" si="1"/>
        <v>1.6100898966858322E-3</v>
      </c>
    </row>
    <row r="81" spans="1:6" x14ac:dyDescent="0.35">
      <c r="A81" s="22">
        <v>44606</v>
      </c>
      <c r="B81">
        <v>218.81</v>
      </c>
      <c r="C81">
        <v>218.81</v>
      </c>
      <c r="D81">
        <v>218.81</v>
      </c>
      <c r="E81">
        <v>218.81</v>
      </c>
      <c r="F81" s="23">
        <f t="shared" si="1"/>
        <v>-2.2951551685644056E-2</v>
      </c>
    </row>
    <row r="82" spans="1:6" x14ac:dyDescent="0.35">
      <c r="A82" s="22">
        <v>44607</v>
      </c>
      <c r="B82">
        <v>225.43</v>
      </c>
      <c r="C82">
        <v>225.43</v>
      </c>
      <c r="D82">
        <v>225.43</v>
      </c>
      <c r="E82">
        <v>225.43</v>
      </c>
      <c r="F82" s="23">
        <f t="shared" si="1"/>
        <v>3.0254558749600129E-2</v>
      </c>
    </row>
    <row r="83" spans="1:6" x14ac:dyDescent="0.35">
      <c r="A83" s="22">
        <v>44608</v>
      </c>
      <c r="B83">
        <v>224.66</v>
      </c>
      <c r="C83">
        <v>224.66</v>
      </c>
      <c r="D83">
        <v>224.66</v>
      </c>
      <c r="E83">
        <v>224.66</v>
      </c>
      <c r="F83" s="23">
        <f t="shared" si="1"/>
        <v>-3.4156944506055545E-3</v>
      </c>
    </row>
    <row r="84" spans="1:6" x14ac:dyDescent="0.35">
      <c r="A84" s="22">
        <v>44609</v>
      </c>
      <c r="B84">
        <v>224.08</v>
      </c>
      <c r="C84">
        <v>224.08</v>
      </c>
      <c r="D84">
        <v>224.08</v>
      </c>
      <c r="E84">
        <v>224.08</v>
      </c>
      <c r="F84" s="23">
        <f t="shared" si="1"/>
        <v>-2.5816789815720827E-3</v>
      </c>
    </row>
    <row r="85" spans="1:6" x14ac:dyDescent="0.35">
      <c r="A85" s="22">
        <v>44610</v>
      </c>
      <c r="B85">
        <v>223.25</v>
      </c>
      <c r="C85">
        <v>223.25</v>
      </c>
      <c r="D85">
        <v>223.25</v>
      </c>
      <c r="E85">
        <v>223.25</v>
      </c>
      <c r="F85" s="23">
        <f t="shared" si="1"/>
        <v>-3.7040342734738149E-3</v>
      </c>
    </row>
    <row r="86" spans="1:6" x14ac:dyDescent="0.35">
      <c r="A86" s="22">
        <v>44613</v>
      </c>
      <c r="B86">
        <v>222.3</v>
      </c>
      <c r="C86">
        <v>222.3</v>
      </c>
      <c r="D86">
        <v>222.3</v>
      </c>
      <c r="E86">
        <v>222.3</v>
      </c>
      <c r="F86" s="23">
        <f t="shared" si="1"/>
        <v>-4.2553191489361191E-3</v>
      </c>
    </row>
    <row r="87" spans="1:6" x14ac:dyDescent="0.35">
      <c r="A87" s="22">
        <v>44614</v>
      </c>
      <c r="B87">
        <v>221.16</v>
      </c>
      <c r="C87">
        <v>221.16</v>
      </c>
      <c r="D87">
        <v>221.16</v>
      </c>
      <c r="E87">
        <v>221.16</v>
      </c>
      <c r="F87" s="23">
        <f t="shared" si="1"/>
        <v>-5.1282051282051941E-3</v>
      </c>
    </row>
    <row r="88" spans="1:6" x14ac:dyDescent="0.35">
      <c r="A88" s="22">
        <v>44615</v>
      </c>
      <c r="B88">
        <v>221.23</v>
      </c>
      <c r="C88">
        <v>221.23</v>
      </c>
      <c r="D88">
        <v>221.23</v>
      </c>
      <c r="E88">
        <v>221.23</v>
      </c>
      <c r="F88" s="23">
        <f t="shared" si="1"/>
        <v>3.1651293181404045E-4</v>
      </c>
    </row>
    <row r="89" spans="1:6" x14ac:dyDescent="0.35">
      <c r="A89" s="22">
        <v>44616</v>
      </c>
      <c r="B89">
        <v>210.85</v>
      </c>
      <c r="C89">
        <v>210.85</v>
      </c>
      <c r="D89">
        <v>210.85</v>
      </c>
      <c r="E89">
        <v>210.85</v>
      </c>
      <c r="F89" s="23">
        <f t="shared" si="1"/>
        <v>-4.6919495547620108E-2</v>
      </c>
    </row>
    <row r="90" spans="1:6" x14ac:dyDescent="0.35">
      <c r="A90" s="22">
        <v>44617</v>
      </c>
      <c r="B90">
        <v>216.9</v>
      </c>
      <c r="C90">
        <v>216.9</v>
      </c>
      <c r="D90">
        <v>216.9</v>
      </c>
      <c r="E90">
        <v>216.9</v>
      </c>
      <c r="F90" s="23">
        <f t="shared" si="1"/>
        <v>2.8693383922219644E-2</v>
      </c>
    </row>
    <row r="91" spans="1:6" x14ac:dyDescent="0.35">
      <c r="A91" s="22">
        <v>44620</v>
      </c>
      <c r="B91">
        <v>218.16</v>
      </c>
      <c r="C91">
        <v>218.16</v>
      </c>
      <c r="D91">
        <v>218.16</v>
      </c>
      <c r="E91">
        <v>218.16</v>
      </c>
      <c r="F91" s="23">
        <f t="shared" si="1"/>
        <v>5.8091286307053519E-3</v>
      </c>
    </row>
    <row r="92" spans="1:6" x14ac:dyDescent="0.35">
      <c r="A92" s="22">
        <v>44621</v>
      </c>
      <c r="B92">
        <v>218.16</v>
      </c>
      <c r="C92">
        <v>218.16</v>
      </c>
      <c r="D92">
        <v>218.16</v>
      </c>
      <c r="E92">
        <v>218.16</v>
      </c>
      <c r="F92" s="23">
        <f t="shared" si="1"/>
        <v>0</v>
      </c>
    </row>
    <row r="93" spans="1:6" x14ac:dyDescent="0.35">
      <c r="A93" s="22">
        <v>44622</v>
      </c>
      <c r="B93">
        <v>215.26</v>
      </c>
      <c r="C93">
        <v>215.26</v>
      </c>
      <c r="D93">
        <v>215.26</v>
      </c>
      <c r="E93">
        <v>215.26</v>
      </c>
      <c r="F93" s="23">
        <f t="shared" si="1"/>
        <v>-1.329299596626332E-2</v>
      </c>
    </row>
    <row r="94" spans="1:6" x14ac:dyDescent="0.35">
      <c r="A94" s="22">
        <v>44623</v>
      </c>
      <c r="B94">
        <v>212.79</v>
      </c>
      <c r="C94">
        <v>212.79</v>
      </c>
      <c r="D94">
        <v>212.79</v>
      </c>
      <c r="E94">
        <v>212.79</v>
      </c>
      <c r="F94" s="23">
        <f t="shared" si="1"/>
        <v>-1.1474495958375913E-2</v>
      </c>
    </row>
    <row r="95" spans="1:6" x14ac:dyDescent="0.35">
      <c r="A95" s="22">
        <v>44624</v>
      </c>
      <c r="B95">
        <v>209.15</v>
      </c>
      <c r="C95">
        <v>209.15</v>
      </c>
      <c r="D95">
        <v>209.15</v>
      </c>
      <c r="E95">
        <v>209.15</v>
      </c>
      <c r="F95" s="23">
        <f t="shared" si="1"/>
        <v>-1.7106067014427306E-2</v>
      </c>
    </row>
    <row r="96" spans="1:6" x14ac:dyDescent="0.35">
      <c r="A96" s="22">
        <v>44627</v>
      </c>
      <c r="B96">
        <v>203.75</v>
      </c>
      <c r="C96">
        <v>203.75</v>
      </c>
      <c r="D96">
        <v>203.75</v>
      </c>
      <c r="E96">
        <v>203.75</v>
      </c>
      <c r="F96" s="23">
        <f t="shared" si="1"/>
        <v>-2.5818790341859934E-2</v>
      </c>
    </row>
    <row r="97" spans="1:6" x14ac:dyDescent="0.35">
      <c r="A97" s="22">
        <v>44628</v>
      </c>
      <c r="B97">
        <v>205.81</v>
      </c>
      <c r="C97">
        <v>205.81</v>
      </c>
      <c r="D97">
        <v>205.81</v>
      </c>
      <c r="E97">
        <v>205.81</v>
      </c>
      <c r="F97" s="23">
        <f t="shared" si="1"/>
        <v>1.0110429447852771E-2</v>
      </c>
    </row>
    <row r="98" spans="1:6" x14ac:dyDescent="0.35">
      <c r="A98" s="22">
        <v>44629</v>
      </c>
      <c r="B98">
        <v>209.77</v>
      </c>
      <c r="C98">
        <v>209.77</v>
      </c>
      <c r="D98">
        <v>209.77</v>
      </c>
      <c r="E98">
        <v>209.77</v>
      </c>
      <c r="F98" s="23">
        <f t="shared" si="1"/>
        <v>1.9241047568145417E-2</v>
      </c>
    </row>
    <row r="99" spans="1:6" x14ac:dyDescent="0.35">
      <c r="A99" s="22">
        <v>44630</v>
      </c>
      <c r="B99">
        <v>212.81</v>
      </c>
      <c r="C99">
        <v>212.81</v>
      </c>
      <c r="D99">
        <v>212.81</v>
      </c>
      <c r="E99">
        <v>212.81</v>
      </c>
      <c r="F99" s="23">
        <f t="shared" si="1"/>
        <v>1.4492062735376803E-2</v>
      </c>
    </row>
    <row r="100" spans="1:6" x14ac:dyDescent="0.35">
      <c r="A100" s="22">
        <v>44631</v>
      </c>
      <c r="B100">
        <v>213.51</v>
      </c>
      <c r="C100">
        <v>213.51</v>
      </c>
      <c r="D100">
        <v>213.51</v>
      </c>
      <c r="E100">
        <v>213.51</v>
      </c>
      <c r="F100" s="23">
        <f t="shared" si="1"/>
        <v>3.2893191109439812E-3</v>
      </c>
    </row>
    <row r="101" spans="1:6" x14ac:dyDescent="0.35">
      <c r="A101" s="22">
        <v>44634</v>
      </c>
      <c r="B101">
        <v>215.8</v>
      </c>
      <c r="C101">
        <v>215.8</v>
      </c>
      <c r="D101">
        <v>215.8</v>
      </c>
      <c r="E101">
        <v>215.8</v>
      </c>
      <c r="F101" s="23">
        <f t="shared" si="1"/>
        <v>1.0725492951149926E-2</v>
      </c>
    </row>
    <row r="102" spans="1:6" x14ac:dyDescent="0.35">
      <c r="A102" s="22">
        <v>44635</v>
      </c>
      <c r="B102">
        <v>214.33</v>
      </c>
      <c r="C102">
        <v>214.33</v>
      </c>
      <c r="D102">
        <v>214.33</v>
      </c>
      <c r="E102">
        <v>214.33</v>
      </c>
      <c r="F102" s="23">
        <f t="shared" si="1"/>
        <v>-6.811862835959216E-3</v>
      </c>
    </row>
    <row r="103" spans="1:6" x14ac:dyDescent="0.35">
      <c r="A103" s="22">
        <v>44636</v>
      </c>
      <c r="B103">
        <v>217.77</v>
      </c>
      <c r="C103">
        <v>217.77</v>
      </c>
      <c r="D103">
        <v>217.77</v>
      </c>
      <c r="E103">
        <v>217.77</v>
      </c>
      <c r="F103" s="23">
        <f t="shared" si="1"/>
        <v>1.6050016329958464E-2</v>
      </c>
    </row>
    <row r="104" spans="1:6" x14ac:dyDescent="0.35">
      <c r="A104" s="22">
        <v>44637</v>
      </c>
      <c r="B104">
        <v>220.59</v>
      </c>
      <c r="C104">
        <v>220.59</v>
      </c>
      <c r="D104">
        <v>220.59</v>
      </c>
      <c r="E104">
        <v>220.59</v>
      </c>
      <c r="F104" s="23">
        <f t="shared" si="1"/>
        <v>1.29494420719107E-2</v>
      </c>
    </row>
    <row r="105" spans="1:6" x14ac:dyDescent="0.35">
      <c r="A105" s="22">
        <v>44638</v>
      </c>
      <c r="B105">
        <v>220.59</v>
      </c>
      <c r="C105">
        <v>220.59</v>
      </c>
      <c r="D105">
        <v>220.59</v>
      </c>
      <c r="E105">
        <v>220.59</v>
      </c>
      <c r="F105" s="23">
        <f t="shared" si="1"/>
        <v>0</v>
      </c>
    </row>
    <row r="106" spans="1:6" x14ac:dyDescent="0.35">
      <c r="A106" s="22">
        <v>44641</v>
      </c>
      <c r="B106">
        <v>218.49</v>
      </c>
      <c r="C106">
        <v>218.49</v>
      </c>
      <c r="D106">
        <v>218.49</v>
      </c>
      <c r="E106">
        <v>218.49</v>
      </c>
      <c r="F106" s="23">
        <f t="shared" si="1"/>
        <v>-9.5199238406092485E-3</v>
      </c>
    </row>
    <row r="107" spans="1:6" x14ac:dyDescent="0.35">
      <c r="A107" s="22">
        <v>44642</v>
      </c>
      <c r="B107">
        <v>219.76</v>
      </c>
      <c r="C107">
        <v>219.76</v>
      </c>
      <c r="D107">
        <v>219.76</v>
      </c>
      <c r="E107">
        <v>219.76</v>
      </c>
      <c r="F107" s="23">
        <f t="shared" si="1"/>
        <v>5.8126230033410308E-3</v>
      </c>
    </row>
    <row r="108" spans="1:6" x14ac:dyDescent="0.35">
      <c r="A108" s="22">
        <v>44643</v>
      </c>
      <c r="B108">
        <v>219.29</v>
      </c>
      <c r="C108">
        <v>219.29</v>
      </c>
      <c r="D108">
        <v>219.29</v>
      </c>
      <c r="E108">
        <v>219.29</v>
      </c>
      <c r="F108" s="23">
        <f t="shared" si="1"/>
        <v>-2.1386967601019244E-3</v>
      </c>
    </row>
    <row r="109" spans="1:6" x14ac:dyDescent="0.35">
      <c r="A109" s="22">
        <v>44644</v>
      </c>
      <c r="B109">
        <v>218.72</v>
      </c>
      <c r="C109">
        <v>218.72</v>
      </c>
      <c r="D109">
        <v>218.72</v>
      </c>
      <c r="E109">
        <v>218.72</v>
      </c>
      <c r="F109" s="23">
        <f t="shared" si="1"/>
        <v>-2.5992977335947522E-3</v>
      </c>
    </row>
    <row r="110" spans="1:6" x14ac:dyDescent="0.35">
      <c r="A110" s="22">
        <v>44645</v>
      </c>
      <c r="B110">
        <v>217.65</v>
      </c>
      <c r="C110">
        <v>217.65</v>
      </c>
      <c r="D110">
        <v>217.65</v>
      </c>
      <c r="E110">
        <v>217.65</v>
      </c>
      <c r="F110" s="23">
        <f t="shared" si="1"/>
        <v>-4.8920994879297422E-3</v>
      </c>
    </row>
    <row r="111" spans="1:6" x14ac:dyDescent="0.35">
      <c r="A111" s="22">
        <v>44648</v>
      </c>
      <c r="B111">
        <v>218.28</v>
      </c>
      <c r="C111">
        <v>218.28</v>
      </c>
      <c r="D111">
        <v>218.28</v>
      </c>
      <c r="E111">
        <v>218.28</v>
      </c>
      <c r="F111" s="23">
        <f t="shared" si="1"/>
        <v>2.8945554789799929E-3</v>
      </c>
    </row>
    <row r="112" spans="1:6" x14ac:dyDescent="0.35">
      <c r="A112" s="22">
        <v>44649</v>
      </c>
      <c r="B112">
        <v>220.13</v>
      </c>
      <c r="C112">
        <v>220.13</v>
      </c>
      <c r="D112">
        <v>220.13</v>
      </c>
      <c r="E112">
        <v>220.13</v>
      </c>
      <c r="F112" s="23">
        <f t="shared" si="1"/>
        <v>8.4753527579255732E-3</v>
      </c>
    </row>
    <row r="113" spans="1:6" x14ac:dyDescent="0.35">
      <c r="A113" s="22">
        <v>44650</v>
      </c>
      <c r="B113">
        <v>222.19</v>
      </c>
      <c r="C113">
        <v>222.19</v>
      </c>
      <c r="D113">
        <v>222.19</v>
      </c>
      <c r="E113">
        <v>222.19</v>
      </c>
      <c r="F113" s="23">
        <f t="shared" si="1"/>
        <v>9.3581065733884632E-3</v>
      </c>
    </row>
    <row r="114" spans="1:6" x14ac:dyDescent="0.35">
      <c r="A114" s="22">
        <v>44651</v>
      </c>
      <c r="B114">
        <v>221.85</v>
      </c>
      <c r="C114">
        <v>221.85</v>
      </c>
      <c r="D114">
        <v>221.85</v>
      </c>
      <c r="E114">
        <v>221.85</v>
      </c>
      <c r="F114" s="23">
        <f t="shared" si="1"/>
        <v>-1.5302218821729304E-3</v>
      </c>
    </row>
    <row r="115" spans="1:6" x14ac:dyDescent="0.35">
      <c r="A115" s="22">
        <v>44652</v>
      </c>
      <c r="B115">
        <v>223.8</v>
      </c>
      <c r="C115">
        <v>223.8</v>
      </c>
      <c r="D115">
        <v>223.8</v>
      </c>
      <c r="E115">
        <v>223.8</v>
      </c>
      <c r="F115" s="23">
        <f t="shared" si="1"/>
        <v>8.7897227856660685E-3</v>
      </c>
    </row>
    <row r="116" spans="1:6" x14ac:dyDescent="0.35">
      <c r="A116" s="22">
        <v>44655</v>
      </c>
      <c r="B116">
        <v>227.38</v>
      </c>
      <c r="C116">
        <v>227.38</v>
      </c>
      <c r="D116">
        <v>227.38</v>
      </c>
      <c r="E116">
        <v>227.38</v>
      </c>
      <c r="F116" s="23">
        <f t="shared" si="1"/>
        <v>1.5996425379803322E-2</v>
      </c>
    </row>
    <row r="117" spans="1:6" x14ac:dyDescent="0.35">
      <c r="A117" s="22">
        <v>44656</v>
      </c>
      <c r="B117">
        <v>227.18</v>
      </c>
      <c r="C117">
        <v>227.18</v>
      </c>
      <c r="D117">
        <v>227.18</v>
      </c>
      <c r="E117">
        <v>227.18</v>
      </c>
      <c r="F117" s="23">
        <f t="shared" si="1"/>
        <v>-8.7958483595737807E-4</v>
      </c>
    </row>
    <row r="118" spans="1:6" x14ac:dyDescent="0.35">
      <c r="A118" s="22">
        <v>44657</v>
      </c>
      <c r="B118">
        <v>225.51</v>
      </c>
      <c r="C118">
        <v>225.51</v>
      </c>
      <c r="D118">
        <v>225.51</v>
      </c>
      <c r="E118">
        <v>225.51</v>
      </c>
      <c r="F118" s="23">
        <f t="shared" si="1"/>
        <v>-7.3509992076768015E-3</v>
      </c>
    </row>
    <row r="119" spans="1:6" x14ac:dyDescent="0.35">
      <c r="A119" s="22">
        <v>44658</v>
      </c>
      <c r="B119">
        <v>224.2</v>
      </c>
      <c r="C119">
        <v>224.2</v>
      </c>
      <c r="D119">
        <v>224.2</v>
      </c>
      <c r="E119">
        <v>224.2</v>
      </c>
      <c r="F119" s="23">
        <f t="shared" si="1"/>
        <v>-5.8090550308190431E-3</v>
      </c>
    </row>
    <row r="120" spans="1:6" x14ac:dyDescent="0.35">
      <c r="A120" s="22">
        <v>44659</v>
      </c>
      <c r="B120">
        <v>225.54</v>
      </c>
      <c r="C120">
        <v>225.54</v>
      </c>
      <c r="D120">
        <v>225.54</v>
      </c>
      <c r="E120">
        <v>225.54</v>
      </c>
      <c r="F120" s="23">
        <f t="shared" si="1"/>
        <v>5.9768064228367685E-3</v>
      </c>
    </row>
    <row r="121" spans="1:6" x14ac:dyDescent="0.35">
      <c r="A121" s="22">
        <v>44662</v>
      </c>
      <c r="B121">
        <v>224.52</v>
      </c>
      <c r="C121">
        <v>224.52</v>
      </c>
      <c r="D121">
        <v>224.52</v>
      </c>
      <c r="E121">
        <v>224.52</v>
      </c>
      <c r="F121" s="23">
        <f t="shared" si="1"/>
        <v>-4.5224793828144982E-3</v>
      </c>
    </row>
    <row r="122" spans="1:6" x14ac:dyDescent="0.35">
      <c r="A122" s="22">
        <v>44663</v>
      </c>
      <c r="B122">
        <v>222.69</v>
      </c>
      <c r="C122">
        <v>222.69</v>
      </c>
      <c r="D122">
        <v>222.69</v>
      </c>
      <c r="E122">
        <v>222.69</v>
      </c>
      <c r="F122" s="23">
        <f t="shared" si="1"/>
        <v>-8.1507215392838603E-3</v>
      </c>
    </row>
    <row r="123" spans="1:6" x14ac:dyDescent="0.35">
      <c r="A123" s="22">
        <v>44664</v>
      </c>
      <c r="B123">
        <v>222.08</v>
      </c>
      <c r="C123">
        <v>222.08</v>
      </c>
      <c r="D123">
        <v>222.08</v>
      </c>
      <c r="E123">
        <v>222.08</v>
      </c>
      <c r="F123" s="23">
        <f t="shared" si="1"/>
        <v>-2.7392339126138814E-3</v>
      </c>
    </row>
    <row r="124" spans="1:6" x14ac:dyDescent="0.35">
      <c r="A124" s="22">
        <v>44665</v>
      </c>
      <c r="B124">
        <v>222.08</v>
      </c>
      <c r="C124">
        <v>222.08</v>
      </c>
      <c r="D124">
        <v>222.08</v>
      </c>
      <c r="E124">
        <v>222.08</v>
      </c>
      <c r="F124" s="23">
        <f t="shared" si="1"/>
        <v>0</v>
      </c>
    </row>
    <row r="125" spans="1:6" x14ac:dyDescent="0.35">
      <c r="A125" s="22">
        <v>44666</v>
      </c>
      <c r="B125">
        <v>222.08</v>
      </c>
      <c r="C125">
        <v>222.08</v>
      </c>
      <c r="D125">
        <v>222.08</v>
      </c>
      <c r="E125">
        <v>222.08</v>
      </c>
      <c r="F125" s="23">
        <f t="shared" si="1"/>
        <v>0</v>
      </c>
    </row>
    <row r="126" spans="1:6" x14ac:dyDescent="0.35">
      <c r="A126" s="22">
        <v>44669</v>
      </c>
      <c r="B126">
        <v>218.65</v>
      </c>
      <c r="C126">
        <v>218.65</v>
      </c>
      <c r="D126">
        <v>218.65</v>
      </c>
      <c r="E126">
        <v>218.65</v>
      </c>
      <c r="F126" s="23">
        <f t="shared" si="1"/>
        <v>-1.5444884726224814E-2</v>
      </c>
    </row>
    <row r="127" spans="1:6" x14ac:dyDescent="0.35">
      <c r="A127" s="22">
        <v>44670</v>
      </c>
      <c r="B127">
        <v>216.41</v>
      </c>
      <c r="C127">
        <v>216.41</v>
      </c>
      <c r="D127">
        <v>216.41</v>
      </c>
      <c r="E127">
        <v>216.41</v>
      </c>
      <c r="F127" s="23">
        <f t="shared" si="1"/>
        <v>-1.0244683283786915E-2</v>
      </c>
    </row>
    <row r="128" spans="1:6" x14ac:dyDescent="0.35">
      <c r="A128" s="22">
        <v>44671</v>
      </c>
      <c r="B128">
        <v>218.47</v>
      </c>
      <c r="C128">
        <v>218.47</v>
      </c>
      <c r="D128">
        <v>218.47</v>
      </c>
      <c r="E128">
        <v>218.47</v>
      </c>
      <c r="F128" s="23">
        <f t="shared" si="1"/>
        <v>9.5189686243704191E-3</v>
      </c>
    </row>
    <row r="129" spans="1:6" x14ac:dyDescent="0.35">
      <c r="A129" s="22">
        <v>44672</v>
      </c>
      <c r="B129">
        <v>221.45</v>
      </c>
      <c r="C129">
        <v>221.45</v>
      </c>
      <c r="D129">
        <v>221.45</v>
      </c>
      <c r="E129">
        <v>221.45</v>
      </c>
      <c r="F129" s="23">
        <f t="shared" si="1"/>
        <v>1.3640316748294913E-2</v>
      </c>
    </row>
    <row r="130" spans="1:6" x14ac:dyDescent="0.35">
      <c r="A130" s="22">
        <v>44673</v>
      </c>
      <c r="B130">
        <v>218.81</v>
      </c>
      <c r="C130">
        <v>218.81</v>
      </c>
      <c r="D130">
        <v>218.81</v>
      </c>
      <c r="E130">
        <v>218.81</v>
      </c>
      <c r="F130" s="23">
        <f t="shared" si="1"/>
        <v>-1.1921426958681357E-2</v>
      </c>
    </row>
    <row r="131" spans="1:6" x14ac:dyDescent="0.35">
      <c r="A131" s="22">
        <v>44676</v>
      </c>
      <c r="B131">
        <v>216.34</v>
      </c>
      <c r="C131">
        <v>216.34</v>
      </c>
      <c r="D131">
        <v>216.34</v>
      </c>
      <c r="E131">
        <v>216.34</v>
      </c>
      <c r="F131" s="23">
        <f t="shared" ref="F131:F194" si="2">(B131-B130)/B130</f>
        <v>-1.1288332343128737E-2</v>
      </c>
    </row>
    <row r="132" spans="1:6" x14ac:dyDescent="0.35">
      <c r="A132" s="22">
        <v>44677</v>
      </c>
      <c r="B132">
        <v>218.84</v>
      </c>
      <c r="C132">
        <v>218.84</v>
      </c>
      <c r="D132">
        <v>218.84</v>
      </c>
      <c r="E132">
        <v>218.84</v>
      </c>
      <c r="F132" s="23">
        <f t="shared" si="2"/>
        <v>1.1555884256263289E-2</v>
      </c>
    </row>
    <row r="133" spans="1:6" x14ac:dyDescent="0.35">
      <c r="A133" s="22">
        <v>44678</v>
      </c>
      <c r="B133">
        <v>216.22</v>
      </c>
      <c r="C133">
        <v>216.22</v>
      </c>
      <c r="D133">
        <v>216.22</v>
      </c>
      <c r="E133">
        <v>216.22</v>
      </c>
      <c r="F133" s="23">
        <f t="shared" si="2"/>
        <v>-1.1972217144946101E-2</v>
      </c>
    </row>
    <row r="134" spans="1:6" x14ac:dyDescent="0.35">
      <c r="A134" s="22">
        <v>44679</v>
      </c>
      <c r="B134">
        <v>218.35</v>
      </c>
      <c r="C134">
        <v>218.35</v>
      </c>
      <c r="D134">
        <v>218.35</v>
      </c>
      <c r="E134">
        <v>218.35</v>
      </c>
      <c r="F134" s="23">
        <f t="shared" si="2"/>
        <v>9.8510776061418708E-3</v>
      </c>
    </row>
    <row r="135" spans="1:6" x14ac:dyDescent="0.35">
      <c r="A135" s="22">
        <v>44680</v>
      </c>
      <c r="B135">
        <v>216.53</v>
      </c>
      <c r="C135">
        <v>216.53</v>
      </c>
      <c r="D135">
        <v>216.53</v>
      </c>
      <c r="E135">
        <v>216.53</v>
      </c>
      <c r="F135" s="23">
        <f t="shared" si="2"/>
        <v>-8.3352415846118313E-3</v>
      </c>
    </row>
    <row r="136" spans="1:6" x14ac:dyDescent="0.35">
      <c r="A136" s="22">
        <v>44683</v>
      </c>
      <c r="B136">
        <v>215.62</v>
      </c>
      <c r="C136">
        <v>215.62</v>
      </c>
      <c r="D136">
        <v>215.62</v>
      </c>
      <c r="E136">
        <v>215.62</v>
      </c>
      <c r="F136" s="23">
        <f t="shared" si="2"/>
        <v>-4.2026509028771841E-3</v>
      </c>
    </row>
    <row r="137" spans="1:6" x14ac:dyDescent="0.35">
      <c r="A137" s="22">
        <v>44684</v>
      </c>
      <c r="B137">
        <v>215.62</v>
      </c>
      <c r="C137">
        <v>215.62</v>
      </c>
      <c r="D137">
        <v>215.62</v>
      </c>
      <c r="E137">
        <v>215.62</v>
      </c>
      <c r="F137" s="23">
        <f t="shared" si="2"/>
        <v>0</v>
      </c>
    </row>
    <row r="138" spans="1:6" x14ac:dyDescent="0.35">
      <c r="A138" s="22">
        <v>44685</v>
      </c>
      <c r="B138">
        <v>210.17</v>
      </c>
      <c r="C138">
        <v>210.17</v>
      </c>
      <c r="D138">
        <v>210.17</v>
      </c>
      <c r="E138">
        <v>210.17</v>
      </c>
      <c r="F138" s="23">
        <f t="shared" si="2"/>
        <v>-2.5275948427789709E-2</v>
      </c>
    </row>
    <row r="139" spans="1:6" x14ac:dyDescent="0.35">
      <c r="A139" s="22">
        <v>44686</v>
      </c>
      <c r="B139">
        <v>210.33</v>
      </c>
      <c r="C139">
        <v>210.33</v>
      </c>
      <c r="D139">
        <v>210.33</v>
      </c>
      <c r="E139">
        <v>210.33</v>
      </c>
      <c r="F139" s="23">
        <f t="shared" si="2"/>
        <v>7.6128848075379468E-4</v>
      </c>
    </row>
    <row r="140" spans="1:6" x14ac:dyDescent="0.35">
      <c r="A140" s="22">
        <v>44687</v>
      </c>
      <c r="B140">
        <v>206.18</v>
      </c>
      <c r="C140">
        <v>206.18</v>
      </c>
      <c r="D140">
        <v>206.18</v>
      </c>
      <c r="E140">
        <v>206.18</v>
      </c>
      <c r="F140" s="23">
        <f t="shared" si="2"/>
        <v>-1.9730899063376623E-2</v>
      </c>
    </row>
    <row r="141" spans="1:6" x14ac:dyDescent="0.35">
      <c r="A141" s="22">
        <v>44690</v>
      </c>
      <c r="B141">
        <v>204.7</v>
      </c>
      <c r="C141">
        <v>204.7</v>
      </c>
      <c r="D141">
        <v>204.7</v>
      </c>
      <c r="E141">
        <v>204.7</v>
      </c>
      <c r="F141" s="23">
        <f t="shared" si="2"/>
        <v>-7.1781938112329916E-3</v>
      </c>
    </row>
    <row r="142" spans="1:6" x14ac:dyDescent="0.35">
      <c r="A142" s="22">
        <v>44691</v>
      </c>
      <c r="B142">
        <v>203.52</v>
      </c>
      <c r="C142">
        <v>203.52</v>
      </c>
      <c r="D142">
        <v>203.52</v>
      </c>
      <c r="E142">
        <v>203.52</v>
      </c>
      <c r="F142" s="23">
        <f t="shared" si="2"/>
        <v>-5.7645334636051704E-3</v>
      </c>
    </row>
    <row r="143" spans="1:6" x14ac:dyDescent="0.35">
      <c r="A143" s="22">
        <v>44692</v>
      </c>
      <c r="B143">
        <v>202.49</v>
      </c>
      <c r="C143">
        <v>202.49</v>
      </c>
      <c r="D143">
        <v>202.49</v>
      </c>
      <c r="E143">
        <v>202.49</v>
      </c>
      <c r="F143" s="23">
        <f t="shared" si="2"/>
        <v>-5.0609276729559798E-3</v>
      </c>
    </row>
    <row r="144" spans="1:6" x14ac:dyDescent="0.35">
      <c r="A144" s="22">
        <v>44693</v>
      </c>
      <c r="B144">
        <v>198.8</v>
      </c>
      <c r="C144">
        <v>198.8</v>
      </c>
      <c r="D144">
        <v>198.8</v>
      </c>
      <c r="E144">
        <v>198.8</v>
      </c>
      <c r="F144" s="23">
        <f t="shared" si="2"/>
        <v>-1.8223122129487863E-2</v>
      </c>
    </row>
    <row r="145" spans="1:6" x14ac:dyDescent="0.35">
      <c r="A145" s="22">
        <v>44694</v>
      </c>
      <c r="B145">
        <v>198.7</v>
      </c>
      <c r="C145">
        <v>198.7</v>
      </c>
      <c r="D145">
        <v>198.7</v>
      </c>
      <c r="E145">
        <v>198.7</v>
      </c>
      <c r="F145" s="23">
        <f t="shared" si="2"/>
        <v>-5.0301810865202579E-4</v>
      </c>
    </row>
    <row r="146" spans="1:6" x14ac:dyDescent="0.35">
      <c r="A146" s="22">
        <v>44697</v>
      </c>
      <c r="B146">
        <v>199.95</v>
      </c>
      <c r="C146">
        <v>199.95</v>
      </c>
      <c r="D146">
        <v>199.95</v>
      </c>
      <c r="E146">
        <v>199.95</v>
      </c>
      <c r="F146" s="23">
        <f t="shared" si="2"/>
        <v>6.2908907901358833E-3</v>
      </c>
    </row>
    <row r="147" spans="1:6" x14ac:dyDescent="0.35">
      <c r="A147" s="22">
        <v>44698</v>
      </c>
      <c r="B147">
        <v>204.81</v>
      </c>
      <c r="C147">
        <v>204.81</v>
      </c>
      <c r="D147">
        <v>204.81</v>
      </c>
      <c r="E147">
        <v>204.81</v>
      </c>
      <c r="F147" s="23">
        <f t="shared" si="2"/>
        <v>2.4306076519129853E-2</v>
      </c>
    </row>
    <row r="148" spans="1:6" x14ac:dyDescent="0.35">
      <c r="A148" s="22">
        <v>44699</v>
      </c>
      <c r="B148">
        <v>204.66</v>
      </c>
      <c r="C148">
        <v>204.66</v>
      </c>
      <c r="D148">
        <v>204.66</v>
      </c>
      <c r="E148">
        <v>204.66</v>
      </c>
      <c r="F148" s="23">
        <f t="shared" si="2"/>
        <v>-7.3238611395930707E-4</v>
      </c>
    </row>
    <row r="149" spans="1:6" x14ac:dyDescent="0.35">
      <c r="A149" s="22">
        <v>44700</v>
      </c>
      <c r="B149">
        <v>199.52</v>
      </c>
      <c r="C149">
        <v>199.52</v>
      </c>
      <c r="D149">
        <v>199.52</v>
      </c>
      <c r="E149">
        <v>199.52</v>
      </c>
      <c r="F149" s="23">
        <f t="shared" si="2"/>
        <v>-2.5114824587120034E-2</v>
      </c>
    </row>
    <row r="150" spans="1:6" x14ac:dyDescent="0.35">
      <c r="A150" s="22">
        <v>44701</v>
      </c>
      <c r="B150">
        <v>204.03</v>
      </c>
      <c r="C150">
        <v>204.03</v>
      </c>
      <c r="D150">
        <v>204.03</v>
      </c>
      <c r="E150">
        <v>204.03</v>
      </c>
      <c r="F150" s="23">
        <f t="shared" si="2"/>
        <v>2.2604250200481107E-2</v>
      </c>
    </row>
    <row r="151" spans="1:6" x14ac:dyDescent="0.35">
      <c r="A151" s="22">
        <v>44704</v>
      </c>
      <c r="B151">
        <v>203.75</v>
      </c>
      <c r="C151">
        <v>203.75</v>
      </c>
      <c r="D151">
        <v>203.75</v>
      </c>
      <c r="E151">
        <v>203.75</v>
      </c>
      <c r="F151" s="23">
        <f t="shared" si="2"/>
        <v>-1.3723472038425777E-3</v>
      </c>
    </row>
    <row r="152" spans="1:6" x14ac:dyDescent="0.35">
      <c r="A152" s="22">
        <v>44705</v>
      </c>
      <c r="B152">
        <v>202.57</v>
      </c>
      <c r="C152">
        <v>202.57</v>
      </c>
      <c r="D152">
        <v>202.57</v>
      </c>
      <c r="E152">
        <v>202.57</v>
      </c>
      <c r="F152" s="23">
        <f t="shared" si="2"/>
        <v>-5.7914110429448185E-3</v>
      </c>
    </row>
    <row r="153" spans="1:6" x14ac:dyDescent="0.35">
      <c r="A153" s="22">
        <v>44706</v>
      </c>
      <c r="B153">
        <v>200.96</v>
      </c>
      <c r="C153">
        <v>200.96</v>
      </c>
      <c r="D153">
        <v>200.96</v>
      </c>
      <c r="E153">
        <v>200.96</v>
      </c>
      <c r="F153" s="23">
        <f t="shared" si="2"/>
        <v>-7.9478698721428907E-3</v>
      </c>
    </row>
    <row r="154" spans="1:6" x14ac:dyDescent="0.35">
      <c r="A154" s="22">
        <v>44707</v>
      </c>
      <c r="B154">
        <v>202.77</v>
      </c>
      <c r="C154">
        <v>202.77</v>
      </c>
      <c r="D154">
        <v>202.77</v>
      </c>
      <c r="E154">
        <v>202.77</v>
      </c>
      <c r="F154" s="23">
        <f t="shared" si="2"/>
        <v>9.006767515923577E-3</v>
      </c>
    </row>
    <row r="155" spans="1:6" x14ac:dyDescent="0.35">
      <c r="A155" s="22">
        <v>44708</v>
      </c>
      <c r="B155">
        <v>205.24</v>
      </c>
      <c r="C155">
        <v>205.24</v>
      </c>
      <c r="D155">
        <v>205.24</v>
      </c>
      <c r="E155">
        <v>205.24</v>
      </c>
      <c r="F155" s="23">
        <f t="shared" si="2"/>
        <v>1.2181289145337075E-2</v>
      </c>
    </row>
    <row r="156" spans="1:6" x14ac:dyDescent="0.35">
      <c r="A156" s="22">
        <v>44711</v>
      </c>
      <c r="B156">
        <v>209.37</v>
      </c>
      <c r="C156">
        <v>209.37</v>
      </c>
      <c r="D156">
        <v>209.37</v>
      </c>
      <c r="E156">
        <v>209.37</v>
      </c>
      <c r="F156" s="23">
        <f t="shared" si="2"/>
        <v>2.0122783083219624E-2</v>
      </c>
    </row>
    <row r="157" spans="1:6" x14ac:dyDescent="0.35">
      <c r="A157" s="22">
        <v>44712</v>
      </c>
      <c r="B157">
        <v>208.95</v>
      </c>
      <c r="C157">
        <v>208.95</v>
      </c>
      <c r="D157">
        <v>208.95</v>
      </c>
      <c r="E157">
        <v>208.95</v>
      </c>
      <c r="F157" s="23">
        <f t="shared" si="2"/>
        <v>-2.0060180541625634E-3</v>
      </c>
    </row>
    <row r="158" spans="1:6" x14ac:dyDescent="0.35">
      <c r="A158" s="22">
        <v>44713</v>
      </c>
      <c r="B158">
        <v>208.21</v>
      </c>
      <c r="C158">
        <v>208.21</v>
      </c>
      <c r="D158">
        <v>208.21</v>
      </c>
      <c r="E158">
        <v>208.21</v>
      </c>
      <c r="F158" s="23">
        <f t="shared" si="2"/>
        <v>-3.541517109356213E-3</v>
      </c>
    </row>
    <row r="159" spans="1:6" x14ac:dyDescent="0.35">
      <c r="A159" s="22">
        <v>44714</v>
      </c>
      <c r="B159">
        <v>209.24</v>
      </c>
      <c r="C159">
        <v>209.24</v>
      </c>
      <c r="D159">
        <v>209.24</v>
      </c>
      <c r="E159">
        <v>209.24</v>
      </c>
      <c r="F159" s="23">
        <f t="shared" si="2"/>
        <v>4.9469285817203834E-3</v>
      </c>
    </row>
    <row r="160" spans="1:6" x14ac:dyDescent="0.35">
      <c r="A160" s="22">
        <v>44715</v>
      </c>
      <c r="B160">
        <v>207.74</v>
      </c>
      <c r="C160">
        <v>207.74</v>
      </c>
      <c r="D160">
        <v>207.74</v>
      </c>
      <c r="E160">
        <v>207.74</v>
      </c>
      <c r="F160" s="23">
        <f t="shared" si="2"/>
        <v>-7.168801376409864E-3</v>
      </c>
    </row>
    <row r="161" spans="1:6" x14ac:dyDescent="0.35">
      <c r="A161" s="22">
        <v>44718</v>
      </c>
      <c r="B161">
        <v>207.12</v>
      </c>
      <c r="C161">
        <v>207.12</v>
      </c>
      <c r="D161">
        <v>207.12</v>
      </c>
      <c r="E161">
        <v>207.12</v>
      </c>
      <c r="F161" s="23">
        <f t="shared" si="2"/>
        <v>-2.9844998555887386E-3</v>
      </c>
    </row>
    <row r="162" spans="1:6" x14ac:dyDescent="0.35">
      <c r="A162" s="22">
        <v>44719</v>
      </c>
      <c r="B162">
        <v>205.34</v>
      </c>
      <c r="C162">
        <v>205.34</v>
      </c>
      <c r="D162">
        <v>205.34</v>
      </c>
      <c r="E162">
        <v>205.34</v>
      </c>
      <c r="F162" s="23">
        <f t="shared" si="2"/>
        <v>-8.594051757435309E-3</v>
      </c>
    </row>
    <row r="163" spans="1:6" x14ac:dyDescent="0.35">
      <c r="A163" s="22">
        <v>44720</v>
      </c>
      <c r="B163">
        <v>204.66</v>
      </c>
      <c r="C163">
        <v>204.66</v>
      </c>
      <c r="D163">
        <v>204.66</v>
      </c>
      <c r="E163">
        <v>204.66</v>
      </c>
      <c r="F163" s="23">
        <f t="shared" si="2"/>
        <v>-3.3115807928314348E-3</v>
      </c>
    </row>
    <row r="164" spans="1:6" x14ac:dyDescent="0.35">
      <c r="A164" s="22">
        <v>44721</v>
      </c>
      <c r="B164">
        <v>206</v>
      </c>
      <c r="C164">
        <v>206</v>
      </c>
      <c r="D164">
        <v>206</v>
      </c>
      <c r="E164">
        <v>206</v>
      </c>
      <c r="F164" s="23">
        <f t="shared" si="2"/>
        <v>6.5474445421675144E-3</v>
      </c>
    </row>
    <row r="165" spans="1:6" x14ac:dyDescent="0.35">
      <c r="A165" s="22">
        <v>44722</v>
      </c>
      <c r="B165">
        <v>203.32</v>
      </c>
      <c r="C165">
        <v>203.32</v>
      </c>
      <c r="D165">
        <v>203.32</v>
      </c>
      <c r="E165">
        <v>203.32</v>
      </c>
      <c r="F165" s="23">
        <f t="shared" si="2"/>
        <v>-1.300970873786411E-2</v>
      </c>
    </row>
    <row r="166" spans="1:6" x14ac:dyDescent="0.35">
      <c r="A166" s="22">
        <v>44725</v>
      </c>
      <c r="B166">
        <v>198.33</v>
      </c>
      <c r="C166">
        <v>198.33</v>
      </c>
      <c r="D166">
        <v>198.33</v>
      </c>
      <c r="E166">
        <v>198.33</v>
      </c>
      <c r="F166" s="23">
        <f t="shared" si="2"/>
        <v>-2.4542592956915112E-2</v>
      </c>
    </row>
    <row r="167" spans="1:6" x14ac:dyDescent="0.35">
      <c r="A167" s="22">
        <v>44726</v>
      </c>
      <c r="B167">
        <v>197.87</v>
      </c>
      <c r="C167">
        <v>197.87</v>
      </c>
      <c r="D167">
        <v>197.87</v>
      </c>
      <c r="E167">
        <v>197.87</v>
      </c>
      <c r="F167" s="23">
        <f t="shared" si="2"/>
        <v>-2.3193667120456206E-3</v>
      </c>
    </row>
    <row r="168" spans="1:6" x14ac:dyDescent="0.35">
      <c r="A168" s="22">
        <v>44727</v>
      </c>
      <c r="B168">
        <v>198.25</v>
      </c>
      <c r="C168">
        <v>198.25</v>
      </c>
      <c r="D168">
        <v>198.25</v>
      </c>
      <c r="E168">
        <v>198.25</v>
      </c>
      <c r="F168" s="23">
        <f t="shared" si="2"/>
        <v>1.9204528225602439E-3</v>
      </c>
    </row>
    <row r="169" spans="1:6" x14ac:dyDescent="0.35">
      <c r="A169" s="22">
        <v>44728</v>
      </c>
      <c r="B169">
        <v>194.33</v>
      </c>
      <c r="C169">
        <v>194.33</v>
      </c>
      <c r="D169">
        <v>194.33</v>
      </c>
      <c r="E169">
        <v>194.33</v>
      </c>
      <c r="F169" s="23">
        <f t="shared" si="2"/>
        <v>-1.9773013871374465E-2</v>
      </c>
    </row>
    <row r="170" spans="1:6" x14ac:dyDescent="0.35">
      <c r="A170" s="22">
        <v>44729</v>
      </c>
      <c r="B170">
        <v>193.2</v>
      </c>
      <c r="C170">
        <v>193.2</v>
      </c>
      <c r="D170">
        <v>193.2</v>
      </c>
      <c r="E170">
        <v>193.2</v>
      </c>
      <c r="F170" s="23">
        <f t="shared" si="2"/>
        <v>-5.8148510266043526E-3</v>
      </c>
    </row>
    <row r="171" spans="1:6" x14ac:dyDescent="0.35">
      <c r="A171" s="22">
        <v>44732</v>
      </c>
      <c r="B171">
        <v>193.27</v>
      </c>
      <c r="C171">
        <v>193.27</v>
      </c>
      <c r="D171">
        <v>193.27</v>
      </c>
      <c r="E171">
        <v>193.27</v>
      </c>
      <c r="F171" s="23">
        <f t="shared" si="2"/>
        <v>3.6231884057982198E-4</v>
      </c>
    </row>
    <row r="172" spans="1:6" x14ac:dyDescent="0.35">
      <c r="A172" s="22">
        <v>44733</v>
      </c>
      <c r="B172">
        <v>196.78</v>
      </c>
      <c r="C172">
        <v>196.78</v>
      </c>
      <c r="D172">
        <v>196.78</v>
      </c>
      <c r="E172">
        <v>196.78</v>
      </c>
      <c r="F172" s="23">
        <f t="shared" si="2"/>
        <v>1.8161121746779068E-2</v>
      </c>
    </row>
    <row r="173" spans="1:6" x14ac:dyDescent="0.35">
      <c r="A173" s="22">
        <v>44734</v>
      </c>
      <c r="B173">
        <v>194.28</v>
      </c>
      <c r="C173">
        <v>194.28</v>
      </c>
      <c r="D173">
        <v>194.28</v>
      </c>
      <c r="E173">
        <v>194.28</v>
      </c>
      <c r="F173" s="23">
        <f t="shared" si="2"/>
        <v>-1.270454314462852E-2</v>
      </c>
    </row>
    <row r="174" spans="1:6" x14ac:dyDescent="0.35">
      <c r="A174" s="22">
        <v>44735</v>
      </c>
      <c r="B174">
        <v>196.36</v>
      </c>
      <c r="C174">
        <v>196.36</v>
      </c>
      <c r="D174">
        <v>196.36</v>
      </c>
      <c r="E174">
        <v>196.36</v>
      </c>
      <c r="F174" s="23">
        <f t="shared" si="2"/>
        <v>1.0706197241095391E-2</v>
      </c>
    </row>
    <row r="175" spans="1:6" x14ac:dyDescent="0.35">
      <c r="A175" s="22">
        <v>44736</v>
      </c>
      <c r="B175">
        <v>198.41</v>
      </c>
      <c r="C175">
        <v>198.41</v>
      </c>
      <c r="D175">
        <v>198.41</v>
      </c>
      <c r="E175">
        <v>198.41</v>
      </c>
      <c r="F175" s="23">
        <f t="shared" si="2"/>
        <v>1.0440008148298955E-2</v>
      </c>
    </row>
    <row r="176" spans="1:6" x14ac:dyDescent="0.35">
      <c r="A176" s="22">
        <v>44739</v>
      </c>
      <c r="B176">
        <v>200.03</v>
      </c>
      <c r="C176">
        <v>200.03</v>
      </c>
      <c r="D176">
        <v>200.03</v>
      </c>
      <c r="E176">
        <v>200.03</v>
      </c>
      <c r="F176" s="23">
        <f t="shared" si="2"/>
        <v>8.1649110427902058E-3</v>
      </c>
    </row>
    <row r="177" spans="1:6" x14ac:dyDescent="0.35">
      <c r="A177" s="22">
        <v>44740</v>
      </c>
      <c r="B177">
        <v>200.01</v>
      </c>
      <c r="C177">
        <v>200.01</v>
      </c>
      <c r="D177">
        <v>200.01</v>
      </c>
      <c r="E177">
        <v>200.01</v>
      </c>
      <c r="F177" s="23">
        <f t="shared" si="2"/>
        <v>-9.9985002249713706E-5</v>
      </c>
    </row>
    <row r="178" spans="1:6" x14ac:dyDescent="0.35">
      <c r="A178" s="22">
        <v>44741</v>
      </c>
      <c r="B178">
        <v>199</v>
      </c>
      <c r="C178">
        <v>199</v>
      </c>
      <c r="D178">
        <v>199</v>
      </c>
      <c r="E178">
        <v>199</v>
      </c>
      <c r="F178" s="23">
        <f t="shared" si="2"/>
        <v>-5.0497475126243235E-3</v>
      </c>
    </row>
    <row r="179" spans="1:6" x14ac:dyDescent="0.35">
      <c r="A179" s="22">
        <v>44742</v>
      </c>
      <c r="B179">
        <v>198.74</v>
      </c>
      <c r="C179">
        <v>198.74</v>
      </c>
      <c r="D179">
        <v>198.74</v>
      </c>
      <c r="E179">
        <v>198.74</v>
      </c>
      <c r="F179" s="23">
        <f t="shared" si="2"/>
        <v>-1.3065326633165371E-3</v>
      </c>
    </row>
    <row r="180" spans="1:6" x14ac:dyDescent="0.35">
      <c r="A180" s="22">
        <v>44743</v>
      </c>
      <c r="B180">
        <v>198.7</v>
      </c>
      <c r="C180">
        <v>198.7</v>
      </c>
      <c r="D180">
        <v>198.7</v>
      </c>
      <c r="E180">
        <v>198.7</v>
      </c>
      <c r="F180" s="23">
        <f t="shared" si="2"/>
        <v>-2.0126798832655963E-4</v>
      </c>
    </row>
    <row r="181" spans="1:6" x14ac:dyDescent="0.35">
      <c r="A181" s="22">
        <v>44746</v>
      </c>
      <c r="B181">
        <v>200.29</v>
      </c>
      <c r="C181">
        <v>200.29</v>
      </c>
      <c r="D181">
        <v>200.29</v>
      </c>
      <c r="E181">
        <v>200.29</v>
      </c>
      <c r="F181" s="23">
        <f t="shared" si="2"/>
        <v>8.0020130850528611E-3</v>
      </c>
    </row>
    <row r="182" spans="1:6" x14ac:dyDescent="0.35">
      <c r="A182" s="22">
        <v>44747</v>
      </c>
      <c r="B182">
        <v>200.13</v>
      </c>
      <c r="C182">
        <v>200.13</v>
      </c>
      <c r="D182">
        <v>200.13</v>
      </c>
      <c r="E182">
        <v>200.13</v>
      </c>
      <c r="F182" s="23">
        <f t="shared" si="2"/>
        <v>-7.9884167956461433E-4</v>
      </c>
    </row>
    <row r="183" spans="1:6" x14ac:dyDescent="0.35">
      <c r="A183" s="22">
        <v>44748</v>
      </c>
      <c r="B183">
        <v>202.91</v>
      </c>
      <c r="C183">
        <v>202.91</v>
      </c>
      <c r="D183">
        <v>202.91</v>
      </c>
      <c r="E183">
        <v>202.91</v>
      </c>
      <c r="F183" s="23">
        <f t="shared" si="2"/>
        <v>1.3890970868935199E-2</v>
      </c>
    </row>
    <row r="184" spans="1:6" x14ac:dyDescent="0.35">
      <c r="A184" s="22">
        <v>44749</v>
      </c>
      <c r="B184">
        <v>204.86</v>
      </c>
      <c r="C184">
        <v>204.86</v>
      </c>
      <c r="D184">
        <v>204.86</v>
      </c>
      <c r="E184">
        <v>204.86</v>
      </c>
      <c r="F184" s="23">
        <f t="shared" si="2"/>
        <v>9.6101719974373712E-3</v>
      </c>
    </row>
    <row r="185" spans="1:6" x14ac:dyDescent="0.35">
      <c r="A185" s="22">
        <v>44750</v>
      </c>
      <c r="B185">
        <v>205.81</v>
      </c>
      <c r="C185">
        <v>205.81</v>
      </c>
      <c r="D185">
        <v>205.81</v>
      </c>
      <c r="E185">
        <v>205.81</v>
      </c>
      <c r="F185" s="23">
        <f t="shared" si="2"/>
        <v>4.6373132871228573E-3</v>
      </c>
    </row>
    <row r="186" spans="1:6" x14ac:dyDescent="0.35">
      <c r="A186" s="22">
        <v>44753</v>
      </c>
      <c r="B186">
        <v>205.71</v>
      </c>
      <c r="C186">
        <v>205.71</v>
      </c>
      <c r="D186">
        <v>205.71</v>
      </c>
      <c r="E186">
        <v>205.71</v>
      </c>
      <c r="F186" s="23">
        <f t="shared" si="2"/>
        <v>-4.8588503959960308E-4</v>
      </c>
    </row>
    <row r="187" spans="1:6" x14ac:dyDescent="0.35">
      <c r="A187" s="22">
        <v>44754</v>
      </c>
      <c r="B187">
        <v>203.87</v>
      </c>
      <c r="C187">
        <v>203.87</v>
      </c>
      <c r="D187">
        <v>203.87</v>
      </c>
      <c r="E187">
        <v>203.87</v>
      </c>
      <c r="F187" s="23">
        <f t="shared" si="2"/>
        <v>-8.9446307909192713E-3</v>
      </c>
    </row>
    <row r="188" spans="1:6" x14ac:dyDescent="0.35">
      <c r="A188" s="22">
        <v>44755</v>
      </c>
      <c r="B188">
        <v>203.4</v>
      </c>
      <c r="C188">
        <v>203.4</v>
      </c>
      <c r="D188">
        <v>203.4</v>
      </c>
      <c r="E188">
        <v>203.4</v>
      </c>
      <c r="F188" s="23">
        <f t="shared" si="2"/>
        <v>-2.3053906901456755E-3</v>
      </c>
    </row>
    <row r="189" spans="1:6" x14ac:dyDescent="0.35">
      <c r="A189" s="22">
        <v>44756</v>
      </c>
      <c r="B189">
        <v>202.8</v>
      </c>
      <c r="C189">
        <v>202.8</v>
      </c>
      <c r="D189">
        <v>202.8</v>
      </c>
      <c r="E189">
        <v>202.8</v>
      </c>
      <c r="F189" s="23">
        <f t="shared" si="2"/>
        <v>-2.949852507374603E-3</v>
      </c>
    </row>
    <row r="190" spans="1:6" x14ac:dyDescent="0.35">
      <c r="A190" s="22">
        <v>44757</v>
      </c>
      <c r="B190">
        <v>204.47</v>
      </c>
      <c r="C190">
        <v>204.47</v>
      </c>
      <c r="D190">
        <v>204.47</v>
      </c>
      <c r="E190">
        <v>204.47</v>
      </c>
      <c r="F190" s="23">
        <f t="shared" si="2"/>
        <v>8.2347140039447115E-3</v>
      </c>
    </row>
    <row r="191" spans="1:6" x14ac:dyDescent="0.35">
      <c r="A191" s="22">
        <v>44760</v>
      </c>
      <c r="B191">
        <v>207.19</v>
      </c>
      <c r="C191">
        <v>207.19</v>
      </c>
      <c r="D191">
        <v>207.19</v>
      </c>
      <c r="E191">
        <v>207.19</v>
      </c>
      <c r="F191" s="23">
        <f t="shared" si="2"/>
        <v>1.3302684990463142E-2</v>
      </c>
    </row>
    <row r="192" spans="1:6" x14ac:dyDescent="0.35">
      <c r="A192" s="22">
        <v>44761</v>
      </c>
      <c r="B192">
        <v>208.05</v>
      </c>
      <c r="C192">
        <v>208.05</v>
      </c>
      <c r="D192">
        <v>208.05</v>
      </c>
      <c r="E192">
        <v>208.05</v>
      </c>
      <c r="F192" s="23">
        <f t="shared" si="2"/>
        <v>4.1507794777740897E-3</v>
      </c>
    </row>
    <row r="193" spans="1:6" x14ac:dyDescent="0.35">
      <c r="A193" s="22">
        <v>44762</v>
      </c>
      <c r="B193">
        <v>209.58</v>
      </c>
      <c r="C193">
        <v>209.58</v>
      </c>
      <c r="D193">
        <v>209.58</v>
      </c>
      <c r="E193">
        <v>209.58</v>
      </c>
      <c r="F193" s="23">
        <f t="shared" si="2"/>
        <v>7.3540014419610725E-3</v>
      </c>
    </row>
    <row r="194" spans="1:6" x14ac:dyDescent="0.35">
      <c r="A194" s="22">
        <v>44763</v>
      </c>
      <c r="B194">
        <v>211.08</v>
      </c>
      <c r="C194">
        <v>211.08</v>
      </c>
      <c r="D194">
        <v>211.08</v>
      </c>
      <c r="E194">
        <v>211.08</v>
      </c>
      <c r="F194" s="23">
        <f t="shared" si="2"/>
        <v>7.1571714858288003E-3</v>
      </c>
    </row>
    <row r="195" spans="1:6" x14ac:dyDescent="0.35">
      <c r="A195" s="22">
        <v>44764</v>
      </c>
      <c r="B195">
        <v>212.12</v>
      </c>
      <c r="C195">
        <v>212.12</v>
      </c>
      <c r="D195">
        <v>212.12</v>
      </c>
      <c r="E195">
        <v>212.12</v>
      </c>
      <c r="F195" s="23">
        <f t="shared" ref="F195:F258" si="3">(B195-B194)/B194</f>
        <v>4.9270418798559408E-3</v>
      </c>
    </row>
    <row r="196" spans="1:6" x14ac:dyDescent="0.35">
      <c r="A196" s="22">
        <v>44767</v>
      </c>
      <c r="B196">
        <v>212.24</v>
      </c>
      <c r="C196">
        <v>212.24</v>
      </c>
      <c r="D196">
        <v>212.24</v>
      </c>
      <c r="E196">
        <v>212.24</v>
      </c>
      <c r="F196" s="23">
        <f t="shared" si="3"/>
        <v>5.6571751838584074E-4</v>
      </c>
    </row>
    <row r="197" spans="1:6" x14ac:dyDescent="0.35">
      <c r="A197" s="22">
        <v>44768</v>
      </c>
      <c r="B197">
        <v>210.27</v>
      </c>
      <c r="C197">
        <v>210.27</v>
      </c>
      <c r="D197">
        <v>210.27</v>
      </c>
      <c r="E197">
        <v>210.27</v>
      </c>
      <c r="F197" s="23">
        <f t="shared" si="3"/>
        <v>-9.2819449679607934E-3</v>
      </c>
    </row>
    <row r="198" spans="1:6" x14ac:dyDescent="0.35">
      <c r="A198" s="22">
        <v>44769</v>
      </c>
      <c r="B198">
        <v>212.31</v>
      </c>
      <c r="C198">
        <v>212.31</v>
      </c>
      <c r="D198">
        <v>212.31</v>
      </c>
      <c r="E198">
        <v>212.31</v>
      </c>
      <c r="F198" s="23">
        <f t="shared" si="3"/>
        <v>9.7018119560564609E-3</v>
      </c>
    </row>
    <row r="199" spans="1:6" x14ac:dyDescent="0.35">
      <c r="A199" s="22">
        <v>44770</v>
      </c>
      <c r="B199">
        <v>215.09</v>
      </c>
      <c r="C199">
        <v>215.09</v>
      </c>
      <c r="D199">
        <v>215.09</v>
      </c>
      <c r="E199">
        <v>215.09</v>
      </c>
      <c r="F199" s="23">
        <f t="shared" si="3"/>
        <v>1.3094060571805384E-2</v>
      </c>
    </row>
    <row r="200" spans="1:6" x14ac:dyDescent="0.35">
      <c r="A200" s="22">
        <v>44771</v>
      </c>
      <c r="B200">
        <v>217.67</v>
      </c>
      <c r="C200">
        <v>217.67</v>
      </c>
      <c r="D200">
        <v>217.67</v>
      </c>
      <c r="E200">
        <v>217.67</v>
      </c>
      <c r="F200" s="23">
        <f t="shared" si="3"/>
        <v>1.1994978846064364E-2</v>
      </c>
    </row>
    <row r="201" spans="1:6" x14ac:dyDescent="0.35">
      <c r="A201" s="22">
        <v>44774</v>
      </c>
      <c r="B201">
        <v>220.11</v>
      </c>
      <c r="C201">
        <v>220.11</v>
      </c>
      <c r="D201">
        <v>220.11</v>
      </c>
      <c r="E201">
        <v>220.11</v>
      </c>
      <c r="F201" s="23">
        <f t="shared" si="3"/>
        <v>1.1209629255294833E-2</v>
      </c>
    </row>
    <row r="202" spans="1:6" x14ac:dyDescent="0.35">
      <c r="A202" s="22">
        <v>44775</v>
      </c>
      <c r="B202">
        <v>220.04</v>
      </c>
      <c r="C202">
        <v>220.04</v>
      </c>
      <c r="D202">
        <v>220.04</v>
      </c>
      <c r="E202">
        <v>220.04</v>
      </c>
      <c r="F202" s="23">
        <f t="shared" si="3"/>
        <v>-3.1802280677852707E-4</v>
      </c>
    </row>
    <row r="203" spans="1:6" x14ac:dyDescent="0.35">
      <c r="A203" s="22">
        <v>44776</v>
      </c>
      <c r="B203">
        <v>219.8</v>
      </c>
      <c r="C203">
        <v>219.8</v>
      </c>
      <c r="D203">
        <v>219.8</v>
      </c>
      <c r="E203">
        <v>219.8</v>
      </c>
      <c r="F203" s="23">
        <f t="shared" si="3"/>
        <v>-1.0907107798581199E-3</v>
      </c>
    </row>
    <row r="204" spans="1:6" x14ac:dyDescent="0.35">
      <c r="A204" s="22">
        <v>44777</v>
      </c>
      <c r="B204">
        <v>219.73</v>
      </c>
      <c r="C204">
        <v>219.73</v>
      </c>
      <c r="D204">
        <v>219.73</v>
      </c>
      <c r="E204">
        <v>219.73</v>
      </c>
      <c r="F204" s="23">
        <f t="shared" si="3"/>
        <v>-3.184713375797161E-4</v>
      </c>
    </row>
    <row r="205" spans="1:6" x14ac:dyDescent="0.35">
      <c r="A205" s="22">
        <v>44778</v>
      </c>
      <c r="B205">
        <v>220.08</v>
      </c>
      <c r="C205">
        <v>220.08</v>
      </c>
      <c r="D205">
        <v>220.08</v>
      </c>
      <c r="E205">
        <v>220.08</v>
      </c>
      <c r="F205" s="23">
        <f t="shared" si="3"/>
        <v>1.5928639694171153E-3</v>
      </c>
    </row>
    <row r="206" spans="1:6" x14ac:dyDescent="0.35">
      <c r="A206" s="22">
        <v>44781</v>
      </c>
      <c r="B206">
        <v>221.3</v>
      </c>
      <c r="C206">
        <v>221.3</v>
      </c>
      <c r="D206">
        <v>221.3</v>
      </c>
      <c r="E206">
        <v>221.3</v>
      </c>
      <c r="F206" s="23">
        <f t="shared" si="3"/>
        <v>5.5434387495456143E-3</v>
      </c>
    </row>
    <row r="207" spans="1:6" x14ac:dyDescent="0.35">
      <c r="A207" s="22">
        <v>44782</v>
      </c>
      <c r="B207">
        <v>221.3</v>
      </c>
      <c r="C207">
        <v>221.3</v>
      </c>
      <c r="D207">
        <v>221.3</v>
      </c>
      <c r="E207">
        <v>221.3</v>
      </c>
      <c r="F207" s="23">
        <f t="shared" si="3"/>
        <v>0</v>
      </c>
    </row>
    <row r="208" spans="1:6" x14ac:dyDescent="0.35">
      <c r="A208" s="22">
        <v>44783</v>
      </c>
      <c r="B208">
        <v>221.17</v>
      </c>
      <c r="C208">
        <v>221.17</v>
      </c>
      <c r="D208">
        <v>221.17</v>
      </c>
      <c r="E208">
        <v>221.17</v>
      </c>
      <c r="F208" s="23">
        <f t="shared" si="3"/>
        <v>-5.8743786714877478E-4</v>
      </c>
    </row>
    <row r="209" spans="1:6" x14ac:dyDescent="0.35">
      <c r="A209" s="22">
        <v>44784</v>
      </c>
      <c r="B209">
        <v>223.14</v>
      </c>
      <c r="C209">
        <v>223.14</v>
      </c>
      <c r="D209">
        <v>223.14</v>
      </c>
      <c r="E209">
        <v>223.14</v>
      </c>
      <c r="F209" s="23">
        <f t="shared" si="3"/>
        <v>8.9071754758782793E-3</v>
      </c>
    </row>
    <row r="210" spans="1:6" x14ac:dyDescent="0.35">
      <c r="A210" s="22">
        <v>44785</v>
      </c>
      <c r="B210">
        <v>223.34</v>
      </c>
      <c r="C210">
        <v>223.34</v>
      </c>
      <c r="D210">
        <v>223.34</v>
      </c>
      <c r="E210">
        <v>223.34</v>
      </c>
      <c r="F210" s="23">
        <f t="shared" si="3"/>
        <v>8.9629828807034624E-4</v>
      </c>
    </row>
    <row r="211" spans="1:6" x14ac:dyDescent="0.35">
      <c r="A211" s="22">
        <v>44788</v>
      </c>
      <c r="B211">
        <v>223.34</v>
      </c>
      <c r="C211">
        <v>223.34</v>
      </c>
      <c r="D211">
        <v>223.34</v>
      </c>
      <c r="E211">
        <v>223.34</v>
      </c>
      <c r="F211" s="23">
        <f t="shared" si="3"/>
        <v>0</v>
      </c>
    </row>
    <row r="212" spans="1:6" x14ac:dyDescent="0.35">
      <c r="A212" s="22">
        <v>44789</v>
      </c>
      <c r="B212">
        <v>225.31</v>
      </c>
      <c r="C212">
        <v>225.31</v>
      </c>
      <c r="D212">
        <v>225.31</v>
      </c>
      <c r="E212">
        <v>225.31</v>
      </c>
      <c r="F212" s="23">
        <f t="shared" si="3"/>
        <v>8.8206322199337276E-3</v>
      </c>
    </row>
    <row r="213" spans="1:6" x14ac:dyDescent="0.35">
      <c r="A213" s="22">
        <v>44790</v>
      </c>
      <c r="B213">
        <v>226.46</v>
      </c>
      <c r="C213">
        <v>226.46</v>
      </c>
      <c r="D213">
        <v>226.46</v>
      </c>
      <c r="E213">
        <v>226.46</v>
      </c>
      <c r="F213" s="23">
        <f t="shared" si="3"/>
        <v>5.1040788247303966E-3</v>
      </c>
    </row>
    <row r="214" spans="1:6" x14ac:dyDescent="0.35">
      <c r="A214" s="22">
        <v>44791</v>
      </c>
      <c r="B214">
        <v>226.53</v>
      </c>
      <c r="C214">
        <v>226.53</v>
      </c>
      <c r="D214">
        <v>226.53</v>
      </c>
      <c r="E214">
        <v>226.53</v>
      </c>
      <c r="F214" s="23">
        <f t="shared" si="3"/>
        <v>3.0910536077008379E-4</v>
      </c>
    </row>
    <row r="215" spans="1:6" x14ac:dyDescent="0.35">
      <c r="A215" s="22">
        <v>44792</v>
      </c>
      <c r="B215">
        <v>223.87</v>
      </c>
      <c r="C215">
        <v>223.87</v>
      </c>
      <c r="D215">
        <v>223.87</v>
      </c>
      <c r="E215">
        <v>223.87</v>
      </c>
      <c r="F215" s="23">
        <f t="shared" si="3"/>
        <v>-1.1742374078488485E-2</v>
      </c>
    </row>
    <row r="216" spans="1:6" x14ac:dyDescent="0.35">
      <c r="A216" s="22">
        <v>44795</v>
      </c>
      <c r="B216">
        <v>220.62</v>
      </c>
      <c r="C216">
        <v>220.62</v>
      </c>
      <c r="D216">
        <v>220.62</v>
      </c>
      <c r="E216">
        <v>220.62</v>
      </c>
      <c r="F216" s="23">
        <f t="shared" si="3"/>
        <v>-1.4517353821414213E-2</v>
      </c>
    </row>
    <row r="217" spans="1:6" x14ac:dyDescent="0.35">
      <c r="A217" s="22">
        <v>44796</v>
      </c>
      <c r="B217">
        <v>222.03</v>
      </c>
      <c r="C217">
        <v>222.03</v>
      </c>
      <c r="D217">
        <v>222.03</v>
      </c>
      <c r="E217">
        <v>222.03</v>
      </c>
      <c r="F217" s="23">
        <f t="shared" si="3"/>
        <v>6.3910796845254129E-3</v>
      </c>
    </row>
    <row r="218" spans="1:6" x14ac:dyDescent="0.35">
      <c r="A218" s="22">
        <v>44797</v>
      </c>
      <c r="B218">
        <v>222.73</v>
      </c>
      <c r="C218">
        <v>222.73</v>
      </c>
      <c r="D218">
        <v>222.73</v>
      </c>
      <c r="E218">
        <v>222.73</v>
      </c>
      <c r="F218" s="23">
        <f t="shared" si="3"/>
        <v>3.1527271089491901E-3</v>
      </c>
    </row>
    <row r="219" spans="1:6" x14ac:dyDescent="0.35">
      <c r="A219" s="22">
        <v>44798</v>
      </c>
      <c r="B219">
        <v>221.96</v>
      </c>
      <c r="C219">
        <v>221.96</v>
      </c>
      <c r="D219">
        <v>221.96</v>
      </c>
      <c r="E219">
        <v>221.96</v>
      </c>
      <c r="F219" s="23">
        <f t="shared" si="3"/>
        <v>-3.4571005252996088E-3</v>
      </c>
    </row>
    <row r="220" spans="1:6" x14ac:dyDescent="0.35">
      <c r="A220" s="22">
        <v>44799</v>
      </c>
      <c r="B220">
        <v>222.47</v>
      </c>
      <c r="C220">
        <v>222.47</v>
      </c>
      <c r="D220">
        <v>222.47</v>
      </c>
      <c r="E220">
        <v>222.47</v>
      </c>
      <c r="F220" s="23">
        <f t="shared" si="3"/>
        <v>2.297711299333172E-3</v>
      </c>
    </row>
    <row r="221" spans="1:6" x14ac:dyDescent="0.35">
      <c r="A221" s="22">
        <v>44802</v>
      </c>
      <c r="B221">
        <v>220.06</v>
      </c>
      <c r="C221">
        <v>220.06</v>
      </c>
      <c r="D221">
        <v>220.06</v>
      </c>
      <c r="E221">
        <v>220.06</v>
      </c>
      <c r="F221" s="23">
        <f t="shared" si="3"/>
        <v>-1.0832921292758559E-2</v>
      </c>
    </row>
    <row r="222" spans="1:6" x14ac:dyDescent="0.35">
      <c r="A222" s="22">
        <v>44803</v>
      </c>
      <c r="B222">
        <v>225.07</v>
      </c>
      <c r="C222">
        <v>225.07</v>
      </c>
      <c r="D222">
        <v>225.07</v>
      </c>
      <c r="E222">
        <v>225.07</v>
      </c>
      <c r="F222" s="23">
        <f t="shared" si="3"/>
        <v>2.2766518222302967E-2</v>
      </c>
    </row>
    <row r="223" spans="1:6" x14ac:dyDescent="0.35">
      <c r="A223" s="22">
        <v>44804</v>
      </c>
      <c r="B223">
        <v>225.07</v>
      </c>
      <c r="C223">
        <v>225.07</v>
      </c>
      <c r="D223">
        <v>225.07</v>
      </c>
      <c r="E223">
        <v>225.07</v>
      </c>
      <c r="F223" s="23">
        <f t="shared" si="3"/>
        <v>0</v>
      </c>
    </row>
    <row r="224" spans="1:6" x14ac:dyDescent="0.35">
      <c r="A224" s="22">
        <v>44805</v>
      </c>
      <c r="B224">
        <v>223.82</v>
      </c>
      <c r="C224">
        <v>223.82</v>
      </c>
      <c r="D224">
        <v>223.82</v>
      </c>
      <c r="E224">
        <v>223.82</v>
      </c>
      <c r="F224" s="23">
        <f t="shared" si="3"/>
        <v>-5.5538276980494957E-3</v>
      </c>
    </row>
    <row r="225" spans="1:6" x14ac:dyDescent="0.35">
      <c r="A225" s="22">
        <v>44806</v>
      </c>
      <c r="B225">
        <v>223.73</v>
      </c>
      <c r="C225">
        <v>223.73</v>
      </c>
      <c r="D225">
        <v>223.73</v>
      </c>
      <c r="E225">
        <v>223.73</v>
      </c>
      <c r="F225" s="23">
        <f t="shared" si="3"/>
        <v>-4.0210883745868739E-4</v>
      </c>
    </row>
    <row r="226" spans="1:6" x14ac:dyDescent="0.35">
      <c r="A226" s="22">
        <v>44809</v>
      </c>
      <c r="B226">
        <v>224.83</v>
      </c>
      <c r="C226">
        <v>224.83</v>
      </c>
      <c r="D226">
        <v>224.83</v>
      </c>
      <c r="E226">
        <v>224.83</v>
      </c>
      <c r="F226" s="23">
        <f t="shared" si="3"/>
        <v>4.9166405935727117E-3</v>
      </c>
    </row>
    <row r="227" spans="1:6" x14ac:dyDescent="0.35">
      <c r="A227" s="22">
        <v>44810</v>
      </c>
      <c r="B227">
        <v>224.67</v>
      </c>
      <c r="C227">
        <v>224.67</v>
      </c>
      <c r="D227">
        <v>224.67</v>
      </c>
      <c r="E227">
        <v>224.67</v>
      </c>
      <c r="F227" s="23">
        <f t="shared" si="3"/>
        <v>-7.1164880131666152E-4</v>
      </c>
    </row>
    <row r="228" spans="1:6" x14ac:dyDescent="0.35">
      <c r="A228" s="22">
        <v>44811</v>
      </c>
      <c r="B228">
        <v>224.65</v>
      </c>
      <c r="C228">
        <v>224.65</v>
      </c>
      <c r="D228">
        <v>224.65</v>
      </c>
      <c r="E228">
        <v>224.65</v>
      </c>
      <c r="F228" s="23">
        <f t="shared" si="3"/>
        <v>-8.9019450749907921E-5</v>
      </c>
    </row>
    <row r="229" spans="1:6" x14ac:dyDescent="0.35">
      <c r="A229" s="22">
        <v>44812</v>
      </c>
      <c r="B229">
        <v>226.41</v>
      </c>
      <c r="C229">
        <v>226.41</v>
      </c>
      <c r="D229">
        <v>226.41</v>
      </c>
      <c r="E229">
        <v>226.41</v>
      </c>
      <c r="F229" s="23">
        <f t="shared" si="3"/>
        <v>7.8344090807923022E-3</v>
      </c>
    </row>
    <row r="230" spans="1:6" x14ac:dyDescent="0.35">
      <c r="A230" s="22">
        <v>44813</v>
      </c>
      <c r="B230">
        <v>227.19</v>
      </c>
      <c r="C230">
        <v>227.19</v>
      </c>
      <c r="D230">
        <v>227.19</v>
      </c>
      <c r="E230">
        <v>227.19</v>
      </c>
      <c r="F230" s="23">
        <f t="shared" si="3"/>
        <v>3.4450775142440757E-3</v>
      </c>
    </row>
    <row r="231" spans="1:6" x14ac:dyDescent="0.35">
      <c r="A231" s="22">
        <v>44816</v>
      </c>
      <c r="B231">
        <v>229.09</v>
      </c>
      <c r="C231">
        <v>229.09</v>
      </c>
      <c r="D231">
        <v>229.09</v>
      </c>
      <c r="E231">
        <v>229.09</v>
      </c>
      <c r="F231" s="23">
        <f t="shared" si="3"/>
        <v>8.3630441480699227E-3</v>
      </c>
    </row>
    <row r="232" spans="1:6" x14ac:dyDescent="0.35">
      <c r="A232" s="22">
        <v>44817</v>
      </c>
      <c r="B232">
        <v>230.3</v>
      </c>
      <c r="C232">
        <v>230.3</v>
      </c>
      <c r="D232">
        <v>230.3</v>
      </c>
      <c r="E232">
        <v>230.3</v>
      </c>
      <c r="F232" s="23">
        <f t="shared" si="3"/>
        <v>5.2817669911388882E-3</v>
      </c>
    </row>
    <row r="233" spans="1:6" x14ac:dyDescent="0.35">
      <c r="A233" s="22">
        <v>44818</v>
      </c>
      <c r="B233">
        <v>229.77</v>
      </c>
      <c r="C233">
        <v>229.77</v>
      </c>
      <c r="D233">
        <v>229.77</v>
      </c>
      <c r="E233">
        <v>229.77</v>
      </c>
      <c r="F233" s="23">
        <f t="shared" si="3"/>
        <v>-2.3013460703430358E-3</v>
      </c>
    </row>
    <row r="234" spans="1:6" x14ac:dyDescent="0.35">
      <c r="A234" s="22">
        <v>44819</v>
      </c>
      <c r="B234">
        <v>229.26</v>
      </c>
      <c r="C234">
        <v>229.26</v>
      </c>
      <c r="D234">
        <v>229.26</v>
      </c>
      <c r="E234">
        <v>229.26</v>
      </c>
      <c r="F234" s="23">
        <f t="shared" si="3"/>
        <v>-2.2196109152631733E-3</v>
      </c>
    </row>
    <row r="235" spans="1:6" x14ac:dyDescent="0.35">
      <c r="A235" s="22">
        <v>44820</v>
      </c>
      <c r="B235">
        <v>224.52</v>
      </c>
      <c r="C235">
        <v>224.52</v>
      </c>
      <c r="D235">
        <v>224.52</v>
      </c>
      <c r="E235">
        <v>224.52</v>
      </c>
      <c r="F235" s="23">
        <f t="shared" si="3"/>
        <v>-2.067521591206482E-2</v>
      </c>
    </row>
    <row r="236" spans="1:6" x14ac:dyDescent="0.35">
      <c r="A236" s="22">
        <v>44823</v>
      </c>
      <c r="B236">
        <v>224.92</v>
      </c>
      <c r="C236">
        <v>224.92</v>
      </c>
      <c r="D236">
        <v>224.92</v>
      </c>
      <c r="E236">
        <v>224.92</v>
      </c>
      <c r="F236" s="23">
        <f t="shared" si="3"/>
        <v>1.781578478531878E-3</v>
      </c>
    </row>
    <row r="237" spans="1:6" x14ac:dyDescent="0.35">
      <c r="A237" s="22">
        <v>44824</v>
      </c>
      <c r="B237">
        <v>227.2</v>
      </c>
      <c r="C237">
        <v>227.2</v>
      </c>
      <c r="D237">
        <v>227.2</v>
      </c>
      <c r="E237">
        <v>227.2</v>
      </c>
      <c r="F237" s="23">
        <f t="shared" si="3"/>
        <v>1.0136937577805448E-2</v>
      </c>
    </row>
    <row r="238" spans="1:6" x14ac:dyDescent="0.35">
      <c r="A238" s="22">
        <v>44825</v>
      </c>
      <c r="B238">
        <v>225.78</v>
      </c>
      <c r="C238">
        <v>225.78</v>
      </c>
      <c r="D238">
        <v>225.78</v>
      </c>
      <c r="E238">
        <v>225.78</v>
      </c>
      <c r="F238" s="23">
        <f t="shared" si="3"/>
        <v>-6.2499999999999457E-3</v>
      </c>
    </row>
    <row r="239" spans="1:6" x14ac:dyDescent="0.35">
      <c r="A239" s="22">
        <v>44826</v>
      </c>
      <c r="B239">
        <v>225.4</v>
      </c>
      <c r="C239">
        <v>225.4</v>
      </c>
      <c r="D239">
        <v>225.4</v>
      </c>
      <c r="E239">
        <v>225.4</v>
      </c>
      <c r="F239" s="23">
        <f t="shared" si="3"/>
        <v>-1.683054300646627E-3</v>
      </c>
    </row>
    <row r="240" spans="1:6" x14ac:dyDescent="0.35">
      <c r="A240" s="22">
        <v>44827</v>
      </c>
      <c r="B240">
        <v>221.19</v>
      </c>
      <c r="C240">
        <v>221.19</v>
      </c>
      <c r="D240">
        <v>221.19</v>
      </c>
      <c r="E240">
        <v>221.19</v>
      </c>
      <c r="F240" s="23">
        <f t="shared" si="3"/>
        <v>-1.8677905944986726E-2</v>
      </c>
    </row>
    <row r="241" spans="1:6" x14ac:dyDescent="0.35">
      <c r="A241" s="22">
        <v>44830</v>
      </c>
      <c r="B241">
        <v>216.67</v>
      </c>
      <c r="C241">
        <v>216.67</v>
      </c>
      <c r="D241">
        <v>216.67</v>
      </c>
      <c r="E241">
        <v>216.67</v>
      </c>
      <c r="F241" s="23">
        <f t="shared" si="3"/>
        <v>-2.0434920204349248E-2</v>
      </c>
    </row>
    <row r="242" spans="1:6" x14ac:dyDescent="0.35">
      <c r="A242" s="22">
        <v>44831</v>
      </c>
      <c r="B242">
        <v>216.77</v>
      </c>
      <c r="C242">
        <v>216.77</v>
      </c>
      <c r="D242">
        <v>216.77</v>
      </c>
      <c r="E242">
        <v>216.77</v>
      </c>
      <c r="F242" s="23">
        <f t="shared" si="3"/>
        <v>4.6153136105608872E-4</v>
      </c>
    </row>
    <row r="243" spans="1:6" x14ac:dyDescent="0.35">
      <c r="A243" s="22">
        <v>44832</v>
      </c>
      <c r="B243">
        <v>215.27</v>
      </c>
      <c r="C243">
        <v>215.27</v>
      </c>
      <c r="D243">
        <v>215.27</v>
      </c>
      <c r="E243">
        <v>215.27</v>
      </c>
      <c r="F243" s="23">
        <f t="shared" si="3"/>
        <v>-6.919776721871107E-3</v>
      </c>
    </row>
    <row r="244" spans="1:6" x14ac:dyDescent="0.35">
      <c r="A244" s="22">
        <v>44833</v>
      </c>
      <c r="B244">
        <v>215.31</v>
      </c>
      <c r="C244">
        <v>215.31</v>
      </c>
      <c r="D244">
        <v>215.31</v>
      </c>
      <c r="E244">
        <v>215.31</v>
      </c>
      <c r="F244" s="23">
        <f t="shared" si="3"/>
        <v>1.8581316486269354E-4</v>
      </c>
    </row>
    <row r="245" spans="1:6" x14ac:dyDescent="0.35">
      <c r="A245" s="22">
        <v>44834</v>
      </c>
      <c r="B245">
        <v>218.67</v>
      </c>
      <c r="C245">
        <v>218.67</v>
      </c>
      <c r="D245">
        <v>218.67</v>
      </c>
      <c r="E245">
        <v>218.67</v>
      </c>
      <c r="F245" s="23">
        <f t="shared" si="3"/>
        <v>1.5605406158562004E-2</v>
      </c>
    </row>
    <row r="246" spans="1:6" x14ac:dyDescent="0.35">
      <c r="A246" s="22">
        <v>44837</v>
      </c>
      <c r="B246">
        <v>216</v>
      </c>
      <c r="C246">
        <v>216</v>
      </c>
      <c r="D246">
        <v>216</v>
      </c>
      <c r="E246">
        <v>216</v>
      </c>
      <c r="F246" s="23">
        <f t="shared" si="3"/>
        <v>-1.2210179722870022E-2</v>
      </c>
    </row>
    <row r="247" spans="1:6" x14ac:dyDescent="0.35">
      <c r="A247" s="22">
        <v>44838</v>
      </c>
      <c r="B247">
        <v>220.22</v>
      </c>
      <c r="C247">
        <v>220.22</v>
      </c>
      <c r="D247">
        <v>220.22</v>
      </c>
      <c r="E247">
        <v>220.22</v>
      </c>
      <c r="F247" s="23">
        <f t="shared" si="3"/>
        <v>1.9537037037037033E-2</v>
      </c>
    </row>
    <row r="248" spans="1:6" x14ac:dyDescent="0.35">
      <c r="A248" s="22">
        <v>44839</v>
      </c>
      <c r="B248">
        <v>220.22</v>
      </c>
      <c r="C248">
        <v>220.22</v>
      </c>
      <c r="D248">
        <v>220.22</v>
      </c>
      <c r="E248">
        <v>220.22</v>
      </c>
      <c r="F248" s="23">
        <f t="shared" si="3"/>
        <v>0</v>
      </c>
    </row>
    <row r="249" spans="1:6" x14ac:dyDescent="0.35">
      <c r="A249" s="22">
        <v>44840</v>
      </c>
      <c r="B249">
        <v>221.26</v>
      </c>
      <c r="C249">
        <v>221.26</v>
      </c>
      <c r="D249">
        <v>221.26</v>
      </c>
      <c r="E249">
        <v>221.26</v>
      </c>
      <c r="F249" s="23">
        <f t="shared" si="3"/>
        <v>4.7225501770955958E-3</v>
      </c>
    </row>
    <row r="250" spans="1:6" x14ac:dyDescent="0.35">
      <c r="A250" s="22">
        <v>44841</v>
      </c>
      <c r="B250">
        <v>221.1</v>
      </c>
      <c r="C250">
        <v>221.1</v>
      </c>
      <c r="D250">
        <v>221.1</v>
      </c>
      <c r="E250">
        <v>221.1</v>
      </c>
      <c r="F250" s="23">
        <f t="shared" si="3"/>
        <v>-7.2313115791375121E-4</v>
      </c>
    </row>
    <row r="251" spans="1:6" x14ac:dyDescent="0.35">
      <c r="A251" s="22">
        <v>44844</v>
      </c>
      <c r="B251">
        <v>220.24</v>
      </c>
      <c r="C251">
        <v>220.24</v>
      </c>
      <c r="D251">
        <v>220.24</v>
      </c>
      <c r="E251">
        <v>220.24</v>
      </c>
      <c r="F251" s="23">
        <f t="shared" si="3"/>
        <v>-3.8896426956127783E-3</v>
      </c>
    </row>
    <row r="252" spans="1:6" x14ac:dyDescent="0.35">
      <c r="A252" s="22">
        <v>44845</v>
      </c>
      <c r="B252">
        <v>217.34</v>
      </c>
      <c r="C252">
        <v>217.34</v>
      </c>
      <c r="D252">
        <v>217.34</v>
      </c>
      <c r="E252">
        <v>217.34</v>
      </c>
      <c r="F252" s="23">
        <f t="shared" si="3"/>
        <v>-1.3167453686887057E-2</v>
      </c>
    </row>
    <row r="253" spans="1:6" x14ac:dyDescent="0.35">
      <c r="A253" s="22">
        <v>44846</v>
      </c>
      <c r="B253">
        <v>218.92</v>
      </c>
      <c r="C253">
        <v>218.92</v>
      </c>
      <c r="D253">
        <v>218.92</v>
      </c>
      <c r="E253">
        <v>218.92</v>
      </c>
      <c r="F253" s="23">
        <f t="shared" si="3"/>
        <v>7.2697156528940101E-3</v>
      </c>
    </row>
    <row r="254" spans="1:6" x14ac:dyDescent="0.35">
      <c r="A254" s="22">
        <v>44847</v>
      </c>
      <c r="B254">
        <v>217.34</v>
      </c>
      <c r="C254">
        <v>217.34</v>
      </c>
      <c r="D254">
        <v>217.34</v>
      </c>
      <c r="E254">
        <v>217.34</v>
      </c>
      <c r="F254" s="23">
        <f t="shared" si="3"/>
        <v>-7.2172483098848174E-3</v>
      </c>
    </row>
    <row r="255" spans="1:6" x14ac:dyDescent="0.35">
      <c r="A255" s="22">
        <v>44848</v>
      </c>
      <c r="B255">
        <v>218.68</v>
      </c>
      <c r="C255">
        <v>218.68</v>
      </c>
      <c r="D255">
        <v>218.68</v>
      </c>
      <c r="E255">
        <v>218.68</v>
      </c>
      <c r="F255" s="23">
        <f t="shared" si="3"/>
        <v>6.1654550473911997E-3</v>
      </c>
    </row>
    <row r="256" spans="1:6" x14ac:dyDescent="0.35">
      <c r="A256" s="22">
        <v>44851</v>
      </c>
      <c r="B256">
        <v>219.83</v>
      </c>
      <c r="C256">
        <v>219.83</v>
      </c>
      <c r="D256">
        <v>219.83</v>
      </c>
      <c r="E256">
        <v>219.83</v>
      </c>
      <c r="F256" s="23">
        <f t="shared" si="3"/>
        <v>5.2588256813609182E-3</v>
      </c>
    </row>
    <row r="257" spans="1:6" x14ac:dyDescent="0.35">
      <c r="A257" s="22">
        <v>44852</v>
      </c>
      <c r="B257">
        <v>221.82</v>
      </c>
      <c r="C257">
        <v>221.82</v>
      </c>
      <c r="D257">
        <v>221.82</v>
      </c>
      <c r="E257">
        <v>221.82</v>
      </c>
      <c r="F257" s="23">
        <f t="shared" si="3"/>
        <v>9.0524496201609458E-3</v>
      </c>
    </row>
    <row r="258" spans="1:6" x14ac:dyDescent="0.35">
      <c r="A258" s="22">
        <v>44853</v>
      </c>
      <c r="B258">
        <v>221.87</v>
      </c>
      <c r="C258">
        <v>221.87</v>
      </c>
      <c r="D258">
        <v>221.87</v>
      </c>
      <c r="E258">
        <v>221.87</v>
      </c>
      <c r="F258" s="23">
        <f t="shared" si="3"/>
        <v>2.2540798845916224E-4</v>
      </c>
    </row>
    <row r="259" spans="1:6" x14ac:dyDescent="0.35">
      <c r="A259" s="22">
        <v>44854</v>
      </c>
      <c r="B259">
        <v>221.97</v>
      </c>
      <c r="C259">
        <v>221.97</v>
      </c>
      <c r="D259">
        <v>221.97</v>
      </c>
      <c r="E259">
        <v>221.97</v>
      </c>
      <c r="F259" s="23">
        <f t="shared" ref="F259:F322" si="4">(B259-B258)/B258</f>
        <v>4.5071438229591341E-4</v>
      </c>
    </row>
    <row r="260" spans="1:6" x14ac:dyDescent="0.35">
      <c r="A260" s="22">
        <v>44855</v>
      </c>
      <c r="B260">
        <v>222.24</v>
      </c>
      <c r="C260">
        <v>222.24</v>
      </c>
      <c r="D260">
        <v>222.24</v>
      </c>
      <c r="E260">
        <v>222.24</v>
      </c>
      <c r="F260" s="23">
        <f t="shared" si="4"/>
        <v>1.2163805919719341E-3</v>
      </c>
    </row>
    <row r="261" spans="1:6" x14ac:dyDescent="0.35">
      <c r="A261" s="22">
        <v>44858</v>
      </c>
      <c r="B261">
        <v>222.24</v>
      </c>
      <c r="C261">
        <v>222.24</v>
      </c>
      <c r="D261">
        <v>222.24</v>
      </c>
      <c r="E261">
        <v>222.24</v>
      </c>
      <c r="F261" s="23">
        <f t="shared" si="4"/>
        <v>0</v>
      </c>
    </row>
    <row r="262" spans="1:6" x14ac:dyDescent="0.35">
      <c r="A262" s="22">
        <v>44859</v>
      </c>
      <c r="B262">
        <v>223.5</v>
      </c>
      <c r="C262">
        <v>223.5</v>
      </c>
      <c r="D262">
        <v>223.5</v>
      </c>
      <c r="E262">
        <v>223.5</v>
      </c>
      <c r="F262" s="23">
        <f t="shared" si="4"/>
        <v>5.669546436285056E-3</v>
      </c>
    </row>
    <row r="263" spans="1:6" x14ac:dyDescent="0.35">
      <c r="A263" s="22">
        <v>44860</v>
      </c>
      <c r="B263">
        <v>223.5</v>
      </c>
      <c r="C263">
        <v>223.5</v>
      </c>
      <c r="D263">
        <v>223.5</v>
      </c>
      <c r="E263">
        <v>223.5</v>
      </c>
      <c r="F263" s="23">
        <f t="shared" si="4"/>
        <v>0</v>
      </c>
    </row>
    <row r="264" spans="1:6" x14ac:dyDescent="0.35">
      <c r="A264" s="22">
        <v>44861</v>
      </c>
      <c r="B264">
        <v>224.38</v>
      </c>
      <c r="C264">
        <v>224.38</v>
      </c>
      <c r="D264">
        <v>224.38</v>
      </c>
      <c r="E264">
        <v>224.38</v>
      </c>
      <c r="F264" s="23">
        <f t="shared" si="4"/>
        <v>3.9373601789708971E-3</v>
      </c>
    </row>
    <row r="265" spans="1:6" x14ac:dyDescent="0.35">
      <c r="A265" s="22">
        <v>44862</v>
      </c>
      <c r="B265">
        <v>224.19</v>
      </c>
      <c r="C265">
        <v>224.19</v>
      </c>
      <c r="D265">
        <v>224.19</v>
      </c>
      <c r="E265">
        <v>224.19</v>
      </c>
      <c r="F265" s="23">
        <f t="shared" si="4"/>
        <v>-8.4677778768160142E-4</v>
      </c>
    </row>
    <row r="266" spans="1:6" x14ac:dyDescent="0.35">
      <c r="A266" s="22">
        <v>44865</v>
      </c>
      <c r="B266">
        <v>226.89</v>
      </c>
      <c r="C266">
        <v>226.89</v>
      </c>
      <c r="D266">
        <v>226.89</v>
      </c>
      <c r="E266">
        <v>226.89</v>
      </c>
      <c r="F266" s="23">
        <f t="shared" si="4"/>
        <v>1.204335608189477E-2</v>
      </c>
    </row>
    <row r="267" spans="1:6" x14ac:dyDescent="0.35">
      <c r="A267" s="22">
        <v>44866</v>
      </c>
      <c r="B267">
        <v>228.27</v>
      </c>
      <c r="C267">
        <v>228.27</v>
      </c>
      <c r="D267">
        <v>228.27</v>
      </c>
      <c r="E267">
        <v>228.27</v>
      </c>
      <c r="F267" s="23">
        <f t="shared" si="4"/>
        <v>6.0822424963639828E-3</v>
      </c>
    </row>
    <row r="268" spans="1:6" x14ac:dyDescent="0.35">
      <c r="A268" s="22">
        <v>44867</v>
      </c>
      <c r="B268">
        <v>227.53</v>
      </c>
      <c r="C268">
        <v>227.53</v>
      </c>
      <c r="D268">
        <v>227.53</v>
      </c>
      <c r="E268">
        <v>227.53</v>
      </c>
      <c r="F268" s="23">
        <f t="shared" si="4"/>
        <v>-3.2417750909011656E-3</v>
      </c>
    </row>
    <row r="269" spans="1:6" x14ac:dyDescent="0.35">
      <c r="A269" s="22">
        <v>44868</v>
      </c>
      <c r="B269">
        <v>227.23</v>
      </c>
      <c r="C269">
        <v>227.23</v>
      </c>
      <c r="D269">
        <v>227.23</v>
      </c>
      <c r="E269">
        <v>227.23</v>
      </c>
      <c r="F269" s="23">
        <f t="shared" si="4"/>
        <v>-1.31850744956714E-3</v>
      </c>
    </row>
    <row r="270" spans="1:6" x14ac:dyDescent="0.35">
      <c r="A270" s="22">
        <v>44869</v>
      </c>
      <c r="B270">
        <v>227.22</v>
      </c>
      <c r="C270">
        <v>227.22</v>
      </c>
      <c r="D270">
        <v>227.22</v>
      </c>
      <c r="E270">
        <v>227.22</v>
      </c>
      <c r="F270" s="23">
        <f t="shared" si="4"/>
        <v>-4.40082735553884E-5</v>
      </c>
    </row>
    <row r="271" spans="1:6" x14ac:dyDescent="0.35">
      <c r="A271" s="22">
        <v>44872</v>
      </c>
      <c r="B271">
        <v>228.41</v>
      </c>
      <c r="C271">
        <v>228.41</v>
      </c>
      <c r="D271">
        <v>228.41</v>
      </c>
      <c r="E271">
        <v>228.41</v>
      </c>
      <c r="F271" s="23">
        <f t="shared" si="4"/>
        <v>5.2372150338878517E-3</v>
      </c>
    </row>
    <row r="272" spans="1:6" x14ac:dyDescent="0.35">
      <c r="A272" s="22">
        <v>44873</v>
      </c>
      <c r="B272">
        <v>228.41</v>
      </c>
      <c r="C272">
        <v>228.41</v>
      </c>
      <c r="D272">
        <v>228.41</v>
      </c>
      <c r="E272">
        <v>228.41</v>
      </c>
      <c r="F272" s="23">
        <f t="shared" si="4"/>
        <v>0</v>
      </c>
    </row>
    <row r="273" spans="1:6" x14ac:dyDescent="0.35">
      <c r="A273" s="22">
        <v>44874</v>
      </c>
      <c r="B273">
        <v>227.59</v>
      </c>
      <c r="C273">
        <v>227.59</v>
      </c>
      <c r="D273">
        <v>227.59</v>
      </c>
      <c r="E273">
        <v>227.59</v>
      </c>
      <c r="F273" s="23">
        <f t="shared" si="4"/>
        <v>-3.5900354625453927E-3</v>
      </c>
    </row>
    <row r="274" spans="1:6" x14ac:dyDescent="0.35">
      <c r="A274" s="22">
        <v>44875</v>
      </c>
      <c r="B274">
        <v>225.97</v>
      </c>
      <c r="C274">
        <v>225.97</v>
      </c>
      <c r="D274">
        <v>225.97</v>
      </c>
      <c r="E274">
        <v>225.97</v>
      </c>
      <c r="F274" s="23">
        <f t="shared" si="4"/>
        <v>-7.1180631837954415E-3</v>
      </c>
    </row>
    <row r="275" spans="1:6" x14ac:dyDescent="0.35">
      <c r="A275" s="22">
        <v>44876</v>
      </c>
      <c r="B275">
        <v>228.21</v>
      </c>
      <c r="C275">
        <v>228.21</v>
      </c>
      <c r="D275">
        <v>228.21</v>
      </c>
      <c r="E275">
        <v>228.21</v>
      </c>
      <c r="F275" s="23">
        <f t="shared" si="4"/>
        <v>9.9128202858786967E-3</v>
      </c>
    </row>
    <row r="276" spans="1:6" x14ac:dyDescent="0.35">
      <c r="A276" s="22">
        <v>44879</v>
      </c>
      <c r="B276">
        <v>227.9</v>
      </c>
      <c r="C276">
        <v>227.9</v>
      </c>
      <c r="D276">
        <v>227.9</v>
      </c>
      <c r="E276">
        <v>227.9</v>
      </c>
      <c r="F276" s="23">
        <f t="shared" si="4"/>
        <v>-1.3583979667849886E-3</v>
      </c>
    </row>
    <row r="277" spans="1:6" x14ac:dyDescent="0.35">
      <c r="A277" s="22">
        <v>44880</v>
      </c>
      <c r="B277">
        <v>228.68</v>
      </c>
      <c r="C277">
        <v>228.68</v>
      </c>
      <c r="D277">
        <v>228.68</v>
      </c>
      <c r="E277">
        <v>228.68</v>
      </c>
      <c r="F277" s="23">
        <f t="shared" si="4"/>
        <v>3.4225537516454634E-3</v>
      </c>
    </row>
    <row r="278" spans="1:6" x14ac:dyDescent="0.35">
      <c r="A278" s="22">
        <v>44881</v>
      </c>
      <c r="B278">
        <v>228.6</v>
      </c>
      <c r="C278">
        <v>228.6</v>
      </c>
      <c r="D278">
        <v>228.6</v>
      </c>
      <c r="E278">
        <v>228.6</v>
      </c>
      <c r="F278" s="23">
        <f t="shared" si="4"/>
        <v>-3.4983382893131234E-4</v>
      </c>
    </row>
    <row r="279" spans="1:6" x14ac:dyDescent="0.35">
      <c r="A279" s="22">
        <v>44882</v>
      </c>
      <c r="B279">
        <v>228.01</v>
      </c>
      <c r="C279">
        <v>228.01</v>
      </c>
      <c r="D279">
        <v>228.01</v>
      </c>
      <c r="E279">
        <v>228.01</v>
      </c>
      <c r="F279" s="23">
        <f t="shared" si="4"/>
        <v>-2.5809273840770052E-3</v>
      </c>
    </row>
    <row r="280" spans="1:6" x14ac:dyDescent="0.35">
      <c r="A280" s="22">
        <v>44883</v>
      </c>
      <c r="B280">
        <v>227.5</v>
      </c>
      <c r="C280">
        <v>227.5</v>
      </c>
      <c r="D280">
        <v>227.5</v>
      </c>
      <c r="E280">
        <v>227.5</v>
      </c>
      <c r="F280" s="23">
        <f t="shared" si="4"/>
        <v>-2.236744002455993E-3</v>
      </c>
    </row>
    <row r="281" spans="1:6" x14ac:dyDescent="0.35">
      <c r="A281" s="22">
        <v>44886</v>
      </c>
      <c r="B281">
        <v>226.68</v>
      </c>
      <c r="C281">
        <v>226.68</v>
      </c>
      <c r="D281">
        <v>226.68</v>
      </c>
      <c r="E281">
        <v>226.68</v>
      </c>
      <c r="F281" s="23">
        <f t="shared" si="4"/>
        <v>-3.6043956043955742E-3</v>
      </c>
    </row>
    <row r="282" spans="1:6" x14ac:dyDescent="0.35">
      <c r="A282" s="22">
        <v>44887</v>
      </c>
      <c r="B282">
        <v>227.39</v>
      </c>
      <c r="C282">
        <v>227.39</v>
      </c>
      <c r="D282">
        <v>227.39</v>
      </c>
      <c r="E282">
        <v>227.39</v>
      </c>
      <c r="F282" s="23">
        <f t="shared" si="4"/>
        <v>3.1321686959589709E-3</v>
      </c>
    </row>
    <row r="283" spans="1:6" x14ac:dyDescent="0.35">
      <c r="A283" s="22">
        <v>44888</v>
      </c>
      <c r="B283">
        <v>227.88</v>
      </c>
      <c r="C283">
        <v>227.88</v>
      </c>
      <c r="D283">
        <v>227.88</v>
      </c>
      <c r="E283">
        <v>227.88</v>
      </c>
      <c r="F283" s="23">
        <f t="shared" si="4"/>
        <v>2.1548880777519201E-3</v>
      </c>
    </row>
    <row r="284" spans="1:6" x14ac:dyDescent="0.35">
      <c r="A284" s="22">
        <v>44889</v>
      </c>
      <c r="B284">
        <v>229.95</v>
      </c>
      <c r="C284">
        <v>229.95</v>
      </c>
      <c r="D284">
        <v>229.95</v>
      </c>
      <c r="E284">
        <v>229.95</v>
      </c>
      <c r="F284" s="23">
        <f t="shared" si="4"/>
        <v>9.0837282780410443E-3</v>
      </c>
    </row>
    <row r="285" spans="1:6" x14ac:dyDescent="0.35">
      <c r="A285" s="22">
        <v>44890</v>
      </c>
      <c r="B285">
        <v>230.2</v>
      </c>
      <c r="C285">
        <v>230.2</v>
      </c>
      <c r="D285">
        <v>230.2</v>
      </c>
      <c r="E285">
        <v>230.2</v>
      </c>
      <c r="F285" s="23">
        <f t="shared" si="4"/>
        <v>1.087192868014786E-3</v>
      </c>
    </row>
    <row r="286" spans="1:6" x14ac:dyDescent="0.35">
      <c r="A286" s="22">
        <v>44893</v>
      </c>
      <c r="B286">
        <v>231.01</v>
      </c>
      <c r="C286">
        <v>231.01</v>
      </c>
      <c r="D286">
        <v>231.01</v>
      </c>
      <c r="E286">
        <v>231.01</v>
      </c>
      <c r="F286" s="23">
        <f t="shared" si="4"/>
        <v>3.5186794092093932E-3</v>
      </c>
    </row>
    <row r="287" spans="1:6" x14ac:dyDescent="0.35">
      <c r="A287" s="22">
        <v>44894</v>
      </c>
      <c r="B287">
        <v>231.35</v>
      </c>
      <c r="C287">
        <v>231.35</v>
      </c>
      <c r="D287">
        <v>231.35</v>
      </c>
      <c r="E287">
        <v>231.35</v>
      </c>
      <c r="F287" s="23">
        <f t="shared" si="4"/>
        <v>1.4717977576728428E-3</v>
      </c>
    </row>
    <row r="288" spans="1:6" x14ac:dyDescent="0.35">
      <c r="A288" s="22">
        <v>44895</v>
      </c>
      <c r="B288">
        <v>232.68</v>
      </c>
      <c r="C288">
        <v>232.68</v>
      </c>
      <c r="D288">
        <v>232.68</v>
      </c>
      <c r="E288">
        <v>232.68</v>
      </c>
      <c r="F288" s="23">
        <f t="shared" si="4"/>
        <v>5.7488653555219909E-3</v>
      </c>
    </row>
    <row r="289" spans="1:6" x14ac:dyDescent="0.35">
      <c r="A289" s="22">
        <v>44896</v>
      </c>
      <c r="B289">
        <v>233.98</v>
      </c>
      <c r="C289">
        <v>233.98</v>
      </c>
      <c r="D289">
        <v>233.98</v>
      </c>
      <c r="E289">
        <v>233.98</v>
      </c>
      <c r="F289" s="23">
        <f t="shared" si="4"/>
        <v>5.5870723740759111E-3</v>
      </c>
    </row>
    <row r="290" spans="1:6" x14ac:dyDescent="0.35">
      <c r="A290" s="22">
        <v>44897</v>
      </c>
      <c r="B290">
        <v>233.12</v>
      </c>
      <c r="C290">
        <v>233.12</v>
      </c>
      <c r="D290">
        <v>233.12</v>
      </c>
      <c r="E290">
        <v>233.12</v>
      </c>
      <c r="F290" s="23">
        <f t="shared" si="4"/>
        <v>-3.6755278228907825E-3</v>
      </c>
    </row>
    <row r="291" spans="1:6" x14ac:dyDescent="0.35">
      <c r="A291" s="22">
        <v>44900</v>
      </c>
      <c r="B291">
        <v>233.05</v>
      </c>
      <c r="C291">
        <v>233.05</v>
      </c>
      <c r="D291">
        <v>233.05</v>
      </c>
      <c r="E291">
        <v>233.05</v>
      </c>
      <c r="F291" s="23">
        <f t="shared" si="4"/>
        <v>-3.0027453671925693E-4</v>
      </c>
    </row>
    <row r="292" spans="1:6" x14ac:dyDescent="0.35">
      <c r="A292" s="22">
        <v>44901</v>
      </c>
      <c r="B292">
        <v>232.07</v>
      </c>
      <c r="C292">
        <v>232.07</v>
      </c>
      <c r="D292">
        <v>232.07</v>
      </c>
      <c r="E292">
        <v>232.07</v>
      </c>
      <c r="F292" s="23">
        <f t="shared" si="4"/>
        <v>-4.2051062003862607E-3</v>
      </c>
    </row>
    <row r="293" spans="1:6" x14ac:dyDescent="0.35">
      <c r="A293" s="22">
        <v>44902</v>
      </c>
      <c r="B293">
        <v>231.25</v>
      </c>
      <c r="C293">
        <v>231.25</v>
      </c>
      <c r="D293">
        <v>231.25</v>
      </c>
      <c r="E293">
        <v>231.25</v>
      </c>
      <c r="F293" s="23">
        <f t="shared" si="4"/>
        <v>-3.5334166415305433E-3</v>
      </c>
    </row>
    <row r="294" spans="1:6" x14ac:dyDescent="0.35">
      <c r="A294" s="22">
        <v>44903</v>
      </c>
      <c r="B294">
        <v>231.91</v>
      </c>
      <c r="C294">
        <v>231.91</v>
      </c>
      <c r="D294">
        <v>231.91</v>
      </c>
      <c r="E294">
        <v>231.91</v>
      </c>
      <c r="F294" s="23">
        <f t="shared" si="4"/>
        <v>2.8540540540540394E-3</v>
      </c>
    </row>
    <row r="295" spans="1:6" x14ac:dyDescent="0.35">
      <c r="A295" s="22">
        <v>44904</v>
      </c>
      <c r="B295">
        <v>230.89</v>
      </c>
      <c r="C295">
        <v>230.89</v>
      </c>
      <c r="D295">
        <v>230.89</v>
      </c>
      <c r="E295">
        <v>230.89</v>
      </c>
      <c r="F295" s="23">
        <f t="shared" si="4"/>
        <v>-4.3982579448924594E-3</v>
      </c>
    </row>
    <row r="296" spans="1:6" x14ac:dyDescent="0.35">
      <c r="A296" s="22">
        <v>44907</v>
      </c>
      <c r="B296">
        <v>230.85</v>
      </c>
      <c r="C296">
        <v>230.85</v>
      </c>
      <c r="D296">
        <v>230.85</v>
      </c>
      <c r="E296">
        <v>230.85</v>
      </c>
      <c r="F296" s="23">
        <f t="shared" si="4"/>
        <v>-1.7324266966950514E-4</v>
      </c>
    </row>
    <row r="297" spans="1:6" x14ac:dyDescent="0.35">
      <c r="A297" s="22">
        <v>44908</v>
      </c>
      <c r="B297">
        <v>231.92</v>
      </c>
      <c r="C297">
        <v>231.92</v>
      </c>
      <c r="D297">
        <v>231.92</v>
      </c>
      <c r="E297">
        <v>231.92</v>
      </c>
      <c r="F297" s="23">
        <f t="shared" si="4"/>
        <v>4.635044401126243E-3</v>
      </c>
    </row>
    <row r="298" spans="1:6" x14ac:dyDescent="0.35">
      <c r="A298" s="22">
        <v>44909</v>
      </c>
      <c r="B298">
        <v>232.61</v>
      </c>
      <c r="C298">
        <v>232.61</v>
      </c>
      <c r="D298">
        <v>232.61</v>
      </c>
      <c r="E298">
        <v>232.61</v>
      </c>
      <c r="F298" s="23">
        <f t="shared" si="4"/>
        <v>2.9751638496034244E-3</v>
      </c>
    </row>
    <row r="299" spans="1:6" x14ac:dyDescent="0.35">
      <c r="A299" s="22">
        <v>44910</v>
      </c>
      <c r="B299">
        <v>230.09</v>
      </c>
      <c r="C299">
        <v>230.09</v>
      </c>
      <c r="D299">
        <v>230.09</v>
      </c>
      <c r="E299">
        <v>230.09</v>
      </c>
      <c r="F299" s="23">
        <f t="shared" si="4"/>
        <v>-1.0833584110743347E-2</v>
      </c>
    </row>
    <row r="300" spans="1:6" x14ac:dyDescent="0.35">
      <c r="A300" s="22">
        <v>44911</v>
      </c>
      <c r="B300">
        <v>227.86</v>
      </c>
      <c r="C300">
        <v>227.86</v>
      </c>
      <c r="D300">
        <v>227.86</v>
      </c>
      <c r="E300">
        <v>227.86</v>
      </c>
      <c r="F300" s="23">
        <f t="shared" si="4"/>
        <v>-9.6918597070711019E-3</v>
      </c>
    </row>
    <row r="301" spans="1:6" x14ac:dyDescent="0.35">
      <c r="A301" s="22">
        <v>44914</v>
      </c>
      <c r="B301">
        <v>229.16</v>
      </c>
      <c r="C301">
        <v>229.16</v>
      </c>
      <c r="D301">
        <v>229.16</v>
      </c>
      <c r="E301">
        <v>229.16</v>
      </c>
      <c r="F301" s="23">
        <f t="shared" si="4"/>
        <v>5.7052576143245097E-3</v>
      </c>
    </row>
    <row r="302" spans="1:6" x14ac:dyDescent="0.35">
      <c r="A302" s="22">
        <v>44915</v>
      </c>
      <c r="B302">
        <v>228.86</v>
      </c>
      <c r="C302">
        <v>228.86</v>
      </c>
      <c r="D302">
        <v>228.86</v>
      </c>
      <c r="E302">
        <v>228.86</v>
      </c>
      <c r="F302" s="23">
        <f t="shared" si="4"/>
        <v>-1.3091289928433539E-3</v>
      </c>
    </row>
    <row r="303" spans="1:6" x14ac:dyDescent="0.35">
      <c r="A303" s="22">
        <v>44916</v>
      </c>
      <c r="B303">
        <v>226.26</v>
      </c>
      <c r="C303">
        <v>226.26</v>
      </c>
      <c r="D303">
        <v>226.26</v>
      </c>
      <c r="E303">
        <v>226.26</v>
      </c>
      <c r="F303" s="23">
        <f t="shared" si="4"/>
        <v>-1.1360657170322567E-2</v>
      </c>
    </row>
    <row r="304" spans="1:6" x14ac:dyDescent="0.35">
      <c r="A304" s="22">
        <v>44917</v>
      </c>
      <c r="B304">
        <v>225.26</v>
      </c>
      <c r="C304">
        <v>225.26</v>
      </c>
      <c r="D304">
        <v>225.26</v>
      </c>
      <c r="E304">
        <v>225.26</v>
      </c>
      <c r="F304" s="23">
        <f t="shared" si="4"/>
        <v>-4.4196941571643241E-3</v>
      </c>
    </row>
    <row r="305" spans="1:6" x14ac:dyDescent="0.35">
      <c r="A305" s="22">
        <v>44918</v>
      </c>
      <c r="B305">
        <v>221.12</v>
      </c>
      <c r="C305">
        <v>221.12</v>
      </c>
      <c r="D305">
        <v>221.12</v>
      </c>
      <c r="E305">
        <v>221.12</v>
      </c>
      <c r="F305" s="23">
        <f t="shared" si="4"/>
        <v>-1.8378762319097873E-2</v>
      </c>
    </row>
    <row r="306" spans="1:6" x14ac:dyDescent="0.35">
      <c r="A306" s="22">
        <v>44921</v>
      </c>
      <c r="B306">
        <v>224.34</v>
      </c>
      <c r="C306">
        <v>224.34</v>
      </c>
      <c r="D306">
        <v>224.34</v>
      </c>
      <c r="E306">
        <v>224.34</v>
      </c>
      <c r="F306" s="23">
        <f t="shared" si="4"/>
        <v>1.4562228654124452E-2</v>
      </c>
    </row>
    <row r="307" spans="1:6" x14ac:dyDescent="0.35">
      <c r="A307" s="22">
        <v>44922</v>
      </c>
      <c r="B307">
        <v>225.55</v>
      </c>
      <c r="C307">
        <v>225.55</v>
      </c>
      <c r="D307">
        <v>225.55</v>
      </c>
      <c r="E307">
        <v>225.55</v>
      </c>
      <c r="F307" s="23">
        <f t="shared" si="4"/>
        <v>5.3935990015155921E-3</v>
      </c>
    </row>
    <row r="308" spans="1:6" x14ac:dyDescent="0.35">
      <c r="A308" s="22">
        <v>44923</v>
      </c>
      <c r="B308">
        <v>225.44</v>
      </c>
      <c r="C308">
        <v>225.44</v>
      </c>
      <c r="D308">
        <v>225.44</v>
      </c>
      <c r="E308">
        <v>225.44</v>
      </c>
      <c r="F308" s="23">
        <f t="shared" si="4"/>
        <v>-4.8769674129910725E-4</v>
      </c>
    </row>
    <row r="309" spans="1:6" x14ac:dyDescent="0.35">
      <c r="A309" s="22">
        <v>44924</v>
      </c>
      <c r="B309">
        <v>226.07</v>
      </c>
      <c r="C309">
        <v>226.07</v>
      </c>
      <c r="D309">
        <v>226.07</v>
      </c>
      <c r="E309">
        <v>226.07</v>
      </c>
      <c r="F309" s="23">
        <f t="shared" si="4"/>
        <v>2.7945351312987734E-3</v>
      </c>
    </row>
    <row r="310" spans="1:6" x14ac:dyDescent="0.35">
      <c r="A310" s="22">
        <v>44925</v>
      </c>
      <c r="B310">
        <v>225.44</v>
      </c>
      <c r="C310">
        <v>225.44</v>
      </c>
      <c r="D310">
        <v>225.44</v>
      </c>
      <c r="E310">
        <v>225.44</v>
      </c>
      <c r="F310" s="23">
        <f t="shared" si="4"/>
        <v>-2.7867474675985116E-3</v>
      </c>
    </row>
    <row r="311" spans="1:6" x14ac:dyDescent="0.35">
      <c r="A311" s="22">
        <v>44928</v>
      </c>
      <c r="B311">
        <v>226.32</v>
      </c>
      <c r="C311">
        <v>226.32</v>
      </c>
      <c r="D311">
        <v>226.32</v>
      </c>
      <c r="E311">
        <v>226.32</v>
      </c>
      <c r="F311" s="23">
        <f t="shared" si="4"/>
        <v>3.9034776437189295E-3</v>
      </c>
    </row>
    <row r="312" spans="1:6" x14ac:dyDescent="0.35">
      <c r="A312" s="22">
        <v>44929</v>
      </c>
      <c r="B312">
        <v>226.87</v>
      </c>
      <c r="C312">
        <v>226.87</v>
      </c>
      <c r="D312">
        <v>226.87</v>
      </c>
      <c r="E312">
        <v>226.87</v>
      </c>
      <c r="F312" s="23">
        <f t="shared" si="4"/>
        <v>2.4301873453517649E-3</v>
      </c>
    </row>
    <row r="313" spans="1:6" x14ac:dyDescent="0.35">
      <c r="A313" s="22">
        <v>44930</v>
      </c>
      <c r="B313">
        <v>224.91</v>
      </c>
      <c r="C313">
        <v>224.91</v>
      </c>
      <c r="D313">
        <v>224.91</v>
      </c>
      <c r="E313">
        <v>224.91</v>
      </c>
      <c r="F313" s="23">
        <f t="shared" si="4"/>
        <v>-8.6393088552916119E-3</v>
      </c>
    </row>
    <row r="314" spans="1:6" x14ac:dyDescent="0.35">
      <c r="A314" s="22">
        <v>44931</v>
      </c>
      <c r="B314">
        <v>224.04</v>
      </c>
      <c r="C314">
        <v>224.04</v>
      </c>
      <c r="D314">
        <v>224.04</v>
      </c>
      <c r="E314">
        <v>224.04</v>
      </c>
      <c r="F314" s="23">
        <f t="shared" si="4"/>
        <v>-3.868213952247586E-3</v>
      </c>
    </row>
    <row r="315" spans="1:6" x14ac:dyDescent="0.35">
      <c r="A315" s="22">
        <v>44932</v>
      </c>
      <c r="B315">
        <v>222.28</v>
      </c>
      <c r="C315">
        <v>222.28</v>
      </c>
      <c r="D315">
        <v>222.28</v>
      </c>
      <c r="E315">
        <v>222.28</v>
      </c>
      <c r="F315" s="23">
        <f t="shared" si="4"/>
        <v>-7.8557400464202426E-3</v>
      </c>
    </row>
    <row r="316" spans="1:6" x14ac:dyDescent="0.35">
      <c r="A316" s="22">
        <v>44935</v>
      </c>
      <c r="B316">
        <v>224.88</v>
      </c>
      <c r="C316">
        <v>224.88</v>
      </c>
      <c r="D316">
        <v>224.88</v>
      </c>
      <c r="E316">
        <v>224.88</v>
      </c>
      <c r="F316" s="23">
        <f t="shared" si="4"/>
        <v>1.1696958790714388E-2</v>
      </c>
    </row>
    <row r="317" spans="1:6" x14ac:dyDescent="0.35">
      <c r="A317" s="22">
        <v>44936</v>
      </c>
      <c r="B317">
        <v>223.23</v>
      </c>
      <c r="C317">
        <v>223.23</v>
      </c>
      <c r="D317">
        <v>223.23</v>
      </c>
      <c r="E317">
        <v>223.23</v>
      </c>
      <c r="F317" s="23">
        <f t="shared" si="4"/>
        <v>-7.3372465314834835E-3</v>
      </c>
    </row>
    <row r="318" spans="1:6" x14ac:dyDescent="0.35">
      <c r="A318" s="22">
        <v>44937</v>
      </c>
      <c r="B318">
        <v>223.22</v>
      </c>
      <c r="C318">
        <v>223.22</v>
      </c>
      <c r="D318">
        <v>223.22</v>
      </c>
      <c r="E318">
        <v>223.22</v>
      </c>
      <c r="F318" s="23">
        <f t="shared" si="4"/>
        <v>-4.4796846301979596E-5</v>
      </c>
    </row>
    <row r="319" spans="1:6" x14ac:dyDescent="0.35">
      <c r="A319" s="22">
        <v>44938</v>
      </c>
      <c r="B319">
        <v>223.25</v>
      </c>
      <c r="C319">
        <v>223.25</v>
      </c>
      <c r="D319">
        <v>223.25</v>
      </c>
      <c r="E319">
        <v>223.25</v>
      </c>
      <c r="F319" s="23">
        <f t="shared" si="4"/>
        <v>1.3439655944808322E-4</v>
      </c>
    </row>
    <row r="320" spans="1:6" x14ac:dyDescent="0.35">
      <c r="A320" s="22">
        <v>44939</v>
      </c>
      <c r="B320">
        <v>224.24</v>
      </c>
      <c r="C320">
        <v>224.24</v>
      </c>
      <c r="D320">
        <v>224.24</v>
      </c>
      <c r="E320">
        <v>224.24</v>
      </c>
      <c r="F320" s="23">
        <f t="shared" si="4"/>
        <v>4.434490481522997E-3</v>
      </c>
    </row>
    <row r="321" spans="1:6" x14ac:dyDescent="0.35">
      <c r="A321" s="22">
        <v>44942</v>
      </c>
      <c r="B321">
        <v>223.12</v>
      </c>
      <c r="C321">
        <v>223.12</v>
      </c>
      <c r="D321">
        <v>223.12</v>
      </c>
      <c r="E321">
        <v>223.12</v>
      </c>
      <c r="F321" s="23">
        <f t="shared" si="4"/>
        <v>-4.9946485907955964E-3</v>
      </c>
    </row>
    <row r="322" spans="1:6" x14ac:dyDescent="0.35">
      <c r="A322" s="22">
        <v>44943</v>
      </c>
      <c r="B322">
        <v>224.5</v>
      </c>
      <c r="C322">
        <v>224.5</v>
      </c>
      <c r="D322">
        <v>224.5</v>
      </c>
      <c r="E322">
        <v>224.5</v>
      </c>
      <c r="F322" s="23">
        <f t="shared" si="4"/>
        <v>6.1850125493008038E-3</v>
      </c>
    </row>
    <row r="323" spans="1:6" x14ac:dyDescent="0.35">
      <c r="A323" s="22">
        <v>44944</v>
      </c>
      <c r="B323">
        <v>225.65</v>
      </c>
      <c r="C323">
        <v>225.65</v>
      </c>
      <c r="D323">
        <v>225.65</v>
      </c>
      <c r="E323">
        <v>225.65</v>
      </c>
      <c r="F323" s="23">
        <f t="shared" ref="F323:F386" si="5">(B323-B322)/B322</f>
        <v>5.1224944320712945E-3</v>
      </c>
    </row>
    <row r="324" spans="1:6" x14ac:dyDescent="0.35">
      <c r="A324" s="22">
        <v>44945</v>
      </c>
      <c r="B324">
        <v>225.22</v>
      </c>
      <c r="C324">
        <v>225.22</v>
      </c>
      <c r="D324">
        <v>225.22</v>
      </c>
      <c r="E324">
        <v>225.22</v>
      </c>
      <c r="F324" s="23">
        <f t="shared" si="5"/>
        <v>-1.905606027033046E-3</v>
      </c>
    </row>
    <row r="325" spans="1:6" x14ac:dyDescent="0.35">
      <c r="A325" s="22">
        <v>44946</v>
      </c>
      <c r="B325">
        <v>223.84</v>
      </c>
      <c r="C325">
        <v>223.84</v>
      </c>
      <c r="D325">
        <v>223.84</v>
      </c>
      <c r="E325">
        <v>223.84</v>
      </c>
      <c r="F325" s="23">
        <f t="shared" si="5"/>
        <v>-6.1273421543379608E-3</v>
      </c>
    </row>
    <row r="326" spans="1:6" x14ac:dyDescent="0.35">
      <c r="A326" s="22">
        <v>44949</v>
      </c>
      <c r="B326">
        <v>224.2</v>
      </c>
      <c r="C326">
        <v>224.2</v>
      </c>
      <c r="D326">
        <v>224.2</v>
      </c>
      <c r="E326">
        <v>224.2</v>
      </c>
      <c r="F326" s="23">
        <f t="shared" si="5"/>
        <v>1.6082916368834221E-3</v>
      </c>
    </row>
    <row r="327" spans="1:6" x14ac:dyDescent="0.35">
      <c r="A327" s="22">
        <v>44950</v>
      </c>
      <c r="B327">
        <v>223.9</v>
      </c>
      <c r="C327">
        <v>223.9</v>
      </c>
      <c r="D327">
        <v>223.9</v>
      </c>
      <c r="E327">
        <v>223.9</v>
      </c>
      <c r="F327" s="23">
        <f t="shared" si="5"/>
        <v>-1.3380909901872567E-3</v>
      </c>
    </row>
    <row r="328" spans="1:6" x14ac:dyDescent="0.35">
      <c r="A328" s="22">
        <v>44951</v>
      </c>
      <c r="B328">
        <v>221.22</v>
      </c>
      <c r="C328">
        <v>221.22</v>
      </c>
      <c r="D328">
        <v>221.22</v>
      </c>
      <c r="E328">
        <v>221.22</v>
      </c>
      <c r="F328" s="23">
        <f t="shared" si="5"/>
        <v>-1.1969629298794134E-2</v>
      </c>
    </row>
    <row r="329" spans="1:6" x14ac:dyDescent="0.35">
      <c r="A329" s="22">
        <v>44952</v>
      </c>
      <c r="B329">
        <v>221.22</v>
      </c>
      <c r="C329">
        <v>221.22</v>
      </c>
      <c r="D329">
        <v>221.22</v>
      </c>
      <c r="E329">
        <v>221.22</v>
      </c>
      <c r="F329" s="23">
        <f t="shared" si="5"/>
        <v>0</v>
      </c>
    </row>
    <row r="330" spans="1:6" x14ac:dyDescent="0.35">
      <c r="A330" s="22">
        <v>44953</v>
      </c>
      <c r="B330">
        <v>218.15</v>
      </c>
      <c r="C330">
        <v>218.15</v>
      </c>
      <c r="D330">
        <v>218.15</v>
      </c>
      <c r="E330">
        <v>218.15</v>
      </c>
      <c r="F330" s="23">
        <f t="shared" si="5"/>
        <v>-1.3877587921526052E-2</v>
      </c>
    </row>
    <row r="331" spans="1:6" x14ac:dyDescent="0.35">
      <c r="A331" s="22">
        <v>44956</v>
      </c>
      <c r="B331">
        <v>218.54</v>
      </c>
      <c r="C331">
        <v>218.54</v>
      </c>
      <c r="D331">
        <v>218.54</v>
      </c>
      <c r="E331">
        <v>218.54</v>
      </c>
      <c r="F331" s="23">
        <f t="shared" si="5"/>
        <v>1.7877607151042234E-3</v>
      </c>
    </row>
    <row r="332" spans="1:6" x14ac:dyDescent="0.35">
      <c r="A332" s="22">
        <v>44957</v>
      </c>
      <c r="B332">
        <v>219.43</v>
      </c>
      <c r="C332">
        <v>219.43</v>
      </c>
      <c r="D332">
        <v>219.43</v>
      </c>
      <c r="E332">
        <v>219.43</v>
      </c>
      <c r="F332" s="23">
        <f t="shared" si="5"/>
        <v>4.0724810103414241E-3</v>
      </c>
    </row>
    <row r="333" spans="1:6" x14ac:dyDescent="0.35">
      <c r="A333" s="22">
        <v>44958</v>
      </c>
      <c r="B333">
        <v>219.59</v>
      </c>
      <c r="C333">
        <v>219.59</v>
      </c>
      <c r="D333">
        <v>219.59</v>
      </c>
      <c r="E333">
        <v>219.59</v>
      </c>
      <c r="F333" s="23">
        <f t="shared" si="5"/>
        <v>7.2916191951873761E-4</v>
      </c>
    </row>
    <row r="334" spans="1:6" x14ac:dyDescent="0.35">
      <c r="A334" s="22">
        <v>44959</v>
      </c>
      <c r="B334">
        <v>220.23</v>
      </c>
      <c r="C334">
        <v>220.23</v>
      </c>
      <c r="D334">
        <v>220.23</v>
      </c>
      <c r="E334">
        <v>220.23</v>
      </c>
      <c r="F334" s="23">
        <f t="shared" si="5"/>
        <v>2.9145225192403405E-3</v>
      </c>
    </row>
    <row r="335" spans="1:6" x14ac:dyDescent="0.35">
      <c r="A335" s="22">
        <v>44960</v>
      </c>
      <c r="B335">
        <v>222.55</v>
      </c>
      <c r="C335">
        <v>222.55</v>
      </c>
      <c r="D335">
        <v>222.55</v>
      </c>
      <c r="E335">
        <v>222.55</v>
      </c>
      <c r="F335" s="23">
        <f t="shared" si="5"/>
        <v>1.0534441265949334E-2</v>
      </c>
    </row>
    <row r="336" spans="1:6" x14ac:dyDescent="0.35">
      <c r="A336" s="22">
        <v>44963</v>
      </c>
      <c r="B336">
        <v>222.13</v>
      </c>
      <c r="C336">
        <v>222.13</v>
      </c>
      <c r="D336">
        <v>222.13</v>
      </c>
      <c r="E336">
        <v>222.13</v>
      </c>
      <c r="F336" s="23">
        <f t="shared" si="5"/>
        <v>-1.8872163558751557E-3</v>
      </c>
    </row>
    <row r="337" spans="1:6" x14ac:dyDescent="0.35">
      <c r="A337" s="22">
        <v>44964</v>
      </c>
      <c r="B337">
        <v>221.8</v>
      </c>
      <c r="C337">
        <v>221.8</v>
      </c>
      <c r="D337">
        <v>221.8</v>
      </c>
      <c r="E337">
        <v>221.8</v>
      </c>
      <c r="F337" s="23">
        <f t="shared" si="5"/>
        <v>-1.4856165308602355E-3</v>
      </c>
    </row>
    <row r="338" spans="1:6" x14ac:dyDescent="0.35">
      <c r="A338" s="22">
        <v>44965</v>
      </c>
      <c r="B338">
        <v>223.45</v>
      </c>
      <c r="C338">
        <v>223.45</v>
      </c>
      <c r="D338">
        <v>223.45</v>
      </c>
      <c r="E338">
        <v>223.45</v>
      </c>
      <c r="F338" s="23">
        <f t="shared" si="5"/>
        <v>7.4391343552749198E-3</v>
      </c>
    </row>
    <row r="339" spans="1:6" x14ac:dyDescent="0.35">
      <c r="A339" s="22">
        <v>44966</v>
      </c>
      <c r="B339">
        <v>223.95</v>
      </c>
      <c r="C339">
        <v>223.95</v>
      </c>
      <c r="D339">
        <v>223.95</v>
      </c>
      <c r="E339">
        <v>223.95</v>
      </c>
      <c r="F339" s="23">
        <f t="shared" si="5"/>
        <v>2.2376370552696354E-3</v>
      </c>
    </row>
    <row r="340" spans="1:6" x14ac:dyDescent="0.35">
      <c r="A340" s="22">
        <v>44967</v>
      </c>
      <c r="B340">
        <v>224.05</v>
      </c>
      <c r="C340">
        <v>224.05</v>
      </c>
      <c r="D340">
        <v>224.05</v>
      </c>
      <c r="E340">
        <v>224.05</v>
      </c>
      <c r="F340" s="23">
        <f t="shared" si="5"/>
        <v>4.465282429114657E-4</v>
      </c>
    </row>
    <row r="341" spans="1:6" x14ac:dyDescent="0.35">
      <c r="A341" s="22">
        <v>44970</v>
      </c>
      <c r="B341">
        <v>222.51</v>
      </c>
      <c r="C341">
        <v>222.51</v>
      </c>
      <c r="D341">
        <v>222.51</v>
      </c>
      <c r="E341">
        <v>222.51</v>
      </c>
      <c r="F341" s="23">
        <f t="shared" si="5"/>
        <v>-6.8734657442536054E-3</v>
      </c>
    </row>
    <row r="342" spans="1:6" x14ac:dyDescent="0.35">
      <c r="A342" s="22">
        <v>44971</v>
      </c>
      <c r="B342">
        <v>223.31</v>
      </c>
      <c r="C342">
        <v>223.31</v>
      </c>
      <c r="D342">
        <v>223.31</v>
      </c>
      <c r="E342">
        <v>223.31</v>
      </c>
      <c r="F342" s="23">
        <f t="shared" si="5"/>
        <v>3.5953440294818721E-3</v>
      </c>
    </row>
    <row r="343" spans="1:6" x14ac:dyDescent="0.35">
      <c r="A343" s="22">
        <v>44972</v>
      </c>
      <c r="B343">
        <v>224.06</v>
      </c>
      <c r="C343">
        <v>224.06</v>
      </c>
      <c r="D343">
        <v>224.06</v>
      </c>
      <c r="E343">
        <v>224.06</v>
      </c>
      <c r="F343" s="23">
        <f t="shared" si="5"/>
        <v>3.3585598495365185E-3</v>
      </c>
    </row>
    <row r="344" spans="1:6" x14ac:dyDescent="0.35">
      <c r="A344" s="22">
        <v>44973</v>
      </c>
      <c r="B344">
        <v>224.89</v>
      </c>
      <c r="C344">
        <v>224.89</v>
      </c>
      <c r="D344">
        <v>224.89</v>
      </c>
      <c r="E344">
        <v>224.89</v>
      </c>
      <c r="F344" s="23">
        <f t="shared" si="5"/>
        <v>3.7043649022582524E-3</v>
      </c>
    </row>
    <row r="345" spans="1:6" x14ac:dyDescent="0.35">
      <c r="A345" s="22">
        <v>44974</v>
      </c>
      <c r="B345">
        <v>223.65</v>
      </c>
      <c r="C345">
        <v>223.65</v>
      </c>
      <c r="D345">
        <v>223.65</v>
      </c>
      <c r="E345">
        <v>223.65</v>
      </c>
      <c r="F345" s="23">
        <f t="shared" si="5"/>
        <v>-5.513806749966565E-3</v>
      </c>
    </row>
    <row r="346" spans="1:6" x14ac:dyDescent="0.35">
      <c r="A346" s="22">
        <v>44977</v>
      </c>
      <c r="B346">
        <v>222.97</v>
      </c>
      <c r="C346">
        <v>222.97</v>
      </c>
      <c r="D346">
        <v>222.97</v>
      </c>
      <c r="E346">
        <v>222.97</v>
      </c>
      <c r="F346" s="23">
        <f t="shared" si="5"/>
        <v>-3.0404650122960288E-3</v>
      </c>
    </row>
    <row r="347" spans="1:6" x14ac:dyDescent="0.35">
      <c r="A347" s="22">
        <v>44978</v>
      </c>
      <c r="B347">
        <v>222.55</v>
      </c>
      <c r="C347">
        <v>222.55</v>
      </c>
      <c r="D347">
        <v>222.55</v>
      </c>
      <c r="E347">
        <v>222.55</v>
      </c>
      <c r="F347" s="23">
        <f t="shared" si="5"/>
        <v>-1.883661479122696E-3</v>
      </c>
    </row>
    <row r="348" spans="1:6" x14ac:dyDescent="0.35">
      <c r="A348" s="22">
        <v>44979</v>
      </c>
      <c r="B348">
        <v>219.91</v>
      </c>
      <c r="C348">
        <v>219.91</v>
      </c>
      <c r="D348">
        <v>219.91</v>
      </c>
      <c r="E348">
        <v>219.91</v>
      </c>
      <c r="F348" s="23">
        <f t="shared" si="5"/>
        <v>-1.1862502808357739E-2</v>
      </c>
    </row>
    <row r="349" spans="1:6" x14ac:dyDescent="0.35">
      <c r="A349" s="22">
        <v>44980</v>
      </c>
      <c r="B349">
        <v>219.53</v>
      </c>
      <c r="C349">
        <v>219.53</v>
      </c>
      <c r="D349">
        <v>219.53</v>
      </c>
      <c r="E349">
        <v>219.53</v>
      </c>
      <c r="F349" s="23">
        <f t="shared" si="5"/>
        <v>-1.7279796280296278E-3</v>
      </c>
    </row>
    <row r="350" spans="1:6" x14ac:dyDescent="0.35">
      <c r="A350" s="22">
        <v>44981</v>
      </c>
      <c r="B350">
        <v>219.25</v>
      </c>
      <c r="C350">
        <v>219.25</v>
      </c>
      <c r="D350">
        <v>219.25</v>
      </c>
      <c r="E350">
        <v>219.25</v>
      </c>
      <c r="F350" s="23">
        <f t="shared" si="5"/>
        <v>-1.2754521022183807E-3</v>
      </c>
    </row>
    <row r="351" spans="1:6" x14ac:dyDescent="0.35">
      <c r="A351" s="22">
        <v>44984</v>
      </c>
      <c r="B351">
        <v>218.1</v>
      </c>
      <c r="C351">
        <v>218.1</v>
      </c>
      <c r="D351">
        <v>218.1</v>
      </c>
      <c r="E351">
        <v>218.1</v>
      </c>
      <c r="F351" s="23">
        <f t="shared" si="5"/>
        <v>-5.2451539338654761E-3</v>
      </c>
    </row>
    <row r="352" spans="1:6" x14ac:dyDescent="0.35">
      <c r="A352" s="22">
        <v>44985</v>
      </c>
      <c r="B352">
        <v>217.46</v>
      </c>
      <c r="C352">
        <v>217.46</v>
      </c>
      <c r="D352">
        <v>217.46</v>
      </c>
      <c r="E352">
        <v>217.46</v>
      </c>
      <c r="F352" s="23">
        <f t="shared" si="5"/>
        <v>-2.9344337459880163E-3</v>
      </c>
    </row>
    <row r="353" spans="1:6" x14ac:dyDescent="0.35">
      <c r="A353" s="22">
        <v>44986</v>
      </c>
      <c r="B353">
        <v>219.26</v>
      </c>
      <c r="C353">
        <v>219.26</v>
      </c>
      <c r="D353">
        <v>219.26</v>
      </c>
      <c r="E353">
        <v>219.26</v>
      </c>
      <c r="F353" s="23">
        <f t="shared" si="5"/>
        <v>8.2773843465464118E-3</v>
      </c>
    </row>
    <row r="354" spans="1:6" x14ac:dyDescent="0.35">
      <c r="A354" s="22">
        <v>44987</v>
      </c>
      <c r="B354">
        <v>217.53</v>
      </c>
      <c r="C354">
        <v>217.53</v>
      </c>
      <c r="D354">
        <v>217.53</v>
      </c>
      <c r="E354">
        <v>217.53</v>
      </c>
      <c r="F354" s="23">
        <f t="shared" si="5"/>
        <v>-7.8901760467024983E-3</v>
      </c>
    </row>
    <row r="355" spans="1:6" x14ac:dyDescent="0.35">
      <c r="A355" s="22">
        <v>44988</v>
      </c>
      <c r="B355">
        <v>220.01</v>
      </c>
      <c r="C355">
        <v>220.01</v>
      </c>
      <c r="D355">
        <v>220.01</v>
      </c>
      <c r="E355">
        <v>220.01</v>
      </c>
      <c r="F355" s="23">
        <f t="shared" si="5"/>
        <v>1.1400726336597203E-2</v>
      </c>
    </row>
    <row r="356" spans="1:6" x14ac:dyDescent="0.35">
      <c r="A356" s="22">
        <v>44991</v>
      </c>
      <c r="B356">
        <v>221.18</v>
      </c>
      <c r="C356">
        <v>221.18</v>
      </c>
      <c r="D356">
        <v>221.18</v>
      </c>
      <c r="E356">
        <v>221.18</v>
      </c>
      <c r="F356" s="23">
        <f t="shared" si="5"/>
        <v>5.3179400936321803E-3</v>
      </c>
    </row>
    <row r="357" spans="1:6" x14ac:dyDescent="0.35">
      <c r="A357" s="22">
        <v>44992</v>
      </c>
      <c r="B357">
        <v>221.18</v>
      </c>
      <c r="C357">
        <v>221.18</v>
      </c>
      <c r="D357">
        <v>221.18</v>
      </c>
      <c r="E357">
        <v>221.18</v>
      </c>
      <c r="F357" s="23">
        <f t="shared" si="5"/>
        <v>0</v>
      </c>
    </row>
    <row r="358" spans="1:6" x14ac:dyDescent="0.35">
      <c r="A358" s="22">
        <v>44993</v>
      </c>
      <c r="B358">
        <v>221.66</v>
      </c>
      <c r="C358">
        <v>221.66</v>
      </c>
      <c r="D358">
        <v>221.66</v>
      </c>
      <c r="E358">
        <v>221.66</v>
      </c>
      <c r="F358" s="23">
        <f t="shared" si="5"/>
        <v>2.1701781354552391E-3</v>
      </c>
    </row>
    <row r="359" spans="1:6" x14ac:dyDescent="0.35">
      <c r="A359" s="22">
        <v>44994</v>
      </c>
      <c r="B359">
        <v>220.25</v>
      </c>
      <c r="C359">
        <v>220.25</v>
      </c>
      <c r="D359">
        <v>220.25</v>
      </c>
      <c r="E359">
        <v>220.25</v>
      </c>
      <c r="F359" s="23">
        <f t="shared" si="5"/>
        <v>-6.3610935667237963E-3</v>
      </c>
    </row>
    <row r="360" spans="1:6" x14ac:dyDescent="0.35">
      <c r="A360" s="22">
        <v>44995</v>
      </c>
      <c r="B360">
        <v>218.11</v>
      </c>
      <c r="C360">
        <v>218.11</v>
      </c>
      <c r="D360">
        <v>218.11</v>
      </c>
      <c r="E360">
        <v>218.11</v>
      </c>
      <c r="F360" s="23">
        <f t="shared" si="5"/>
        <v>-9.7162315550510161E-3</v>
      </c>
    </row>
    <row r="361" spans="1:6" x14ac:dyDescent="0.35">
      <c r="A361" s="22">
        <v>44998</v>
      </c>
      <c r="B361">
        <v>214.44</v>
      </c>
      <c r="C361">
        <v>214.44</v>
      </c>
      <c r="D361">
        <v>214.44</v>
      </c>
      <c r="E361">
        <v>214.44</v>
      </c>
      <c r="F361" s="23">
        <f t="shared" si="5"/>
        <v>-1.6826372014121387E-2</v>
      </c>
    </row>
    <row r="362" spans="1:6" x14ac:dyDescent="0.35">
      <c r="A362" s="22">
        <v>44999</v>
      </c>
      <c r="B362">
        <v>213.74</v>
      </c>
      <c r="C362">
        <v>213.74</v>
      </c>
      <c r="D362">
        <v>213.74</v>
      </c>
      <c r="E362">
        <v>213.74</v>
      </c>
      <c r="F362" s="23">
        <f t="shared" si="5"/>
        <v>-3.264316358888214E-3</v>
      </c>
    </row>
    <row r="363" spans="1:6" x14ac:dyDescent="0.35">
      <c r="A363" s="22">
        <v>45000</v>
      </c>
      <c r="B363">
        <v>212.77</v>
      </c>
      <c r="C363">
        <v>212.77</v>
      </c>
      <c r="D363">
        <v>212.77</v>
      </c>
      <c r="E363">
        <v>212.77</v>
      </c>
      <c r="F363" s="23">
        <f t="shared" si="5"/>
        <v>-4.5382240104800166E-3</v>
      </c>
    </row>
    <row r="364" spans="1:6" x14ac:dyDescent="0.35">
      <c r="A364" s="22">
        <v>45001</v>
      </c>
      <c r="B364">
        <v>212.58</v>
      </c>
      <c r="C364">
        <v>212.58</v>
      </c>
      <c r="D364">
        <v>212.58</v>
      </c>
      <c r="E364">
        <v>212.58</v>
      </c>
      <c r="F364" s="23">
        <f t="shared" si="5"/>
        <v>-8.9298303332235613E-4</v>
      </c>
    </row>
    <row r="365" spans="1:6" x14ac:dyDescent="0.35">
      <c r="A365" s="22">
        <v>45002</v>
      </c>
      <c r="B365">
        <v>213.91</v>
      </c>
      <c r="C365">
        <v>213.91</v>
      </c>
      <c r="D365">
        <v>213.91</v>
      </c>
      <c r="E365">
        <v>213.91</v>
      </c>
      <c r="F365" s="23">
        <f t="shared" si="5"/>
        <v>6.256468153165792E-3</v>
      </c>
    </row>
    <row r="366" spans="1:6" x14ac:dyDescent="0.35">
      <c r="A366" s="22">
        <v>45005</v>
      </c>
      <c r="B366">
        <v>212.3</v>
      </c>
      <c r="C366">
        <v>212.3</v>
      </c>
      <c r="D366">
        <v>212.3</v>
      </c>
      <c r="E366">
        <v>212.3</v>
      </c>
      <c r="F366" s="23">
        <f t="shared" si="5"/>
        <v>-7.5265298490018477E-3</v>
      </c>
    </row>
    <row r="367" spans="1:6" x14ac:dyDescent="0.35">
      <c r="A367" s="22">
        <v>45006</v>
      </c>
      <c r="B367">
        <v>213.67</v>
      </c>
      <c r="C367">
        <v>213.67</v>
      </c>
      <c r="D367">
        <v>213.67</v>
      </c>
      <c r="E367">
        <v>213.67</v>
      </c>
      <c r="F367" s="23">
        <f t="shared" si="5"/>
        <v>6.4531323598679986E-3</v>
      </c>
    </row>
    <row r="368" spans="1:6" x14ac:dyDescent="0.35">
      <c r="A368" s="22">
        <v>45007</v>
      </c>
      <c r="B368">
        <v>214.18</v>
      </c>
      <c r="C368">
        <v>214.18</v>
      </c>
      <c r="D368">
        <v>214.18</v>
      </c>
      <c r="E368">
        <v>214.18</v>
      </c>
      <c r="F368" s="23">
        <f t="shared" si="5"/>
        <v>2.3868582393411306E-3</v>
      </c>
    </row>
    <row r="369" spans="1:6" x14ac:dyDescent="0.35">
      <c r="A369" s="22">
        <v>45008</v>
      </c>
      <c r="B369">
        <v>213.58</v>
      </c>
      <c r="C369">
        <v>213.58</v>
      </c>
      <c r="D369">
        <v>213.58</v>
      </c>
      <c r="E369">
        <v>213.58</v>
      </c>
      <c r="F369" s="23">
        <f t="shared" si="5"/>
        <v>-2.8013820151274365E-3</v>
      </c>
    </row>
    <row r="370" spans="1:6" x14ac:dyDescent="0.35">
      <c r="A370" s="22">
        <v>45009</v>
      </c>
      <c r="B370">
        <v>211.99</v>
      </c>
      <c r="C370">
        <v>211.99</v>
      </c>
      <c r="D370">
        <v>211.99</v>
      </c>
      <c r="E370">
        <v>211.99</v>
      </c>
      <c r="F370" s="23">
        <f t="shared" si="5"/>
        <v>-7.4445172768986016E-3</v>
      </c>
    </row>
    <row r="371" spans="1:6" x14ac:dyDescent="0.35">
      <c r="A371" s="22">
        <v>45012</v>
      </c>
      <c r="B371">
        <v>212.05</v>
      </c>
      <c r="C371">
        <v>212.05</v>
      </c>
      <c r="D371">
        <v>212.05</v>
      </c>
      <c r="E371">
        <v>212.05</v>
      </c>
      <c r="F371" s="23">
        <f t="shared" si="5"/>
        <v>2.8303221850088341E-4</v>
      </c>
    </row>
    <row r="372" spans="1:6" x14ac:dyDescent="0.35">
      <c r="A372" s="22">
        <v>45013</v>
      </c>
      <c r="B372">
        <v>211.57</v>
      </c>
      <c r="C372">
        <v>211.57</v>
      </c>
      <c r="D372">
        <v>211.57</v>
      </c>
      <c r="E372">
        <v>211.57</v>
      </c>
      <c r="F372" s="23">
        <f t="shared" si="5"/>
        <v>-2.2636170714454996E-3</v>
      </c>
    </row>
    <row r="373" spans="1:6" x14ac:dyDescent="0.35">
      <c r="A373" s="22">
        <v>45014</v>
      </c>
      <c r="B373">
        <v>213.54</v>
      </c>
      <c r="C373">
        <v>213.54</v>
      </c>
      <c r="D373">
        <v>213.54</v>
      </c>
      <c r="E373">
        <v>213.54</v>
      </c>
      <c r="F373" s="23">
        <f t="shared" si="5"/>
        <v>9.3113390367254283E-3</v>
      </c>
    </row>
    <row r="374" spans="1:6" x14ac:dyDescent="0.35">
      <c r="A374" s="22">
        <v>45015</v>
      </c>
      <c r="B374">
        <v>213.54</v>
      </c>
      <c r="C374">
        <v>213.54</v>
      </c>
      <c r="D374">
        <v>213.54</v>
      </c>
      <c r="E374">
        <v>213.54</v>
      </c>
      <c r="F374" s="23">
        <f t="shared" si="5"/>
        <v>0</v>
      </c>
    </row>
    <row r="375" spans="1:6" x14ac:dyDescent="0.35">
      <c r="A375" s="22">
        <v>45016</v>
      </c>
      <c r="B375">
        <v>216.84</v>
      </c>
      <c r="C375">
        <v>216.84</v>
      </c>
      <c r="D375">
        <v>216.84</v>
      </c>
      <c r="E375">
        <v>216.84</v>
      </c>
      <c r="F375" s="23">
        <f t="shared" si="5"/>
        <v>1.545377915144709E-2</v>
      </c>
    </row>
    <row r="376" spans="1:6" x14ac:dyDescent="0.35">
      <c r="A376" s="22">
        <v>45019</v>
      </c>
      <c r="B376">
        <v>217.27</v>
      </c>
      <c r="C376">
        <v>217.27</v>
      </c>
      <c r="D376">
        <v>217.27</v>
      </c>
      <c r="E376">
        <v>217.27</v>
      </c>
      <c r="F376" s="23">
        <f t="shared" si="5"/>
        <v>1.9830289614462589E-3</v>
      </c>
    </row>
    <row r="377" spans="1:6" x14ac:dyDescent="0.35">
      <c r="A377" s="22">
        <v>45020</v>
      </c>
      <c r="B377">
        <v>217.27</v>
      </c>
      <c r="C377">
        <v>217.27</v>
      </c>
      <c r="D377">
        <v>217.27</v>
      </c>
      <c r="E377">
        <v>217.27</v>
      </c>
      <c r="F377" s="23">
        <f t="shared" si="5"/>
        <v>0</v>
      </c>
    </row>
    <row r="378" spans="1:6" x14ac:dyDescent="0.35">
      <c r="A378" s="22">
        <v>45021</v>
      </c>
      <c r="B378">
        <v>218.77</v>
      </c>
      <c r="C378">
        <v>218.77</v>
      </c>
      <c r="D378">
        <v>218.77</v>
      </c>
      <c r="E378">
        <v>218.77</v>
      </c>
      <c r="F378" s="23">
        <f t="shared" si="5"/>
        <v>6.9038523496110825E-3</v>
      </c>
    </row>
    <row r="379" spans="1:6" x14ac:dyDescent="0.35">
      <c r="A379" s="22">
        <v>45022</v>
      </c>
      <c r="B379">
        <v>219.64</v>
      </c>
      <c r="C379">
        <v>219.64</v>
      </c>
      <c r="D379">
        <v>219.64</v>
      </c>
      <c r="E379">
        <v>219.64</v>
      </c>
      <c r="F379" s="23">
        <f t="shared" si="5"/>
        <v>3.9767792658955805E-3</v>
      </c>
    </row>
    <row r="380" spans="1:6" x14ac:dyDescent="0.35">
      <c r="A380" s="22">
        <v>45023</v>
      </c>
      <c r="B380">
        <v>219.64</v>
      </c>
      <c r="C380">
        <v>219.64</v>
      </c>
      <c r="D380">
        <v>219.64</v>
      </c>
      <c r="E380">
        <v>219.64</v>
      </c>
      <c r="F380" s="23">
        <f t="shared" si="5"/>
        <v>0</v>
      </c>
    </row>
    <row r="381" spans="1:6" x14ac:dyDescent="0.35">
      <c r="A381" s="22">
        <v>45026</v>
      </c>
      <c r="B381">
        <v>219.82</v>
      </c>
      <c r="C381">
        <v>219.82</v>
      </c>
      <c r="D381">
        <v>219.82</v>
      </c>
      <c r="E381">
        <v>219.82</v>
      </c>
      <c r="F381" s="23">
        <f t="shared" si="5"/>
        <v>8.1952285558189238E-4</v>
      </c>
    </row>
    <row r="382" spans="1:6" x14ac:dyDescent="0.35">
      <c r="A382" s="22">
        <v>45027</v>
      </c>
      <c r="B382">
        <v>220.77</v>
      </c>
      <c r="C382">
        <v>220.77</v>
      </c>
      <c r="D382">
        <v>220.77</v>
      </c>
      <c r="E382">
        <v>220.77</v>
      </c>
      <c r="F382" s="23">
        <f t="shared" si="5"/>
        <v>4.3217177690838739E-3</v>
      </c>
    </row>
    <row r="383" spans="1:6" x14ac:dyDescent="0.35">
      <c r="A383" s="22">
        <v>45028</v>
      </c>
      <c r="B383">
        <v>221.77</v>
      </c>
      <c r="C383">
        <v>221.77</v>
      </c>
      <c r="D383">
        <v>221.77</v>
      </c>
      <c r="E383">
        <v>221.77</v>
      </c>
      <c r="F383" s="23">
        <f t="shared" si="5"/>
        <v>4.5296009421569956E-3</v>
      </c>
    </row>
    <row r="384" spans="1:6" x14ac:dyDescent="0.35">
      <c r="A384" s="22">
        <v>45029</v>
      </c>
      <c r="B384">
        <v>221.91</v>
      </c>
      <c r="C384">
        <v>221.91</v>
      </c>
      <c r="D384">
        <v>221.91</v>
      </c>
      <c r="E384">
        <v>221.91</v>
      </c>
      <c r="F384" s="23">
        <f t="shared" si="5"/>
        <v>6.3128466429177238E-4</v>
      </c>
    </row>
    <row r="385" spans="1:6" x14ac:dyDescent="0.35">
      <c r="A385" s="22">
        <v>45030</v>
      </c>
      <c r="B385">
        <v>221.91</v>
      </c>
      <c r="C385">
        <v>221.91</v>
      </c>
      <c r="D385">
        <v>221.91</v>
      </c>
      <c r="E385">
        <v>221.91</v>
      </c>
      <c r="F385" s="23">
        <f t="shared" si="5"/>
        <v>0</v>
      </c>
    </row>
    <row r="386" spans="1:6" x14ac:dyDescent="0.35">
      <c r="A386" s="22">
        <v>45033</v>
      </c>
      <c r="B386">
        <v>220.97</v>
      </c>
      <c r="C386">
        <v>220.97</v>
      </c>
      <c r="D386">
        <v>220.97</v>
      </c>
      <c r="E386">
        <v>220.97</v>
      </c>
      <c r="F386" s="23">
        <f t="shared" si="5"/>
        <v>-4.2359515118741732E-3</v>
      </c>
    </row>
    <row r="387" spans="1:6" x14ac:dyDescent="0.35">
      <c r="A387" s="22">
        <v>45034</v>
      </c>
      <c r="B387">
        <v>220.82</v>
      </c>
      <c r="C387">
        <v>220.82</v>
      </c>
      <c r="D387">
        <v>220.82</v>
      </c>
      <c r="E387">
        <v>220.82</v>
      </c>
      <c r="F387" s="23">
        <f t="shared" ref="F387:F450" si="6">(B387-B386)/B386</f>
        <v>-6.7882517988869843E-4</v>
      </c>
    </row>
    <row r="388" spans="1:6" x14ac:dyDescent="0.35">
      <c r="A388" s="22">
        <v>45035</v>
      </c>
      <c r="B388">
        <v>220.32</v>
      </c>
      <c r="C388">
        <v>220.32</v>
      </c>
      <c r="D388">
        <v>220.32</v>
      </c>
      <c r="E388">
        <v>220.32</v>
      </c>
      <c r="F388" s="23">
        <f t="shared" si="6"/>
        <v>-2.2642876551037046E-3</v>
      </c>
    </row>
    <row r="389" spans="1:6" x14ac:dyDescent="0.35">
      <c r="A389" s="22">
        <v>45036</v>
      </c>
      <c r="B389">
        <v>220.36</v>
      </c>
      <c r="C389">
        <v>220.36</v>
      </c>
      <c r="D389">
        <v>220.36</v>
      </c>
      <c r="E389">
        <v>220.36</v>
      </c>
      <c r="F389" s="23">
        <f t="shared" si="6"/>
        <v>1.8155410312282346E-4</v>
      </c>
    </row>
    <row r="390" spans="1:6" x14ac:dyDescent="0.35">
      <c r="A390" s="22">
        <v>45037</v>
      </c>
      <c r="B390">
        <v>219.84</v>
      </c>
      <c r="C390">
        <v>219.84</v>
      </c>
      <c r="D390">
        <v>219.84</v>
      </c>
      <c r="E390">
        <v>219.84</v>
      </c>
      <c r="F390" s="23">
        <f t="shared" si="6"/>
        <v>-2.3597749137775014E-3</v>
      </c>
    </row>
    <row r="391" spans="1:6" x14ac:dyDescent="0.35">
      <c r="A391" s="22">
        <v>45040</v>
      </c>
      <c r="B391">
        <v>220.88</v>
      </c>
      <c r="C391">
        <v>220.88</v>
      </c>
      <c r="D391">
        <v>220.88</v>
      </c>
      <c r="E391">
        <v>220.88</v>
      </c>
      <c r="F391" s="23">
        <f t="shared" si="6"/>
        <v>4.7307132459970527E-3</v>
      </c>
    </row>
    <row r="392" spans="1:6" x14ac:dyDescent="0.35">
      <c r="A392" s="22">
        <v>45041</v>
      </c>
      <c r="B392">
        <v>221.06</v>
      </c>
      <c r="C392">
        <v>221.06</v>
      </c>
      <c r="D392">
        <v>221.06</v>
      </c>
      <c r="E392">
        <v>221.06</v>
      </c>
      <c r="F392" s="23">
        <f t="shared" si="6"/>
        <v>8.1492212966319645E-4</v>
      </c>
    </row>
    <row r="393" spans="1:6" x14ac:dyDescent="0.35">
      <c r="A393" s="22">
        <v>45042</v>
      </c>
      <c r="B393">
        <v>221.8</v>
      </c>
      <c r="C393">
        <v>221.8</v>
      </c>
      <c r="D393">
        <v>221.8</v>
      </c>
      <c r="E393">
        <v>221.8</v>
      </c>
      <c r="F393" s="23">
        <f t="shared" si="6"/>
        <v>3.3475074640369543E-3</v>
      </c>
    </row>
    <row r="394" spans="1:6" x14ac:dyDescent="0.35">
      <c r="A394" s="22">
        <v>45043</v>
      </c>
      <c r="B394">
        <v>223.09</v>
      </c>
      <c r="C394">
        <v>223.09</v>
      </c>
      <c r="D394">
        <v>223.09</v>
      </c>
      <c r="E394">
        <v>223.09</v>
      </c>
      <c r="F394" s="23">
        <f t="shared" si="6"/>
        <v>5.816050495942254E-3</v>
      </c>
    </row>
    <row r="395" spans="1:6" x14ac:dyDescent="0.35">
      <c r="A395" s="22">
        <v>45044</v>
      </c>
      <c r="B395">
        <v>224.95</v>
      </c>
      <c r="C395">
        <v>224.95</v>
      </c>
      <c r="D395">
        <v>224.95</v>
      </c>
      <c r="E395">
        <v>224.95</v>
      </c>
      <c r="F395" s="23">
        <f t="shared" si="6"/>
        <v>8.3374422878658167E-3</v>
      </c>
    </row>
    <row r="396" spans="1:6" x14ac:dyDescent="0.35">
      <c r="A396" s="22">
        <v>45047</v>
      </c>
      <c r="B396">
        <v>224.95</v>
      </c>
      <c r="C396">
        <v>224.95</v>
      </c>
      <c r="D396">
        <v>224.95</v>
      </c>
      <c r="E396">
        <v>224.95</v>
      </c>
      <c r="F396" s="23">
        <f t="shared" si="6"/>
        <v>0</v>
      </c>
    </row>
    <row r="397" spans="1:6" x14ac:dyDescent="0.35">
      <c r="A397" s="22">
        <v>45048</v>
      </c>
      <c r="B397">
        <v>225.68</v>
      </c>
      <c r="C397">
        <v>225.68</v>
      </c>
      <c r="D397">
        <v>225.68</v>
      </c>
      <c r="E397">
        <v>225.68</v>
      </c>
      <c r="F397" s="23">
        <f t="shared" si="6"/>
        <v>3.2451655923539375E-3</v>
      </c>
    </row>
    <row r="398" spans="1:6" x14ac:dyDescent="0.35">
      <c r="A398" s="22">
        <v>45049</v>
      </c>
      <c r="B398">
        <v>225.43</v>
      </c>
      <c r="C398">
        <v>225.43</v>
      </c>
      <c r="D398">
        <v>225.43</v>
      </c>
      <c r="E398">
        <v>225.43</v>
      </c>
      <c r="F398" s="23">
        <f t="shared" si="6"/>
        <v>-1.107763204537398E-3</v>
      </c>
    </row>
    <row r="399" spans="1:6" x14ac:dyDescent="0.35">
      <c r="A399" s="22">
        <v>45050</v>
      </c>
      <c r="B399">
        <v>227.45</v>
      </c>
      <c r="C399">
        <v>227.45</v>
      </c>
      <c r="D399">
        <v>227.45</v>
      </c>
      <c r="E399">
        <v>227.45</v>
      </c>
      <c r="F399" s="23">
        <f t="shared" si="6"/>
        <v>8.9606529743156711E-3</v>
      </c>
    </row>
    <row r="400" spans="1:6" x14ac:dyDescent="0.35">
      <c r="A400" s="22">
        <v>45051</v>
      </c>
      <c r="B400">
        <v>226.11</v>
      </c>
      <c r="C400">
        <v>226.11</v>
      </c>
      <c r="D400">
        <v>226.11</v>
      </c>
      <c r="E400">
        <v>226.11</v>
      </c>
      <c r="F400" s="23">
        <f t="shared" si="6"/>
        <v>-5.8914047043305126E-3</v>
      </c>
    </row>
    <row r="401" spans="1:6" x14ac:dyDescent="0.35">
      <c r="A401" s="22">
        <v>45054</v>
      </c>
      <c r="B401">
        <v>228.65</v>
      </c>
      <c r="C401">
        <v>228.65</v>
      </c>
      <c r="D401">
        <v>228.65</v>
      </c>
      <c r="E401">
        <v>228.65</v>
      </c>
      <c r="F401" s="23">
        <f t="shared" si="6"/>
        <v>1.1233470434744115E-2</v>
      </c>
    </row>
    <row r="402" spans="1:6" x14ac:dyDescent="0.35">
      <c r="A402" s="22">
        <v>45055</v>
      </c>
      <c r="B402">
        <v>228.66</v>
      </c>
      <c r="C402">
        <v>228.66</v>
      </c>
      <c r="D402">
        <v>228.66</v>
      </c>
      <c r="E402">
        <v>228.66</v>
      </c>
      <c r="F402" s="23">
        <f t="shared" si="6"/>
        <v>4.3734966105361487E-5</v>
      </c>
    </row>
    <row r="403" spans="1:6" x14ac:dyDescent="0.35">
      <c r="A403" s="22">
        <v>45056</v>
      </c>
      <c r="B403">
        <v>229.15</v>
      </c>
      <c r="C403">
        <v>229.15</v>
      </c>
      <c r="D403">
        <v>229.15</v>
      </c>
      <c r="E403">
        <v>229.15</v>
      </c>
      <c r="F403" s="23">
        <f t="shared" si="6"/>
        <v>2.1429196186478136E-3</v>
      </c>
    </row>
    <row r="404" spans="1:6" x14ac:dyDescent="0.35">
      <c r="A404" s="22">
        <v>45057</v>
      </c>
      <c r="B404">
        <v>229.69</v>
      </c>
      <c r="C404">
        <v>229.69</v>
      </c>
      <c r="D404">
        <v>229.69</v>
      </c>
      <c r="E404">
        <v>229.69</v>
      </c>
      <c r="F404" s="23">
        <f t="shared" si="6"/>
        <v>2.3565350207287454E-3</v>
      </c>
    </row>
    <row r="405" spans="1:6" x14ac:dyDescent="0.35">
      <c r="A405" s="22">
        <v>45058</v>
      </c>
      <c r="B405">
        <v>230.22</v>
      </c>
      <c r="C405">
        <v>230.22</v>
      </c>
      <c r="D405">
        <v>230.22</v>
      </c>
      <c r="E405">
        <v>230.22</v>
      </c>
      <c r="F405" s="23">
        <f t="shared" si="6"/>
        <v>2.307457878009496E-3</v>
      </c>
    </row>
    <row r="406" spans="1:6" x14ac:dyDescent="0.35">
      <c r="A406" s="22">
        <v>45061</v>
      </c>
      <c r="B406">
        <v>231.24</v>
      </c>
      <c r="C406">
        <v>231.24</v>
      </c>
      <c r="D406">
        <v>231.24</v>
      </c>
      <c r="E406">
        <v>231.24</v>
      </c>
      <c r="F406" s="23">
        <f t="shared" si="6"/>
        <v>4.4305446963774225E-3</v>
      </c>
    </row>
    <row r="407" spans="1:6" x14ac:dyDescent="0.35">
      <c r="A407" s="22">
        <v>45062</v>
      </c>
      <c r="B407">
        <v>230.69</v>
      </c>
      <c r="C407">
        <v>230.69</v>
      </c>
      <c r="D407">
        <v>230.69</v>
      </c>
      <c r="E407">
        <v>230.69</v>
      </c>
      <c r="F407" s="23">
        <f t="shared" si="6"/>
        <v>-2.3784812316208761E-3</v>
      </c>
    </row>
    <row r="408" spans="1:6" x14ac:dyDescent="0.35">
      <c r="A408" s="22">
        <v>45063</v>
      </c>
      <c r="B408">
        <v>229.53</v>
      </c>
      <c r="C408">
        <v>229.53</v>
      </c>
      <c r="D408">
        <v>229.53</v>
      </c>
      <c r="E408">
        <v>229.53</v>
      </c>
      <c r="F408" s="23">
        <f t="shared" si="6"/>
        <v>-5.0283930816246766E-3</v>
      </c>
    </row>
    <row r="409" spans="1:6" x14ac:dyDescent="0.35">
      <c r="A409" s="22">
        <v>45064</v>
      </c>
      <c r="B409">
        <v>229.06</v>
      </c>
      <c r="C409">
        <v>229.06</v>
      </c>
      <c r="D409">
        <v>229.06</v>
      </c>
      <c r="E409">
        <v>229.06</v>
      </c>
      <c r="F409" s="23">
        <f t="shared" si="6"/>
        <v>-2.0476626149087216E-3</v>
      </c>
    </row>
    <row r="410" spans="1:6" x14ac:dyDescent="0.35">
      <c r="A410" s="22">
        <v>45065</v>
      </c>
      <c r="B410">
        <v>229.72</v>
      </c>
      <c r="C410">
        <v>229.72</v>
      </c>
      <c r="D410">
        <v>229.72</v>
      </c>
      <c r="E410">
        <v>229.72</v>
      </c>
      <c r="F410" s="23">
        <f t="shared" si="6"/>
        <v>2.8813411333274974E-3</v>
      </c>
    </row>
    <row r="411" spans="1:6" x14ac:dyDescent="0.35">
      <c r="A411" s="22">
        <v>45068</v>
      </c>
      <c r="B411">
        <v>230.29</v>
      </c>
      <c r="C411">
        <v>230.29</v>
      </c>
      <c r="D411">
        <v>230.29</v>
      </c>
      <c r="E411">
        <v>230.29</v>
      </c>
      <c r="F411" s="23">
        <f t="shared" si="6"/>
        <v>2.4812815601601653E-3</v>
      </c>
    </row>
    <row r="412" spans="1:6" x14ac:dyDescent="0.35">
      <c r="A412" s="22">
        <v>45069</v>
      </c>
      <c r="B412">
        <v>230.41</v>
      </c>
      <c r="C412">
        <v>230.41</v>
      </c>
      <c r="D412">
        <v>230.41</v>
      </c>
      <c r="E412">
        <v>230.41</v>
      </c>
      <c r="F412" s="23">
        <f t="shared" si="6"/>
        <v>5.2108211385646166E-4</v>
      </c>
    </row>
    <row r="413" spans="1:6" x14ac:dyDescent="0.35">
      <c r="A413" s="22">
        <v>45070</v>
      </c>
      <c r="B413">
        <v>230</v>
      </c>
      <c r="C413">
        <v>230</v>
      </c>
      <c r="D413">
        <v>230</v>
      </c>
      <c r="E413">
        <v>230</v>
      </c>
      <c r="F413" s="23">
        <f t="shared" si="6"/>
        <v>-1.779436656395107E-3</v>
      </c>
    </row>
    <row r="414" spans="1:6" x14ac:dyDescent="0.35">
      <c r="A414" s="22">
        <v>45071</v>
      </c>
      <c r="B414">
        <v>230.6</v>
      </c>
      <c r="C414">
        <v>230.6</v>
      </c>
      <c r="D414">
        <v>230.6</v>
      </c>
      <c r="E414">
        <v>230.6</v>
      </c>
      <c r="F414" s="23">
        <f t="shared" si="6"/>
        <v>2.6086956521738885E-3</v>
      </c>
    </row>
    <row r="415" spans="1:6" x14ac:dyDescent="0.35">
      <c r="A415" s="22">
        <v>45072</v>
      </c>
      <c r="B415">
        <v>232.58</v>
      </c>
      <c r="C415">
        <v>232.58</v>
      </c>
      <c r="D415">
        <v>232.58</v>
      </c>
      <c r="E415">
        <v>232.58</v>
      </c>
      <c r="F415" s="23">
        <f t="shared" si="6"/>
        <v>8.586296617519593E-3</v>
      </c>
    </row>
    <row r="416" spans="1:6" x14ac:dyDescent="0.35">
      <c r="A416" s="22">
        <v>45075</v>
      </c>
      <c r="B416">
        <v>233.7</v>
      </c>
      <c r="C416">
        <v>233.7</v>
      </c>
      <c r="D416">
        <v>233.7</v>
      </c>
      <c r="E416">
        <v>233.7</v>
      </c>
      <c r="F416" s="23">
        <f t="shared" si="6"/>
        <v>4.8155473385500733E-3</v>
      </c>
    </row>
    <row r="417" spans="1:6" x14ac:dyDescent="0.35">
      <c r="A417" s="22">
        <v>45076</v>
      </c>
      <c r="B417">
        <v>234.33</v>
      </c>
      <c r="C417">
        <v>234.33</v>
      </c>
      <c r="D417">
        <v>234.33</v>
      </c>
      <c r="E417">
        <v>234.33</v>
      </c>
      <c r="F417" s="23">
        <f t="shared" si="6"/>
        <v>2.695763799743363E-3</v>
      </c>
    </row>
    <row r="418" spans="1:6" x14ac:dyDescent="0.35">
      <c r="A418" s="22">
        <v>45077</v>
      </c>
      <c r="B418">
        <v>234.05</v>
      </c>
      <c r="C418">
        <v>234.05</v>
      </c>
      <c r="D418">
        <v>234.05</v>
      </c>
      <c r="E418">
        <v>234.05</v>
      </c>
      <c r="F418" s="23">
        <f t="shared" si="6"/>
        <v>-1.1948960867153209E-3</v>
      </c>
    </row>
    <row r="419" spans="1:6" x14ac:dyDescent="0.35">
      <c r="A419" s="22">
        <v>45078</v>
      </c>
      <c r="B419">
        <v>233.21</v>
      </c>
      <c r="C419">
        <v>233.21</v>
      </c>
      <c r="D419">
        <v>233.21</v>
      </c>
      <c r="E419">
        <v>233.21</v>
      </c>
      <c r="F419" s="23">
        <f t="shared" si="6"/>
        <v>-3.5889767143772841E-3</v>
      </c>
    </row>
    <row r="420" spans="1:6" x14ac:dyDescent="0.35">
      <c r="A420" s="22">
        <v>45079</v>
      </c>
      <c r="B420">
        <v>234.21</v>
      </c>
      <c r="C420">
        <v>234.21</v>
      </c>
      <c r="D420">
        <v>234.21</v>
      </c>
      <c r="E420">
        <v>234.21</v>
      </c>
      <c r="F420" s="23">
        <f t="shared" si="6"/>
        <v>4.2879807898460612E-3</v>
      </c>
    </row>
    <row r="421" spans="1:6" x14ac:dyDescent="0.35">
      <c r="A421" s="22">
        <v>45082</v>
      </c>
      <c r="B421">
        <v>235.08</v>
      </c>
      <c r="C421">
        <v>235.08</v>
      </c>
      <c r="D421">
        <v>235.08</v>
      </c>
      <c r="E421">
        <v>235.08</v>
      </c>
      <c r="F421" s="23">
        <f t="shared" si="6"/>
        <v>3.7146150890226912E-3</v>
      </c>
    </row>
    <row r="422" spans="1:6" x14ac:dyDescent="0.35">
      <c r="A422" s="22">
        <v>45083</v>
      </c>
      <c r="B422">
        <v>235.55</v>
      </c>
      <c r="C422">
        <v>235.55</v>
      </c>
      <c r="D422">
        <v>235.55</v>
      </c>
      <c r="E422">
        <v>235.55</v>
      </c>
      <c r="F422" s="23">
        <f t="shared" si="6"/>
        <v>1.9993193806363743E-3</v>
      </c>
    </row>
    <row r="423" spans="1:6" x14ac:dyDescent="0.35">
      <c r="A423" s="22">
        <v>45084</v>
      </c>
      <c r="B423">
        <v>237.37</v>
      </c>
      <c r="C423">
        <v>237.37</v>
      </c>
      <c r="D423">
        <v>237.37</v>
      </c>
      <c r="E423">
        <v>237.37</v>
      </c>
      <c r="F423" s="23">
        <f t="shared" si="6"/>
        <v>7.7265973254085889E-3</v>
      </c>
    </row>
    <row r="424" spans="1:6" x14ac:dyDescent="0.35">
      <c r="A424" s="22">
        <v>45085</v>
      </c>
      <c r="B424">
        <v>235.81</v>
      </c>
      <c r="C424">
        <v>235.81</v>
      </c>
      <c r="D424">
        <v>235.81</v>
      </c>
      <c r="E424">
        <v>235.81</v>
      </c>
      <c r="F424" s="23">
        <f t="shared" si="6"/>
        <v>-6.5720183679487815E-3</v>
      </c>
    </row>
    <row r="425" spans="1:6" x14ac:dyDescent="0.35">
      <c r="A425" s="22">
        <v>45086</v>
      </c>
      <c r="B425">
        <v>235.59</v>
      </c>
      <c r="C425">
        <v>235.59</v>
      </c>
      <c r="D425">
        <v>235.59</v>
      </c>
      <c r="E425">
        <v>235.59</v>
      </c>
      <c r="F425" s="23">
        <f t="shared" si="6"/>
        <v>-9.3295449726474224E-4</v>
      </c>
    </row>
    <row r="426" spans="1:6" x14ac:dyDescent="0.35">
      <c r="A426" s="22">
        <v>45089</v>
      </c>
      <c r="B426">
        <v>236.11</v>
      </c>
      <c r="C426">
        <v>236.11</v>
      </c>
      <c r="D426">
        <v>236.11</v>
      </c>
      <c r="E426">
        <v>236.11</v>
      </c>
      <c r="F426" s="23">
        <f t="shared" si="6"/>
        <v>2.2072244152978064E-3</v>
      </c>
    </row>
    <row r="427" spans="1:6" x14ac:dyDescent="0.35">
      <c r="A427" s="22">
        <v>45090</v>
      </c>
      <c r="B427">
        <v>238.07</v>
      </c>
      <c r="C427">
        <v>238.07</v>
      </c>
      <c r="D427">
        <v>238.07</v>
      </c>
      <c r="E427">
        <v>238.07</v>
      </c>
      <c r="F427" s="23">
        <f t="shared" si="6"/>
        <v>8.3012155351318423E-3</v>
      </c>
    </row>
    <row r="428" spans="1:6" x14ac:dyDescent="0.35">
      <c r="A428" s="22">
        <v>45091</v>
      </c>
      <c r="B428">
        <v>238.49</v>
      </c>
      <c r="C428">
        <v>238.49</v>
      </c>
      <c r="D428">
        <v>238.49</v>
      </c>
      <c r="E428">
        <v>238.49</v>
      </c>
      <c r="F428" s="23">
        <f t="shared" si="6"/>
        <v>1.764187003822472E-3</v>
      </c>
    </row>
    <row r="429" spans="1:6" x14ac:dyDescent="0.35">
      <c r="A429" s="22">
        <v>45092</v>
      </c>
      <c r="B429">
        <v>238.03</v>
      </c>
      <c r="C429">
        <v>238.03</v>
      </c>
      <c r="D429">
        <v>238.03</v>
      </c>
      <c r="E429">
        <v>238.03</v>
      </c>
      <c r="F429" s="23">
        <f t="shared" si="6"/>
        <v>-1.9288020462074214E-3</v>
      </c>
    </row>
    <row r="430" spans="1:6" x14ac:dyDescent="0.35">
      <c r="A430" s="22">
        <v>45093</v>
      </c>
      <c r="B430">
        <v>239.8</v>
      </c>
      <c r="C430">
        <v>239.8</v>
      </c>
      <c r="D430">
        <v>239.8</v>
      </c>
      <c r="E430">
        <v>239.8</v>
      </c>
      <c r="F430" s="23">
        <f t="shared" si="6"/>
        <v>7.4360374742679924E-3</v>
      </c>
    </row>
    <row r="431" spans="1:6" x14ac:dyDescent="0.35">
      <c r="A431" s="22">
        <v>45096</v>
      </c>
      <c r="B431">
        <v>239.06</v>
      </c>
      <c r="C431">
        <v>239.06</v>
      </c>
      <c r="D431">
        <v>239.06</v>
      </c>
      <c r="E431">
        <v>239.06</v>
      </c>
      <c r="F431" s="23">
        <f t="shared" si="6"/>
        <v>-3.0859049207673439E-3</v>
      </c>
    </row>
    <row r="432" spans="1:6" x14ac:dyDescent="0.35">
      <c r="A432" s="22">
        <v>45097</v>
      </c>
      <c r="B432">
        <v>239.46</v>
      </c>
      <c r="C432">
        <v>239.46</v>
      </c>
      <c r="D432">
        <v>239.46</v>
      </c>
      <c r="E432">
        <v>239.46</v>
      </c>
      <c r="F432" s="23">
        <f t="shared" si="6"/>
        <v>1.6732201121057713E-3</v>
      </c>
    </row>
    <row r="433" spans="1:6" x14ac:dyDescent="0.35">
      <c r="A433" s="22">
        <v>45098</v>
      </c>
      <c r="B433">
        <v>239.71</v>
      </c>
      <c r="C433">
        <v>239.71</v>
      </c>
      <c r="D433">
        <v>239.71</v>
      </c>
      <c r="E433">
        <v>239.71</v>
      </c>
      <c r="F433" s="23">
        <f t="shared" si="6"/>
        <v>1.044015701996158E-3</v>
      </c>
    </row>
    <row r="434" spans="1:6" x14ac:dyDescent="0.35">
      <c r="A434" s="22">
        <v>45099</v>
      </c>
      <c r="B434">
        <v>238.56</v>
      </c>
      <c r="C434">
        <v>238.56</v>
      </c>
      <c r="D434">
        <v>238.56</v>
      </c>
      <c r="E434">
        <v>238.56</v>
      </c>
      <c r="F434" s="23">
        <f t="shared" si="6"/>
        <v>-4.7974636018522617E-3</v>
      </c>
    </row>
    <row r="435" spans="1:6" x14ac:dyDescent="0.35">
      <c r="A435" s="22">
        <v>45100</v>
      </c>
      <c r="B435">
        <v>237.03</v>
      </c>
      <c r="C435">
        <v>237.03</v>
      </c>
      <c r="D435">
        <v>237.03</v>
      </c>
      <c r="E435">
        <v>237.03</v>
      </c>
      <c r="F435" s="23">
        <f t="shared" si="6"/>
        <v>-6.4134808853118759E-3</v>
      </c>
    </row>
    <row r="436" spans="1:6" x14ac:dyDescent="0.35">
      <c r="A436" s="22">
        <v>45117</v>
      </c>
      <c r="B436">
        <v>243.71</v>
      </c>
      <c r="C436">
        <v>243.71</v>
      </c>
      <c r="D436">
        <v>243.71</v>
      </c>
      <c r="E436">
        <v>243.71</v>
      </c>
      <c r="F436" s="23">
        <f t="shared" si="6"/>
        <v>2.818208665569762E-2</v>
      </c>
    </row>
    <row r="437" spans="1:6" x14ac:dyDescent="0.35">
      <c r="A437" s="22">
        <v>45118</v>
      </c>
      <c r="B437">
        <v>244.96</v>
      </c>
      <c r="C437">
        <v>244.96</v>
      </c>
      <c r="D437">
        <v>244.96</v>
      </c>
      <c r="E437">
        <v>244.96</v>
      </c>
      <c r="F437" s="23">
        <f t="shared" si="6"/>
        <v>5.1290468179393542E-3</v>
      </c>
    </row>
    <row r="438" spans="1:6" x14ac:dyDescent="0.35">
      <c r="A438" s="22">
        <v>45119</v>
      </c>
      <c r="B438">
        <v>244.54</v>
      </c>
      <c r="C438">
        <v>244.54</v>
      </c>
      <c r="D438">
        <v>244.54</v>
      </c>
      <c r="E438">
        <v>244.54</v>
      </c>
      <c r="F438" s="23">
        <f t="shared" si="6"/>
        <v>-1.7145656433704111E-3</v>
      </c>
    </row>
    <row r="439" spans="1:6" x14ac:dyDescent="0.35">
      <c r="A439" s="22">
        <v>45120</v>
      </c>
      <c r="B439">
        <v>244.78</v>
      </c>
      <c r="C439">
        <v>244.78</v>
      </c>
      <c r="D439">
        <v>244.78</v>
      </c>
      <c r="E439">
        <v>244.78</v>
      </c>
      <c r="F439" s="23">
        <f t="shared" si="6"/>
        <v>9.8143453013825599E-4</v>
      </c>
    </row>
    <row r="440" spans="1:6" x14ac:dyDescent="0.35">
      <c r="A440" s="22">
        <v>45121</v>
      </c>
      <c r="B440">
        <v>246.37</v>
      </c>
      <c r="C440">
        <v>246.37</v>
      </c>
      <c r="D440">
        <v>246.37</v>
      </c>
      <c r="E440">
        <v>246.37</v>
      </c>
      <c r="F440" s="23">
        <f t="shared" si="6"/>
        <v>6.4956287278372556E-3</v>
      </c>
    </row>
    <row r="441" spans="1:6" x14ac:dyDescent="0.35">
      <c r="A441" s="22">
        <v>45124</v>
      </c>
      <c r="B441">
        <v>247.66</v>
      </c>
      <c r="C441">
        <v>247.66</v>
      </c>
      <c r="D441">
        <v>247.66</v>
      </c>
      <c r="E441">
        <v>247.66</v>
      </c>
      <c r="F441" s="23">
        <f t="shared" si="6"/>
        <v>5.2360271136907581E-3</v>
      </c>
    </row>
    <row r="442" spans="1:6" x14ac:dyDescent="0.35">
      <c r="A442" s="22">
        <v>45125</v>
      </c>
      <c r="B442">
        <v>247.85</v>
      </c>
      <c r="C442">
        <v>247.85</v>
      </c>
      <c r="D442">
        <v>247.85</v>
      </c>
      <c r="E442">
        <v>247.85</v>
      </c>
      <c r="F442" s="23">
        <f t="shared" si="6"/>
        <v>7.6718081240409323E-4</v>
      </c>
    </row>
    <row r="443" spans="1:6" x14ac:dyDescent="0.35">
      <c r="A443" s="22">
        <v>45126</v>
      </c>
      <c r="B443">
        <v>249.3</v>
      </c>
      <c r="C443">
        <v>249.3</v>
      </c>
      <c r="D443">
        <v>249.3</v>
      </c>
      <c r="E443">
        <v>249.3</v>
      </c>
      <c r="F443" s="23">
        <f t="shared" si="6"/>
        <v>5.8503126891265569E-3</v>
      </c>
    </row>
    <row r="444" spans="1:6" x14ac:dyDescent="0.35">
      <c r="A444" s="22">
        <v>45127</v>
      </c>
      <c r="B444">
        <v>250.51</v>
      </c>
      <c r="C444">
        <v>250.51</v>
      </c>
      <c r="D444">
        <v>250.51</v>
      </c>
      <c r="E444">
        <v>250.51</v>
      </c>
      <c r="F444" s="23">
        <f t="shared" si="6"/>
        <v>4.8535900521459261E-3</v>
      </c>
    </row>
    <row r="445" spans="1:6" x14ac:dyDescent="0.35">
      <c r="A445" s="22">
        <v>45128</v>
      </c>
      <c r="B445">
        <v>248.28</v>
      </c>
      <c r="C445">
        <v>248.28</v>
      </c>
      <c r="D445">
        <v>248.28</v>
      </c>
      <c r="E445">
        <v>248.28</v>
      </c>
      <c r="F445" s="23">
        <f t="shared" si="6"/>
        <v>-8.9018402458983271E-3</v>
      </c>
    </row>
    <row r="446" spans="1:6" x14ac:dyDescent="0.35">
      <c r="A446" s="22">
        <v>45131</v>
      </c>
      <c r="B446">
        <v>248.15</v>
      </c>
      <c r="C446">
        <v>248.15</v>
      </c>
      <c r="D446">
        <v>248.15</v>
      </c>
      <c r="E446">
        <v>248.15</v>
      </c>
      <c r="F446" s="23">
        <f t="shared" si="6"/>
        <v>-5.23602384404686E-4</v>
      </c>
    </row>
    <row r="447" spans="1:6" x14ac:dyDescent="0.35">
      <c r="A447" s="22">
        <v>45132</v>
      </c>
      <c r="B447">
        <v>248.36</v>
      </c>
      <c r="C447">
        <v>248.36</v>
      </c>
      <c r="D447">
        <v>248.36</v>
      </c>
      <c r="E447">
        <v>248.36</v>
      </c>
      <c r="F447" s="23">
        <f t="shared" si="6"/>
        <v>8.462623413258431E-4</v>
      </c>
    </row>
    <row r="448" spans="1:6" x14ac:dyDescent="0.35">
      <c r="A448" s="22">
        <v>45133</v>
      </c>
      <c r="B448">
        <v>249.15</v>
      </c>
      <c r="C448">
        <v>249.15</v>
      </c>
      <c r="D448">
        <v>249.15</v>
      </c>
      <c r="E448">
        <v>249.15</v>
      </c>
      <c r="F448" s="23">
        <f t="shared" si="6"/>
        <v>3.1808664841358994E-3</v>
      </c>
    </row>
    <row r="449" spans="1:6" x14ac:dyDescent="0.35">
      <c r="A449" s="22">
        <v>45134</v>
      </c>
      <c r="B449">
        <v>248.17</v>
      </c>
      <c r="C449">
        <v>248.17</v>
      </c>
      <c r="D449">
        <v>248.17</v>
      </c>
      <c r="E449">
        <v>248.17</v>
      </c>
      <c r="F449" s="23">
        <f t="shared" si="6"/>
        <v>-3.9333734697973837E-3</v>
      </c>
    </row>
    <row r="450" spans="1:6" x14ac:dyDescent="0.35">
      <c r="A450" s="22">
        <v>45135</v>
      </c>
      <c r="B450">
        <v>248.18</v>
      </c>
      <c r="C450">
        <v>248.18</v>
      </c>
      <c r="D450">
        <v>248.18</v>
      </c>
      <c r="E450">
        <v>248.18</v>
      </c>
      <c r="F450" s="23">
        <f t="shared" si="6"/>
        <v>4.029495910069439E-5</v>
      </c>
    </row>
    <row r="451" spans="1:6" x14ac:dyDescent="0.35">
      <c r="A451" s="22">
        <v>45138</v>
      </c>
      <c r="B451">
        <v>249.34</v>
      </c>
      <c r="C451">
        <v>249.34</v>
      </c>
      <c r="D451">
        <v>249.34</v>
      </c>
      <c r="E451">
        <v>249.34</v>
      </c>
      <c r="F451" s="23">
        <f t="shared" ref="F451:F514" si="7">(B451-B450)/B450</f>
        <v>4.6740269159480886E-3</v>
      </c>
    </row>
    <row r="452" spans="1:6" x14ac:dyDescent="0.35">
      <c r="A452" s="22">
        <v>45139</v>
      </c>
      <c r="B452">
        <v>249.16</v>
      </c>
      <c r="C452">
        <v>249.16</v>
      </c>
      <c r="D452">
        <v>249.16</v>
      </c>
      <c r="E452">
        <v>249.16</v>
      </c>
      <c r="F452" s="23">
        <f t="shared" si="7"/>
        <v>-7.2190583139490985E-4</v>
      </c>
    </row>
    <row r="453" spans="1:6" x14ac:dyDescent="0.35">
      <c r="A453" s="22">
        <v>45140</v>
      </c>
      <c r="B453">
        <v>246.67</v>
      </c>
      <c r="C453">
        <v>246.67</v>
      </c>
      <c r="D453">
        <v>246.67</v>
      </c>
      <c r="E453">
        <v>246.67</v>
      </c>
      <c r="F453" s="23">
        <f t="shared" si="7"/>
        <v>-9.9935784235030065E-3</v>
      </c>
    </row>
    <row r="454" spans="1:6" x14ac:dyDescent="0.35">
      <c r="A454" s="22">
        <v>45141</v>
      </c>
      <c r="B454">
        <v>244.84</v>
      </c>
      <c r="C454">
        <v>244.84</v>
      </c>
      <c r="D454">
        <v>244.84</v>
      </c>
      <c r="E454">
        <v>244.84</v>
      </c>
      <c r="F454" s="23">
        <f t="shared" si="7"/>
        <v>-7.4188186646125765E-3</v>
      </c>
    </row>
    <row r="455" spans="1:6" x14ac:dyDescent="0.35">
      <c r="A455" s="22">
        <v>45142</v>
      </c>
      <c r="B455">
        <v>246.11</v>
      </c>
      <c r="C455">
        <v>246.11</v>
      </c>
      <c r="D455">
        <v>246.11</v>
      </c>
      <c r="E455">
        <v>246.11</v>
      </c>
      <c r="F455" s="23">
        <f t="shared" si="7"/>
        <v>5.1870609377553103E-3</v>
      </c>
    </row>
    <row r="456" spans="1:6" x14ac:dyDescent="0.35">
      <c r="A456" s="22">
        <v>45145</v>
      </c>
      <c r="B456">
        <v>247.14</v>
      </c>
      <c r="C456">
        <v>247.14</v>
      </c>
      <c r="D456">
        <v>247.14</v>
      </c>
      <c r="E456">
        <v>247.14</v>
      </c>
      <c r="F456" s="23">
        <f t="shared" si="7"/>
        <v>4.1851204745844243E-3</v>
      </c>
    </row>
    <row r="457" spans="1:6" x14ac:dyDescent="0.35">
      <c r="A457" s="22">
        <v>45146</v>
      </c>
      <c r="B457">
        <v>247</v>
      </c>
      <c r="C457">
        <v>247</v>
      </c>
      <c r="D457">
        <v>247</v>
      </c>
      <c r="E457">
        <v>247</v>
      </c>
      <c r="F457" s="23">
        <f t="shared" si="7"/>
        <v>-5.664805373471974E-4</v>
      </c>
    </row>
    <row r="458" spans="1:6" x14ac:dyDescent="0.35">
      <c r="A458" s="22">
        <v>45147</v>
      </c>
      <c r="B458">
        <v>247.35</v>
      </c>
      <c r="C458">
        <v>247.35</v>
      </c>
      <c r="D458">
        <v>247.35</v>
      </c>
      <c r="E458">
        <v>247.35</v>
      </c>
      <c r="F458" s="23">
        <f t="shared" si="7"/>
        <v>1.4170040485829729E-3</v>
      </c>
    </row>
    <row r="459" spans="1:6" x14ac:dyDescent="0.35">
      <c r="A459" s="22">
        <v>45148</v>
      </c>
      <c r="B459">
        <v>246.11</v>
      </c>
      <c r="C459">
        <v>246.11</v>
      </c>
      <c r="D459">
        <v>246.11</v>
      </c>
      <c r="E459">
        <v>246.11</v>
      </c>
      <c r="F459" s="23">
        <f t="shared" si="7"/>
        <v>-5.0131392763290107E-3</v>
      </c>
    </row>
    <row r="460" spans="1:6" x14ac:dyDescent="0.35">
      <c r="A460" s="22">
        <v>45149</v>
      </c>
      <c r="B460">
        <v>244.97</v>
      </c>
      <c r="C460">
        <v>244.97</v>
      </c>
      <c r="D460">
        <v>244.97</v>
      </c>
      <c r="E460">
        <v>244.97</v>
      </c>
      <c r="F460" s="23">
        <f t="shared" si="7"/>
        <v>-4.6320750883751764E-3</v>
      </c>
    </row>
    <row r="461" spans="1:6" x14ac:dyDescent="0.35">
      <c r="A461" s="22">
        <v>45152</v>
      </c>
      <c r="B461">
        <v>244.37</v>
      </c>
      <c r="C461">
        <v>244.37</v>
      </c>
      <c r="D461">
        <v>244.37</v>
      </c>
      <c r="E461">
        <v>244.37</v>
      </c>
      <c r="F461" s="23">
        <f t="shared" si="7"/>
        <v>-2.4492795036126641E-3</v>
      </c>
    </row>
    <row r="462" spans="1:6" x14ac:dyDescent="0.35">
      <c r="A462" s="22">
        <v>45153</v>
      </c>
      <c r="B462">
        <v>244.37</v>
      </c>
      <c r="C462">
        <v>244.37</v>
      </c>
      <c r="D462">
        <v>244.37</v>
      </c>
      <c r="E462">
        <v>244.37</v>
      </c>
      <c r="F462" s="23">
        <f t="shared" si="7"/>
        <v>0</v>
      </c>
    </row>
    <row r="463" spans="1:6" x14ac:dyDescent="0.35">
      <c r="A463" s="22">
        <v>45154</v>
      </c>
      <c r="B463">
        <v>245.3</v>
      </c>
      <c r="C463">
        <v>245.3</v>
      </c>
      <c r="D463">
        <v>245.3</v>
      </c>
      <c r="E463">
        <v>245.3</v>
      </c>
      <c r="F463" s="23">
        <f t="shared" si="7"/>
        <v>3.8057044645415017E-3</v>
      </c>
    </row>
    <row r="464" spans="1:6" x14ac:dyDescent="0.35">
      <c r="A464" s="22">
        <v>45155</v>
      </c>
      <c r="B464">
        <v>244.64</v>
      </c>
      <c r="C464">
        <v>244.64</v>
      </c>
      <c r="D464">
        <v>244.64</v>
      </c>
      <c r="E464">
        <v>244.64</v>
      </c>
      <c r="F464" s="23">
        <f t="shared" si="7"/>
        <v>-2.6905829596413577E-3</v>
      </c>
    </row>
    <row r="465" spans="1:6" x14ac:dyDescent="0.35">
      <c r="A465" s="22">
        <v>45156</v>
      </c>
      <c r="B465">
        <v>243.7</v>
      </c>
      <c r="C465">
        <v>243.7</v>
      </c>
      <c r="D465">
        <v>243.7</v>
      </c>
      <c r="E465">
        <v>243.7</v>
      </c>
      <c r="F465" s="23">
        <f t="shared" si="7"/>
        <v>-3.842380640941783E-3</v>
      </c>
    </row>
    <row r="466" spans="1:6" x14ac:dyDescent="0.35">
      <c r="A466" s="22">
        <v>45159</v>
      </c>
      <c r="B466">
        <v>245.23</v>
      </c>
      <c r="C466">
        <v>245.23</v>
      </c>
      <c r="D466">
        <v>245.23</v>
      </c>
      <c r="E466">
        <v>245.23</v>
      </c>
      <c r="F466" s="23">
        <f t="shared" si="7"/>
        <v>6.2782109150595041E-3</v>
      </c>
    </row>
    <row r="467" spans="1:6" x14ac:dyDescent="0.35">
      <c r="A467" s="22">
        <v>45160</v>
      </c>
      <c r="B467">
        <v>246.04</v>
      </c>
      <c r="C467">
        <v>246.04</v>
      </c>
      <c r="D467">
        <v>246.04</v>
      </c>
      <c r="E467">
        <v>246.04</v>
      </c>
      <c r="F467" s="23">
        <f t="shared" si="7"/>
        <v>3.3030216531419578E-3</v>
      </c>
    </row>
    <row r="468" spans="1:6" x14ac:dyDescent="0.35">
      <c r="A468" s="22">
        <v>45161</v>
      </c>
      <c r="B468">
        <v>246.73</v>
      </c>
      <c r="C468">
        <v>246.73</v>
      </c>
      <c r="D468">
        <v>246.73</v>
      </c>
      <c r="E468">
        <v>246.73</v>
      </c>
      <c r="F468" s="23">
        <f t="shared" si="7"/>
        <v>2.8044220451958939E-3</v>
      </c>
    </row>
    <row r="469" spans="1:6" x14ac:dyDescent="0.35">
      <c r="A469" s="22">
        <v>45162</v>
      </c>
      <c r="B469">
        <v>246.38</v>
      </c>
      <c r="C469">
        <v>246.38</v>
      </c>
      <c r="D469">
        <v>246.38</v>
      </c>
      <c r="E469">
        <v>246.38</v>
      </c>
      <c r="F469" s="23">
        <f t="shared" si="7"/>
        <v>-1.4185546954160189E-3</v>
      </c>
    </row>
    <row r="470" spans="1:6" x14ac:dyDescent="0.35">
      <c r="A470" s="22">
        <v>45163</v>
      </c>
      <c r="B470">
        <v>244.87</v>
      </c>
      <c r="C470">
        <v>244.87</v>
      </c>
      <c r="D470">
        <v>244.87</v>
      </c>
      <c r="E470">
        <v>244.87</v>
      </c>
      <c r="F470" s="23">
        <f t="shared" si="7"/>
        <v>-6.1287442162512827E-3</v>
      </c>
    </row>
    <row r="471" spans="1:6" x14ac:dyDescent="0.35">
      <c r="A471" s="22">
        <v>45166</v>
      </c>
      <c r="B471">
        <v>245.69</v>
      </c>
      <c r="C471">
        <v>245.69</v>
      </c>
      <c r="D471">
        <v>245.69</v>
      </c>
      <c r="E471">
        <v>245.69</v>
      </c>
      <c r="F471" s="23">
        <f t="shared" si="7"/>
        <v>3.3487156450361139E-3</v>
      </c>
    </row>
    <row r="472" spans="1:6" x14ac:dyDescent="0.35">
      <c r="A472" s="22">
        <v>45167</v>
      </c>
      <c r="B472">
        <v>246.19</v>
      </c>
      <c r="C472">
        <v>246.19</v>
      </c>
      <c r="D472">
        <v>246.19</v>
      </c>
      <c r="E472">
        <v>246.19</v>
      </c>
      <c r="F472" s="23">
        <f t="shared" si="7"/>
        <v>2.0350848630387888E-3</v>
      </c>
    </row>
    <row r="473" spans="1:6" x14ac:dyDescent="0.35">
      <c r="A473" s="22">
        <v>45168</v>
      </c>
      <c r="B473">
        <v>246.83</v>
      </c>
      <c r="C473">
        <v>246.83</v>
      </c>
      <c r="D473">
        <v>246.83</v>
      </c>
      <c r="E473">
        <v>246.83</v>
      </c>
      <c r="F473" s="23">
        <f t="shared" si="7"/>
        <v>2.5996181810797139E-3</v>
      </c>
    </row>
    <row r="474" spans="1:6" x14ac:dyDescent="0.35">
      <c r="A474" s="22">
        <v>45169</v>
      </c>
      <c r="B474">
        <v>246.32</v>
      </c>
      <c r="C474">
        <v>246.32</v>
      </c>
      <c r="D474">
        <v>246.32</v>
      </c>
      <c r="E474">
        <v>246.32</v>
      </c>
      <c r="F474" s="23">
        <f t="shared" si="7"/>
        <v>-2.0661994084998554E-3</v>
      </c>
    </row>
    <row r="475" spans="1:6" x14ac:dyDescent="0.35">
      <c r="A475" s="22">
        <v>45170</v>
      </c>
      <c r="B475">
        <v>248.23</v>
      </c>
      <c r="C475">
        <v>248.23</v>
      </c>
      <c r="D475">
        <v>248.23</v>
      </c>
      <c r="E475">
        <v>248.23</v>
      </c>
      <c r="F475" s="23">
        <f t="shared" si="7"/>
        <v>7.7541409548554591E-3</v>
      </c>
    </row>
    <row r="476" spans="1:6" x14ac:dyDescent="0.35">
      <c r="A476" s="22">
        <v>45173</v>
      </c>
      <c r="B476">
        <v>249</v>
      </c>
      <c r="C476">
        <v>249</v>
      </c>
      <c r="D476">
        <v>249</v>
      </c>
      <c r="E476">
        <v>249</v>
      </c>
      <c r="F476" s="23">
        <f t="shared" si="7"/>
        <v>3.1019618901825335E-3</v>
      </c>
    </row>
    <row r="477" spans="1:6" x14ac:dyDescent="0.35">
      <c r="A477" s="22">
        <v>45174</v>
      </c>
      <c r="B477">
        <v>249.98</v>
      </c>
      <c r="C477">
        <v>249.98</v>
      </c>
      <c r="D477">
        <v>249.98</v>
      </c>
      <c r="E477">
        <v>249.98</v>
      </c>
      <c r="F477" s="23">
        <f t="shared" si="7"/>
        <v>3.9357429718875087E-3</v>
      </c>
    </row>
    <row r="478" spans="1:6" x14ac:dyDescent="0.35">
      <c r="A478" s="22">
        <v>45175</v>
      </c>
      <c r="B478">
        <v>250.18</v>
      </c>
      <c r="C478">
        <v>250.18</v>
      </c>
      <c r="D478">
        <v>250.18</v>
      </c>
      <c r="E478">
        <v>250.18</v>
      </c>
      <c r="F478" s="23">
        <f t="shared" si="7"/>
        <v>8.000640051204779E-4</v>
      </c>
    </row>
    <row r="479" spans="1:6" x14ac:dyDescent="0.35">
      <c r="A479" s="22">
        <v>45176</v>
      </c>
      <c r="B479">
        <v>251.34</v>
      </c>
      <c r="C479">
        <v>251.34</v>
      </c>
      <c r="D479">
        <v>251.34</v>
      </c>
      <c r="E479">
        <v>251.34</v>
      </c>
      <c r="F479" s="23">
        <f t="shared" si="7"/>
        <v>4.6366616036453614E-3</v>
      </c>
    </row>
    <row r="480" spans="1:6" x14ac:dyDescent="0.35">
      <c r="A480" s="22">
        <v>45177</v>
      </c>
      <c r="B480">
        <v>252.76</v>
      </c>
      <c r="C480">
        <v>252.76</v>
      </c>
      <c r="D480">
        <v>252.76</v>
      </c>
      <c r="E480">
        <v>252.76</v>
      </c>
      <c r="F480" s="23">
        <f t="shared" si="7"/>
        <v>5.6497175141242443E-3</v>
      </c>
    </row>
    <row r="481" spans="1:6" x14ac:dyDescent="0.35">
      <c r="A481" s="22">
        <v>45180</v>
      </c>
      <c r="B481">
        <v>254.69</v>
      </c>
      <c r="C481">
        <v>254.69</v>
      </c>
      <c r="D481">
        <v>254.69</v>
      </c>
      <c r="E481">
        <v>254.69</v>
      </c>
      <c r="F481" s="23">
        <f t="shared" si="7"/>
        <v>7.6357018515588182E-3</v>
      </c>
    </row>
    <row r="482" spans="1:6" x14ac:dyDescent="0.35">
      <c r="A482" s="22">
        <v>45181</v>
      </c>
      <c r="B482">
        <v>252.85</v>
      </c>
      <c r="C482">
        <v>252.85</v>
      </c>
      <c r="D482">
        <v>252.85</v>
      </c>
      <c r="E482">
        <v>252.85</v>
      </c>
      <c r="F482" s="23">
        <f t="shared" si="7"/>
        <v>-7.2244689622678682E-3</v>
      </c>
    </row>
    <row r="483" spans="1:6" x14ac:dyDescent="0.35">
      <c r="A483" s="22">
        <v>45182</v>
      </c>
      <c r="B483">
        <v>253.45</v>
      </c>
      <c r="C483">
        <v>253.45</v>
      </c>
      <c r="D483">
        <v>253.45</v>
      </c>
      <c r="E483">
        <v>253.45</v>
      </c>
      <c r="F483" s="23">
        <f t="shared" si="7"/>
        <v>2.3729483883725305E-3</v>
      </c>
    </row>
    <row r="484" spans="1:6" x14ac:dyDescent="0.35">
      <c r="A484" s="22">
        <v>45183</v>
      </c>
      <c r="B484">
        <v>254.35</v>
      </c>
      <c r="C484">
        <v>254.35</v>
      </c>
      <c r="D484">
        <v>254.35</v>
      </c>
      <c r="E484">
        <v>254.35</v>
      </c>
      <c r="F484" s="23">
        <f t="shared" si="7"/>
        <v>3.5509962517262014E-3</v>
      </c>
    </row>
    <row r="485" spans="1:6" x14ac:dyDescent="0.35">
      <c r="A485" s="22">
        <v>45184</v>
      </c>
      <c r="B485">
        <v>255.22</v>
      </c>
      <c r="C485">
        <v>255.22</v>
      </c>
      <c r="D485">
        <v>255.22</v>
      </c>
      <c r="E485">
        <v>255.22</v>
      </c>
      <c r="F485" s="23">
        <f t="shared" si="7"/>
        <v>3.4204835856103972E-3</v>
      </c>
    </row>
    <row r="486" spans="1:6" x14ac:dyDescent="0.35">
      <c r="A486" s="22">
        <v>45187</v>
      </c>
      <c r="B486">
        <v>254.64</v>
      </c>
      <c r="C486">
        <v>254.64</v>
      </c>
      <c r="D486">
        <v>254.64</v>
      </c>
      <c r="E486">
        <v>254.64</v>
      </c>
      <c r="F486" s="23">
        <f t="shared" si="7"/>
        <v>-2.2725491732623324E-3</v>
      </c>
    </row>
    <row r="487" spans="1:6" x14ac:dyDescent="0.35">
      <c r="A487" s="22">
        <v>45188</v>
      </c>
      <c r="B487">
        <v>254.64</v>
      </c>
      <c r="C487">
        <v>254.64</v>
      </c>
      <c r="D487">
        <v>254.64</v>
      </c>
      <c r="E487">
        <v>254.64</v>
      </c>
      <c r="F487" s="23">
        <f t="shared" si="7"/>
        <v>0</v>
      </c>
    </row>
    <row r="488" spans="1:6" x14ac:dyDescent="0.35">
      <c r="A488" s="22">
        <v>45189</v>
      </c>
      <c r="B488">
        <v>252.34</v>
      </c>
      <c r="C488">
        <v>252.34</v>
      </c>
      <c r="D488">
        <v>252.34</v>
      </c>
      <c r="E488">
        <v>252.34</v>
      </c>
      <c r="F488" s="23">
        <f t="shared" si="7"/>
        <v>-9.0323594093621711E-3</v>
      </c>
    </row>
    <row r="489" spans="1:6" x14ac:dyDescent="0.35">
      <c r="A489" s="22">
        <v>45190</v>
      </c>
      <c r="B489">
        <v>250.06</v>
      </c>
      <c r="C489">
        <v>250.06</v>
      </c>
      <c r="D489">
        <v>250.06</v>
      </c>
      <c r="E489">
        <v>250.06</v>
      </c>
      <c r="F489" s="23">
        <f t="shared" si="7"/>
        <v>-9.035428390267105E-3</v>
      </c>
    </row>
    <row r="490" spans="1:6" x14ac:dyDescent="0.35">
      <c r="A490" s="22">
        <v>45191</v>
      </c>
      <c r="B490">
        <v>249.11</v>
      </c>
      <c r="C490">
        <v>249.11</v>
      </c>
      <c r="D490">
        <v>249.11</v>
      </c>
      <c r="E490">
        <v>249.11</v>
      </c>
      <c r="F490" s="23">
        <f t="shared" si="7"/>
        <v>-3.7990882188274357E-3</v>
      </c>
    </row>
    <row r="491" spans="1:6" x14ac:dyDescent="0.35">
      <c r="A491" s="22">
        <v>45194</v>
      </c>
      <c r="B491">
        <v>249.13</v>
      </c>
      <c r="C491">
        <v>249.13</v>
      </c>
      <c r="D491">
        <v>249.13</v>
      </c>
      <c r="E491">
        <v>249.13</v>
      </c>
      <c r="F491" s="23">
        <f t="shared" si="7"/>
        <v>8.028581751026377E-5</v>
      </c>
    </row>
    <row r="492" spans="1:6" x14ac:dyDescent="0.35">
      <c r="A492" s="22">
        <v>45195</v>
      </c>
      <c r="B492">
        <v>249.17</v>
      </c>
      <c r="C492">
        <v>249.17</v>
      </c>
      <c r="D492">
        <v>249.17</v>
      </c>
      <c r="E492">
        <v>249.17</v>
      </c>
      <c r="F492" s="23">
        <f t="shared" si="7"/>
        <v>1.6055874443058661E-4</v>
      </c>
    </row>
    <row r="493" spans="1:6" x14ac:dyDescent="0.35">
      <c r="A493" s="22">
        <v>45196</v>
      </c>
      <c r="B493">
        <v>250.1</v>
      </c>
      <c r="C493">
        <v>250.1</v>
      </c>
      <c r="D493">
        <v>250.1</v>
      </c>
      <c r="E493">
        <v>250.1</v>
      </c>
      <c r="F493" s="23">
        <f t="shared" si="7"/>
        <v>3.7323915399125373E-3</v>
      </c>
    </row>
    <row r="494" spans="1:6" x14ac:dyDescent="0.35">
      <c r="A494" s="22">
        <v>45197</v>
      </c>
      <c r="B494">
        <v>250.1</v>
      </c>
      <c r="C494">
        <v>250.1</v>
      </c>
      <c r="D494">
        <v>250.1</v>
      </c>
      <c r="E494">
        <v>250.1</v>
      </c>
      <c r="F494" s="23">
        <f t="shared" si="7"/>
        <v>0</v>
      </c>
    </row>
    <row r="495" spans="1:6" x14ac:dyDescent="0.35">
      <c r="A495" s="22">
        <v>45198</v>
      </c>
      <c r="B495">
        <v>249.62</v>
      </c>
      <c r="C495">
        <v>249.62</v>
      </c>
      <c r="D495">
        <v>249.62</v>
      </c>
      <c r="E495">
        <v>249.62</v>
      </c>
      <c r="F495" s="23">
        <f t="shared" si="7"/>
        <v>-1.9192323070771284E-3</v>
      </c>
    </row>
    <row r="496" spans="1:6" x14ac:dyDescent="0.35">
      <c r="A496" s="22">
        <v>45201</v>
      </c>
      <c r="B496">
        <v>249.62</v>
      </c>
      <c r="C496">
        <v>249.62</v>
      </c>
      <c r="D496">
        <v>249.62</v>
      </c>
      <c r="E496">
        <v>249.62</v>
      </c>
      <c r="F496" s="23">
        <f t="shared" si="7"/>
        <v>0</v>
      </c>
    </row>
    <row r="497" spans="1:6" x14ac:dyDescent="0.35">
      <c r="A497" s="22">
        <v>45202</v>
      </c>
      <c r="B497">
        <v>249.54</v>
      </c>
      <c r="C497">
        <v>249.54</v>
      </c>
      <c r="D497">
        <v>249.54</v>
      </c>
      <c r="E497">
        <v>249.54</v>
      </c>
      <c r="F497" s="23">
        <f t="shared" si="7"/>
        <v>-3.2048714045353942E-4</v>
      </c>
    </row>
    <row r="498" spans="1:6" x14ac:dyDescent="0.35">
      <c r="A498" s="22">
        <v>45203</v>
      </c>
      <c r="B498">
        <v>247.26</v>
      </c>
      <c r="C498">
        <v>247.26</v>
      </c>
      <c r="D498">
        <v>247.26</v>
      </c>
      <c r="E498">
        <v>247.26</v>
      </c>
      <c r="F498" s="23">
        <f t="shared" si="7"/>
        <v>-9.1368117335898103E-3</v>
      </c>
    </row>
    <row r="499" spans="1:6" x14ac:dyDescent="0.35">
      <c r="A499" s="22">
        <v>45204</v>
      </c>
      <c r="B499">
        <v>248.33</v>
      </c>
      <c r="C499">
        <v>248.33</v>
      </c>
      <c r="D499">
        <v>248.33</v>
      </c>
      <c r="E499">
        <v>248.33</v>
      </c>
      <c r="F499" s="23">
        <f t="shared" si="7"/>
        <v>4.3274286176495256E-3</v>
      </c>
    </row>
    <row r="500" spans="1:6" x14ac:dyDescent="0.35">
      <c r="A500" s="22">
        <v>45205</v>
      </c>
      <c r="B500">
        <v>249.86</v>
      </c>
      <c r="C500">
        <v>249.86</v>
      </c>
      <c r="D500">
        <v>249.86</v>
      </c>
      <c r="E500">
        <v>249.86</v>
      </c>
      <c r="F500" s="23">
        <f t="shared" si="7"/>
        <v>6.1611565255909519E-3</v>
      </c>
    </row>
    <row r="501" spans="1:6" x14ac:dyDescent="0.35">
      <c r="A501" s="22">
        <v>45208</v>
      </c>
      <c r="B501">
        <v>247.93</v>
      </c>
      <c r="C501">
        <v>247.93</v>
      </c>
      <c r="D501">
        <v>247.93</v>
      </c>
      <c r="E501">
        <v>247.93</v>
      </c>
      <c r="F501" s="23">
        <f t="shared" si="7"/>
        <v>-7.7243256223485423E-3</v>
      </c>
    </row>
    <row r="502" spans="1:6" x14ac:dyDescent="0.35">
      <c r="A502" s="22">
        <v>45209</v>
      </c>
      <c r="B502">
        <v>250.1</v>
      </c>
      <c r="C502">
        <v>250.1</v>
      </c>
      <c r="D502">
        <v>250.1</v>
      </c>
      <c r="E502">
        <v>250.1</v>
      </c>
      <c r="F502" s="23">
        <f t="shared" si="7"/>
        <v>8.7524704553704168E-3</v>
      </c>
    </row>
    <row r="503" spans="1:6" x14ac:dyDescent="0.35">
      <c r="A503" s="22">
        <v>45210</v>
      </c>
      <c r="B503">
        <v>251.25</v>
      </c>
      <c r="C503">
        <v>251.25</v>
      </c>
      <c r="D503">
        <v>251.25</v>
      </c>
      <c r="E503">
        <v>251.25</v>
      </c>
      <c r="F503" s="23">
        <f t="shared" si="7"/>
        <v>4.5981607357057407E-3</v>
      </c>
    </row>
    <row r="504" spans="1:6" x14ac:dyDescent="0.35">
      <c r="A504" s="22">
        <v>45211</v>
      </c>
      <c r="B504">
        <v>251.3</v>
      </c>
      <c r="C504">
        <v>251.3</v>
      </c>
      <c r="D504">
        <v>251.3</v>
      </c>
      <c r="E504">
        <v>251.3</v>
      </c>
      <c r="F504" s="23">
        <f t="shared" si="7"/>
        <v>1.9900497512442337E-4</v>
      </c>
    </row>
    <row r="505" spans="1:6" x14ac:dyDescent="0.35">
      <c r="A505" s="22">
        <v>45212</v>
      </c>
      <c r="B505">
        <v>251.12</v>
      </c>
      <c r="C505">
        <v>251.12</v>
      </c>
      <c r="D505">
        <v>251.12</v>
      </c>
      <c r="E505">
        <v>251.12</v>
      </c>
      <c r="F505" s="23">
        <f t="shared" si="7"/>
        <v>-7.1627536808598015E-4</v>
      </c>
    </row>
    <row r="506" spans="1:6" x14ac:dyDescent="0.35">
      <c r="A506" s="22">
        <v>45215</v>
      </c>
      <c r="B506">
        <v>251.04</v>
      </c>
      <c r="C506">
        <v>251.04</v>
      </c>
      <c r="D506">
        <v>251.04</v>
      </c>
      <c r="E506">
        <v>251.04</v>
      </c>
      <c r="F506" s="23">
        <f t="shared" si="7"/>
        <v>-3.1857279388345213E-4</v>
      </c>
    </row>
    <row r="507" spans="1:6" x14ac:dyDescent="0.35">
      <c r="A507" s="22">
        <v>45216</v>
      </c>
      <c r="B507">
        <v>251.75</v>
      </c>
      <c r="C507">
        <v>251.75</v>
      </c>
      <c r="D507">
        <v>251.75</v>
      </c>
      <c r="E507">
        <v>251.75</v>
      </c>
      <c r="F507" s="23">
        <f t="shared" si="7"/>
        <v>2.8282345442957615E-3</v>
      </c>
    </row>
    <row r="508" spans="1:6" x14ac:dyDescent="0.35">
      <c r="A508" s="22">
        <v>45217</v>
      </c>
      <c r="B508">
        <v>249.86</v>
      </c>
      <c r="C508">
        <v>249.86</v>
      </c>
      <c r="D508">
        <v>249.86</v>
      </c>
      <c r="E508">
        <v>249.86</v>
      </c>
      <c r="F508" s="23">
        <f t="shared" si="7"/>
        <v>-7.5074478649453285E-3</v>
      </c>
    </row>
    <row r="509" spans="1:6" x14ac:dyDescent="0.35">
      <c r="A509" s="22">
        <v>45218</v>
      </c>
      <c r="B509">
        <v>249.47</v>
      </c>
      <c r="C509">
        <v>249.47</v>
      </c>
      <c r="D509">
        <v>249.47</v>
      </c>
      <c r="E509">
        <v>249.47</v>
      </c>
      <c r="F509" s="23">
        <f t="shared" si="7"/>
        <v>-1.5608740894901736E-3</v>
      </c>
    </row>
    <row r="510" spans="1:6" x14ac:dyDescent="0.35">
      <c r="A510" s="22">
        <v>45219</v>
      </c>
      <c r="B510">
        <v>248.06</v>
      </c>
      <c r="C510">
        <v>248.06</v>
      </c>
      <c r="D510">
        <v>248.06</v>
      </c>
      <c r="E510">
        <v>248.06</v>
      </c>
      <c r="F510" s="23">
        <f t="shared" si="7"/>
        <v>-5.6519822022687962E-3</v>
      </c>
    </row>
    <row r="511" spans="1:6" x14ac:dyDescent="0.35">
      <c r="A511" s="22">
        <v>45222</v>
      </c>
      <c r="B511">
        <v>244.6</v>
      </c>
      <c r="C511">
        <v>244.6</v>
      </c>
      <c r="D511">
        <v>244.6</v>
      </c>
      <c r="E511">
        <v>244.6</v>
      </c>
      <c r="F511" s="23">
        <f t="shared" si="7"/>
        <v>-1.3948238329436459E-2</v>
      </c>
    </row>
    <row r="512" spans="1:6" x14ac:dyDescent="0.35">
      <c r="A512" s="22">
        <v>45223</v>
      </c>
      <c r="B512">
        <v>244.6</v>
      </c>
      <c r="C512">
        <v>244.6</v>
      </c>
      <c r="D512">
        <v>244.6</v>
      </c>
      <c r="E512">
        <v>244.6</v>
      </c>
      <c r="F512" s="23">
        <f t="shared" si="7"/>
        <v>0</v>
      </c>
    </row>
    <row r="513" spans="1:6" x14ac:dyDescent="0.35">
      <c r="A513" s="22">
        <v>45224</v>
      </c>
      <c r="B513">
        <v>242.44</v>
      </c>
      <c r="C513">
        <v>242.44</v>
      </c>
      <c r="D513">
        <v>242.44</v>
      </c>
      <c r="E513">
        <v>242.44</v>
      </c>
      <c r="F513" s="23">
        <f t="shared" si="7"/>
        <v>-8.8307440719541976E-3</v>
      </c>
    </row>
    <row r="514" spans="1:6" x14ac:dyDescent="0.35">
      <c r="A514" s="22">
        <v>45225</v>
      </c>
      <c r="B514">
        <v>239.69</v>
      </c>
      <c r="C514">
        <v>239.69</v>
      </c>
      <c r="D514">
        <v>239.69</v>
      </c>
      <c r="E514">
        <v>239.69</v>
      </c>
      <c r="F514" s="23">
        <f t="shared" si="7"/>
        <v>-1.1343012704174229E-2</v>
      </c>
    </row>
    <row r="515" spans="1:6" x14ac:dyDescent="0.35">
      <c r="A515" s="22">
        <v>45226</v>
      </c>
      <c r="B515">
        <v>242.4</v>
      </c>
      <c r="C515">
        <v>242.4</v>
      </c>
      <c r="D515">
        <v>242.4</v>
      </c>
      <c r="E515">
        <v>242.4</v>
      </c>
      <c r="F515" s="23">
        <f t="shared" ref="F515:F578" si="8">(B515-B514)/B514</f>
        <v>1.1306270599524418E-2</v>
      </c>
    </row>
    <row r="516" spans="1:6" x14ac:dyDescent="0.35">
      <c r="A516" s="22">
        <v>45229</v>
      </c>
      <c r="B516">
        <v>243.36</v>
      </c>
      <c r="C516">
        <v>243.36</v>
      </c>
      <c r="D516">
        <v>243.36</v>
      </c>
      <c r="E516">
        <v>243.36</v>
      </c>
      <c r="F516" s="23">
        <f t="shared" si="8"/>
        <v>3.9603960396039934E-3</v>
      </c>
    </row>
    <row r="517" spans="1:6" x14ac:dyDescent="0.35">
      <c r="A517" s="22">
        <v>45230</v>
      </c>
      <c r="B517">
        <v>242.85</v>
      </c>
      <c r="C517">
        <v>242.85</v>
      </c>
      <c r="D517">
        <v>242.85</v>
      </c>
      <c r="E517">
        <v>242.85</v>
      </c>
      <c r="F517" s="23">
        <f t="shared" si="8"/>
        <v>-2.0956607495069826E-3</v>
      </c>
    </row>
    <row r="518" spans="1:6" x14ac:dyDescent="0.35">
      <c r="A518" s="22">
        <v>45231</v>
      </c>
      <c r="B518">
        <v>242.03</v>
      </c>
      <c r="C518">
        <v>242.03</v>
      </c>
      <c r="D518">
        <v>242.03</v>
      </c>
      <c r="E518">
        <v>242.03</v>
      </c>
      <c r="F518" s="23">
        <f t="shared" si="8"/>
        <v>-3.3765698991146519E-3</v>
      </c>
    </row>
    <row r="519" spans="1:6" x14ac:dyDescent="0.35">
      <c r="A519" s="22">
        <v>45232</v>
      </c>
      <c r="B519">
        <v>244.36</v>
      </c>
      <c r="C519">
        <v>244.36</v>
      </c>
      <c r="D519">
        <v>244.36</v>
      </c>
      <c r="E519">
        <v>244.36</v>
      </c>
      <c r="F519" s="23">
        <f t="shared" si="8"/>
        <v>9.6269057554849088E-3</v>
      </c>
    </row>
    <row r="520" spans="1:6" x14ac:dyDescent="0.35">
      <c r="A520" s="22">
        <v>45233</v>
      </c>
      <c r="B520">
        <v>245.7</v>
      </c>
      <c r="C520">
        <v>245.7</v>
      </c>
      <c r="D520">
        <v>245.7</v>
      </c>
      <c r="E520">
        <v>245.7</v>
      </c>
      <c r="F520" s="23">
        <f t="shared" si="8"/>
        <v>5.4837125552462552E-3</v>
      </c>
    </row>
    <row r="521" spans="1:6" x14ac:dyDescent="0.35">
      <c r="A521" s="22">
        <v>45236</v>
      </c>
      <c r="B521">
        <v>248.27</v>
      </c>
      <c r="C521">
        <v>248.27</v>
      </c>
      <c r="D521">
        <v>248.27</v>
      </c>
      <c r="E521">
        <v>248.27</v>
      </c>
      <c r="F521" s="23">
        <f t="shared" si="8"/>
        <v>1.0459910459910548E-2</v>
      </c>
    </row>
    <row r="522" spans="1:6" x14ac:dyDescent="0.35">
      <c r="A522" s="22">
        <v>45237</v>
      </c>
      <c r="B522">
        <v>248.36</v>
      </c>
      <c r="C522">
        <v>248.36</v>
      </c>
      <c r="D522">
        <v>248.36</v>
      </c>
      <c r="E522">
        <v>248.36</v>
      </c>
      <c r="F522" s="23">
        <f t="shared" si="8"/>
        <v>3.6250855922988445E-4</v>
      </c>
    </row>
    <row r="523" spans="1:6" x14ac:dyDescent="0.35">
      <c r="A523" s="22">
        <v>45238</v>
      </c>
      <c r="B523">
        <v>249.06</v>
      </c>
      <c r="C523">
        <v>249.06</v>
      </c>
      <c r="D523">
        <v>249.06</v>
      </c>
      <c r="E523">
        <v>249.06</v>
      </c>
      <c r="F523" s="23">
        <f t="shared" si="8"/>
        <v>2.8184892897406529E-3</v>
      </c>
    </row>
    <row r="524" spans="1:6" x14ac:dyDescent="0.35">
      <c r="A524" s="22">
        <v>45239</v>
      </c>
      <c r="B524">
        <v>249.15</v>
      </c>
      <c r="C524">
        <v>249.15</v>
      </c>
      <c r="D524">
        <v>249.15</v>
      </c>
      <c r="E524">
        <v>249.15</v>
      </c>
      <c r="F524" s="23">
        <f t="shared" si="8"/>
        <v>3.6135870874489442E-4</v>
      </c>
    </row>
    <row r="525" spans="1:6" x14ac:dyDescent="0.35">
      <c r="A525" s="22">
        <v>45240</v>
      </c>
      <c r="B525">
        <v>249.73</v>
      </c>
      <c r="C525">
        <v>249.73</v>
      </c>
      <c r="D525">
        <v>249.73</v>
      </c>
      <c r="E525">
        <v>249.73</v>
      </c>
      <c r="F525" s="23">
        <f t="shared" si="8"/>
        <v>2.3279149106963039E-3</v>
      </c>
    </row>
    <row r="526" spans="1:6" x14ac:dyDescent="0.35">
      <c r="A526" s="22">
        <v>45243</v>
      </c>
      <c r="B526">
        <v>250.18</v>
      </c>
      <c r="C526">
        <v>250.18</v>
      </c>
      <c r="D526">
        <v>250.18</v>
      </c>
      <c r="E526">
        <v>250.18</v>
      </c>
      <c r="F526" s="23">
        <f t="shared" si="8"/>
        <v>1.8019461017900016E-3</v>
      </c>
    </row>
    <row r="527" spans="1:6" x14ac:dyDescent="0.35">
      <c r="A527" s="22">
        <v>45244</v>
      </c>
      <c r="B527">
        <v>250.18</v>
      </c>
      <c r="C527">
        <v>250.18</v>
      </c>
      <c r="D527">
        <v>250.18</v>
      </c>
      <c r="E527">
        <v>250.18</v>
      </c>
      <c r="F527" s="23">
        <f t="shared" si="8"/>
        <v>0</v>
      </c>
    </row>
    <row r="528" spans="1:6" x14ac:dyDescent="0.35">
      <c r="A528" s="22">
        <v>45245</v>
      </c>
      <c r="B528">
        <v>252.64</v>
      </c>
      <c r="C528">
        <v>252.64</v>
      </c>
      <c r="D528">
        <v>252.64</v>
      </c>
      <c r="E528">
        <v>252.64</v>
      </c>
      <c r="F528" s="23">
        <f t="shared" si="8"/>
        <v>9.8329202973858002E-3</v>
      </c>
    </row>
    <row r="529" spans="1:6" x14ac:dyDescent="0.35">
      <c r="A529" s="22">
        <v>45246</v>
      </c>
      <c r="B529">
        <v>253.88</v>
      </c>
      <c r="C529">
        <v>253.88</v>
      </c>
      <c r="D529">
        <v>253.88</v>
      </c>
      <c r="E529">
        <v>253.88</v>
      </c>
      <c r="F529" s="23">
        <f t="shared" si="8"/>
        <v>4.9081697276757803E-3</v>
      </c>
    </row>
    <row r="530" spans="1:6" x14ac:dyDescent="0.35">
      <c r="A530" s="22">
        <v>45247</v>
      </c>
      <c r="B530">
        <v>253.98</v>
      </c>
      <c r="C530">
        <v>253.98</v>
      </c>
      <c r="D530">
        <v>253.98</v>
      </c>
      <c r="E530">
        <v>253.98</v>
      </c>
      <c r="F530" s="23">
        <f t="shared" si="8"/>
        <v>3.9388687568927964E-4</v>
      </c>
    </row>
    <row r="531" spans="1:6" x14ac:dyDescent="0.35">
      <c r="A531" s="22">
        <v>45250</v>
      </c>
      <c r="B531">
        <v>253.73</v>
      </c>
      <c r="C531">
        <v>253.73</v>
      </c>
      <c r="D531">
        <v>253.73</v>
      </c>
      <c r="E531">
        <v>253.73</v>
      </c>
      <c r="F531" s="23">
        <f t="shared" si="8"/>
        <v>-9.8432947476179231E-4</v>
      </c>
    </row>
    <row r="532" spans="1:6" x14ac:dyDescent="0.35">
      <c r="A532" s="22">
        <v>45251</v>
      </c>
      <c r="B532">
        <v>254.76</v>
      </c>
      <c r="C532">
        <v>254.76</v>
      </c>
      <c r="D532">
        <v>254.76</v>
      </c>
      <c r="E532">
        <v>254.76</v>
      </c>
      <c r="F532" s="23">
        <f t="shared" si="8"/>
        <v>4.0594332558231234E-3</v>
      </c>
    </row>
    <row r="533" spans="1:6" x14ac:dyDescent="0.35">
      <c r="A533" s="22">
        <v>45252</v>
      </c>
      <c r="B533">
        <v>254.85</v>
      </c>
      <c r="C533">
        <v>254.85</v>
      </c>
      <c r="D533">
        <v>254.85</v>
      </c>
      <c r="E533">
        <v>254.85</v>
      </c>
      <c r="F533" s="23">
        <f t="shared" si="8"/>
        <v>3.532736693358589E-4</v>
      </c>
    </row>
    <row r="534" spans="1:6" x14ac:dyDescent="0.35">
      <c r="A534" s="22">
        <v>45253</v>
      </c>
      <c r="B534">
        <v>254.72</v>
      </c>
      <c r="C534">
        <v>254.72</v>
      </c>
      <c r="D534">
        <v>254.72</v>
      </c>
      <c r="E534">
        <v>254.72</v>
      </c>
      <c r="F534" s="23">
        <f t="shared" si="8"/>
        <v>-5.1010398273492429E-4</v>
      </c>
    </row>
    <row r="535" spans="1:6" x14ac:dyDescent="0.35">
      <c r="A535" s="22">
        <v>45254</v>
      </c>
      <c r="B535">
        <v>254.53</v>
      </c>
      <c r="C535">
        <v>254.53</v>
      </c>
      <c r="D535">
        <v>254.53</v>
      </c>
      <c r="E535">
        <v>254.53</v>
      </c>
      <c r="F535" s="23">
        <f t="shared" si="8"/>
        <v>-7.4591708542712677E-4</v>
      </c>
    </row>
    <row r="536" spans="1:6" x14ac:dyDescent="0.35">
      <c r="A536" s="22">
        <v>45257</v>
      </c>
      <c r="B536">
        <v>254.53</v>
      </c>
      <c r="C536">
        <v>254.53</v>
      </c>
      <c r="D536">
        <v>254.53</v>
      </c>
      <c r="E536">
        <v>254.53</v>
      </c>
      <c r="F536" s="23">
        <f t="shared" si="8"/>
        <v>0</v>
      </c>
    </row>
    <row r="537" spans="1:6" x14ac:dyDescent="0.35">
      <c r="A537" s="22">
        <v>45258</v>
      </c>
      <c r="B537">
        <v>255.61</v>
      </c>
      <c r="C537">
        <v>255.61</v>
      </c>
      <c r="D537">
        <v>255.61</v>
      </c>
      <c r="E537">
        <v>255.61</v>
      </c>
      <c r="F537" s="23">
        <f t="shared" si="8"/>
        <v>4.2431147605390815E-3</v>
      </c>
    </row>
    <row r="538" spans="1:6" x14ac:dyDescent="0.35">
      <c r="A538" s="22">
        <v>45259</v>
      </c>
      <c r="B538">
        <v>257.77</v>
      </c>
      <c r="C538">
        <v>257.77</v>
      </c>
      <c r="D538">
        <v>257.77</v>
      </c>
      <c r="E538">
        <v>257.77</v>
      </c>
      <c r="F538" s="23">
        <f t="shared" si="8"/>
        <v>8.4503736160555856E-3</v>
      </c>
    </row>
    <row r="539" spans="1:6" x14ac:dyDescent="0.35">
      <c r="A539" s="22">
        <v>45260</v>
      </c>
      <c r="B539">
        <v>259.39999999999998</v>
      </c>
      <c r="C539">
        <v>259.39999999999998</v>
      </c>
      <c r="D539">
        <v>259.39999999999998</v>
      </c>
      <c r="E539">
        <v>259.39999999999998</v>
      </c>
      <c r="F539" s="23">
        <f t="shared" si="8"/>
        <v>6.32346665632151E-3</v>
      </c>
    </row>
    <row r="540" spans="1:6" x14ac:dyDescent="0.35">
      <c r="A540" s="22">
        <v>45261</v>
      </c>
      <c r="B540">
        <v>261.43</v>
      </c>
      <c r="C540">
        <v>261.43</v>
      </c>
      <c r="D540">
        <v>261.43</v>
      </c>
      <c r="E540">
        <v>261.43</v>
      </c>
      <c r="F540" s="23">
        <f t="shared" si="8"/>
        <v>7.8257517347726669E-3</v>
      </c>
    </row>
    <row r="541" spans="1:6" x14ac:dyDescent="0.35">
      <c r="A541" s="22">
        <v>45264</v>
      </c>
      <c r="B541">
        <v>266.12</v>
      </c>
      <c r="C541">
        <v>266.12</v>
      </c>
      <c r="D541">
        <v>266.12</v>
      </c>
      <c r="E541">
        <v>266.12</v>
      </c>
      <c r="F541" s="23">
        <f t="shared" si="8"/>
        <v>1.7939792678728521E-2</v>
      </c>
    </row>
    <row r="542" spans="1:6" x14ac:dyDescent="0.35">
      <c r="A542" s="22">
        <v>45265</v>
      </c>
      <c r="B542">
        <v>267.86</v>
      </c>
      <c r="C542">
        <v>267.86</v>
      </c>
      <c r="D542">
        <v>267.86</v>
      </c>
      <c r="E542">
        <v>267.86</v>
      </c>
      <c r="F542" s="23">
        <f t="shared" si="8"/>
        <v>6.5384037276416994E-3</v>
      </c>
    </row>
    <row r="543" spans="1:6" x14ac:dyDescent="0.35">
      <c r="A543" s="22">
        <v>45266</v>
      </c>
      <c r="B543">
        <v>268.41000000000003</v>
      </c>
      <c r="C543">
        <v>268.41000000000003</v>
      </c>
      <c r="D543">
        <v>268.41000000000003</v>
      </c>
      <c r="E543">
        <v>268.41000000000003</v>
      </c>
      <c r="F543" s="23">
        <f t="shared" si="8"/>
        <v>2.0533114313447745E-3</v>
      </c>
    </row>
    <row r="544" spans="1:6" x14ac:dyDescent="0.35">
      <c r="A544" s="22">
        <v>45267</v>
      </c>
      <c r="B544">
        <v>268.61</v>
      </c>
      <c r="C544">
        <v>268.61</v>
      </c>
      <c r="D544">
        <v>268.61</v>
      </c>
      <c r="E544">
        <v>268.61</v>
      </c>
      <c r="F544" s="23">
        <f t="shared" si="8"/>
        <v>7.4512872098650798E-4</v>
      </c>
    </row>
    <row r="545" spans="1:6" x14ac:dyDescent="0.35">
      <c r="A545" s="22">
        <v>45268</v>
      </c>
      <c r="B545">
        <v>269.24</v>
      </c>
      <c r="C545">
        <v>269.24</v>
      </c>
      <c r="D545">
        <v>269.24</v>
      </c>
      <c r="E545">
        <v>269.24</v>
      </c>
      <c r="F545" s="23">
        <f t="shared" si="8"/>
        <v>2.3454078403633352E-3</v>
      </c>
    </row>
    <row r="546" spans="1:6" x14ac:dyDescent="0.35">
      <c r="A546" s="22">
        <v>45271</v>
      </c>
      <c r="B546">
        <v>270.12</v>
      </c>
      <c r="C546">
        <v>270.12</v>
      </c>
      <c r="D546">
        <v>270.12</v>
      </c>
      <c r="E546">
        <v>270.12</v>
      </c>
      <c r="F546" s="23">
        <f t="shared" si="8"/>
        <v>3.2684593671073966E-3</v>
      </c>
    </row>
    <row r="547" spans="1:6" x14ac:dyDescent="0.35">
      <c r="A547" s="22">
        <v>45272</v>
      </c>
      <c r="B547">
        <v>268.54000000000002</v>
      </c>
      <c r="C547">
        <v>268.54000000000002</v>
      </c>
      <c r="D547">
        <v>268.54000000000002</v>
      </c>
      <c r="E547">
        <v>268.54000000000002</v>
      </c>
      <c r="F547" s="23">
        <f t="shared" si="8"/>
        <v>-5.8492521842143643E-3</v>
      </c>
    </row>
    <row r="548" spans="1:6" x14ac:dyDescent="0.35">
      <c r="A548" s="22">
        <v>45273</v>
      </c>
      <c r="B548">
        <v>270.11</v>
      </c>
      <c r="C548">
        <v>270.11</v>
      </c>
      <c r="D548">
        <v>270.11</v>
      </c>
      <c r="E548">
        <v>270.11</v>
      </c>
      <c r="F548" s="23">
        <f t="shared" si="8"/>
        <v>5.846428837417119E-3</v>
      </c>
    </row>
    <row r="549" spans="1:6" x14ac:dyDescent="0.35">
      <c r="A549" s="22">
        <v>45274</v>
      </c>
      <c r="B549">
        <v>272.68</v>
      </c>
      <c r="C549">
        <v>272.68</v>
      </c>
      <c r="D549">
        <v>272.68</v>
      </c>
      <c r="E549">
        <v>272.68</v>
      </c>
      <c r="F549" s="23">
        <f t="shared" si="8"/>
        <v>9.5146421828143837E-3</v>
      </c>
    </row>
    <row r="550" spans="1:6" x14ac:dyDescent="0.35">
      <c r="A550" s="22">
        <v>45275</v>
      </c>
      <c r="B550">
        <v>274.54000000000002</v>
      </c>
      <c r="C550">
        <v>274.54000000000002</v>
      </c>
      <c r="D550">
        <v>274.54000000000002</v>
      </c>
      <c r="E550">
        <v>274.54000000000002</v>
      </c>
      <c r="F550" s="23">
        <f t="shared" si="8"/>
        <v>6.8211823382720166E-3</v>
      </c>
    </row>
    <row r="551" spans="1:6" x14ac:dyDescent="0.35">
      <c r="A551" s="22">
        <v>45278</v>
      </c>
      <c r="B551">
        <v>274.58999999999997</v>
      </c>
      <c r="C551">
        <v>274.58999999999997</v>
      </c>
      <c r="D551">
        <v>274.58999999999997</v>
      </c>
      <c r="E551">
        <v>274.58999999999997</v>
      </c>
      <c r="F551" s="23">
        <f t="shared" si="8"/>
        <v>1.8212282363209195E-4</v>
      </c>
    </row>
    <row r="552" spans="1:6" x14ac:dyDescent="0.35">
      <c r="A552" s="22">
        <v>45279</v>
      </c>
      <c r="B552">
        <v>274.37</v>
      </c>
      <c r="C552">
        <v>274.37</v>
      </c>
      <c r="D552">
        <v>274.37</v>
      </c>
      <c r="E552">
        <v>274.37</v>
      </c>
      <c r="F552" s="23">
        <f t="shared" si="8"/>
        <v>-8.0119450817571817E-4</v>
      </c>
    </row>
    <row r="553" spans="1:6" x14ac:dyDescent="0.35">
      <c r="A553" s="22">
        <v>45280</v>
      </c>
      <c r="B553">
        <v>269.56</v>
      </c>
      <c r="C553">
        <v>269.56</v>
      </c>
      <c r="D553">
        <v>269.56</v>
      </c>
      <c r="E553">
        <v>269.56</v>
      </c>
      <c r="F553" s="23">
        <f t="shared" si="8"/>
        <v>-1.7531071181251603E-2</v>
      </c>
    </row>
    <row r="554" spans="1:6" x14ac:dyDescent="0.35">
      <c r="A554" s="22">
        <v>45281</v>
      </c>
      <c r="B554">
        <v>270.82</v>
      </c>
      <c r="C554">
        <v>270.82</v>
      </c>
      <c r="D554">
        <v>270.82</v>
      </c>
      <c r="E554">
        <v>270.82</v>
      </c>
      <c r="F554" s="23">
        <f t="shared" si="8"/>
        <v>4.674284018400322E-3</v>
      </c>
    </row>
    <row r="555" spans="1:6" x14ac:dyDescent="0.35">
      <c r="A555" s="22">
        <v>45282</v>
      </c>
      <c r="B555">
        <v>271.98</v>
      </c>
      <c r="C555">
        <v>271.98</v>
      </c>
      <c r="D555">
        <v>271.98</v>
      </c>
      <c r="E555">
        <v>271.98</v>
      </c>
      <c r="F555" s="23">
        <f t="shared" si="8"/>
        <v>4.2832877926298838E-3</v>
      </c>
    </row>
    <row r="556" spans="1:6" x14ac:dyDescent="0.35">
      <c r="A556" s="22">
        <v>45285</v>
      </c>
      <c r="B556">
        <v>271.98</v>
      </c>
      <c r="C556">
        <v>271.98</v>
      </c>
      <c r="D556">
        <v>271.98</v>
      </c>
      <c r="E556">
        <v>271.98</v>
      </c>
      <c r="F556" s="23">
        <f t="shared" si="8"/>
        <v>0</v>
      </c>
    </row>
    <row r="557" spans="1:6" x14ac:dyDescent="0.35">
      <c r="A557" s="22">
        <v>45286</v>
      </c>
      <c r="B557">
        <v>272.95999999999998</v>
      </c>
      <c r="C557">
        <v>272.95999999999998</v>
      </c>
      <c r="D557">
        <v>272.95999999999998</v>
      </c>
      <c r="E557">
        <v>272.95999999999998</v>
      </c>
      <c r="F557" s="23">
        <f t="shared" si="8"/>
        <v>3.6032061180967766E-3</v>
      </c>
    </row>
    <row r="558" spans="1:6" x14ac:dyDescent="0.35">
      <c r="A558" s="22">
        <v>45287</v>
      </c>
      <c r="B558">
        <v>275.37</v>
      </c>
      <c r="C558">
        <v>275.37</v>
      </c>
      <c r="D558">
        <v>275.37</v>
      </c>
      <c r="E558">
        <v>275.37</v>
      </c>
      <c r="F558" s="23">
        <f t="shared" si="8"/>
        <v>8.8291324736226012E-3</v>
      </c>
    </row>
    <row r="559" spans="1:6" x14ac:dyDescent="0.35">
      <c r="A559" s="22">
        <v>45288</v>
      </c>
      <c r="B559">
        <v>276.56</v>
      </c>
      <c r="C559">
        <v>276.56</v>
      </c>
      <c r="D559">
        <v>276.56</v>
      </c>
      <c r="E559">
        <v>276.56</v>
      </c>
      <c r="F559" s="23">
        <f t="shared" si="8"/>
        <v>4.3214584014235309E-3</v>
      </c>
    </row>
    <row r="560" spans="1:6" x14ac:dyDescent="0.35">
      <c r="A560" s="22">
        <v>45289</v>
      </c>
      <c r="B560">
        <v>276.93</v>
      </c>
      <c r="C560">
        <v>276.93</v>
      </c>
      <c r="D560">
        <v>276.93</v>
      </c>
      <c r="E560">
        <v>276.93</v>
      </c>
      <c r="F560" s="23">
        <f t="shared" si="8"/>
        <v>1.3378652010413818E-3</v>
      </c>
    </row>
    <row r="561" spans="1:6" x14ac:dyDescent="0.35">
      <c r="A561" s="22">
        <v>45292</v>
      </c>
      <c r="B561">
        <v>276.95</v>
      </c>
      <c r="C561">
        <v>276.95</v>
      </c>
      <c r="D561">
        <v>276.95</v>
      </c>
      <c r="E561">
        <v>276.95</v>
      </c>
      <c r="F561" s="23">
        <f t="shared" si="8"/>
        <v>7.2220416711738747E-5</v>
      </c>
    </row>
    <row r="562" spans="1:6" x14ac:dyDescent="0.35">
      <c r="A562" s="22">
        <v>45293</v>
      </c>
      <c r="B562">
        <v>275.72000000000003</v>
      </c>
      <c r="C562">
        <v>275.72000000000003</v>
      </c>
      <c r="D562">
        <v>275.72000000000003</v>
      </c>
      <c r="E562">
        <v>275.72000000000003</v>
      </c>
      <c r="F562" s="23">
        <f t="shared" si="8"/>
        <v>-4.4412348799420884E-3</v>
      </c>
    </row>
    <row r="563" spans="1:6" x14ac:dyDescent="0.35">
      <c r="A563" s="22">
        <v>45294</v>
      </c>
      <c r="B563">
        <v>275.04000000000002</v>
      </c>
      <c r="C563">
        <v>275.04000000000002</v>
      </c>
      <c r="D563">
        <v>275.04000000000002</v>
      </c>
      <c r="E563">
        <v>275.04000000000002</v>
      </c>
      <c r="F563" s="23">
        <f t="shared" si="8"/>
        <v>-2.4662701291165196E-3</v>
      </c>
    </row>
    <row r="564" spans="1:6" x14ac:dyDescent="0.35">
      <c r="A564" s="22">
        <v>45295</v>
      </c>
      <c r="B564">
        <v>278.02999999999997</v>
      </c>
      <c r="C564">
        <v>278.02999999999997</v>
      </c>
      <c r="D564">
        <v>278.02999999999997</v>
      </c>
      <c r="E564">
        <v>278.02999999999997</v>
      </c>
      <c r="F564" s="23">
        <f t="shared" si="8"/>
        <v>1.0871146015124898E-2</v>
      </c>
    </row>
    <row r="565" spans="1:6" x14ac:dyDescent="0.35">
      <c r="A565" s="22">
        <v>45296</v>
      </c>
      <c r="B565">
        <v>278.77</v>
      </c>
      <c r="C565">
        <v>278.77</v>
      </c>
      <c r="D565">
        <v>278.77</v>
      </c>
      <c r="E565">
        <v>278.77</v>
      </c>
      <c r="F565" s="23">
        <f t="shared" si="8"/>
        <v>2.6615832823796322E-3</v>
      </c>
    </row>
    <row r="566" spans="1:6" x14ac:dyDescent="0.35">
      <c r="A566" s="22">
        <v>45299</v>
      </c>
      <c r="B566">
        <v>276.64</v>
      </c>
      <c r="C566">
        <v>276.64</v>
      </c>
      <c r="D566">
        <v>276.64</v>
      </c>
      <c r="E566">
        <v>276.64</v>
      </c>
      <c r="F566" s="23">
        <f t="shared" si="8"/>
        <v>-7.6407073931915037E-3</v>
      </c>
    </row>
    <row r="567" spans="1:6" x14ac:dyDescent="0.35">
      <c r="A567" s="22">
        <v>45300</v>
      </c>
      <c r="B567">
        <v>277.44</v>
      </c>
      <c r="C567">
        <v>277.44</v>
      </c>
      <c r="D567">
        <v>277.44</v>
      </c>
      <c r="E567">
        <v>277.44</v>
      </c>
      <c r="F567" s="23">
        <f t="shared" si="8"/>
        <v>2.8918449971081961E-3</v>
      </c>
    </row>
    <row r="568" spans="1:6" x14ac:dyDescent="0.35">
      <c r="A568" s="22">
        <v>45301</v>
      </c>
      <c r="B568">
        <v>277.99</v>
      </c>
      <c r="C568">
        <v>277.99</v>
      </c>
      <c r="D568">
        <v>277.99</v>
      </c>
      <c r="E568">
        <v>277.99</v>
      </c>
      <c r="F568" s="23">
        <f t="shared" si="8"/>
        <v>1.9824106113033859E-3</v>
      </c>
    </row>
    <row r="569" spans="1:6" x14ac:dyDescent="0.35">
      <c r="A569" s="22">
        <v>45302</v>
      </c>
      <c r="B569">
        <v>278.16000000000003</v>
      </c>
      <c r="C569">
        <v>278.16000000000003</v>
      </c>
      <c r="D569">
        <v>278.16000000000003</v>
      </c>
      <c r="E569">
        <v>278.16000000000003</v>
      </c>
      <c r="F569" s="23">
        <f t="shared" si="8"/>
        <v>6.1153278894930001E-4</v>
      </c>
    </row>
    <row r="570" spans="1:6" x14ac:dyDescent="0.35">
      <c r="A570" s="22">
        <v>45303</v>
      </c>
      <c r="B570">
        <v>280.02999999999997</v>
      </c>
      <c r="C570">
        <v>280.02999999999997</v>
      </c>
      <c r="D570">
        <v>280.02999999999997</v>
      </c>
      <c r="E570">
        <v>280.02999999999997</v>
      </c>
      <c r="F570" s="23">
        <f t="shared" si="8"/>
        <v>6.7227494966923627E-3</v>
      </c>
    </row>
    <row r="571" spans="1:6" x14ac:dyDescent="0.35">
      <c r="A571" s="22">
        <v>45306</v>
      </c>
      <c r="B571">
        <v>281.87</v>
      </c>
      <c r="C571">
        <v>281.87</v>
      </c>
      <c r="D571">
        <v>281.87</v>
      </c>
      <c r="E571">
        <v>281.87</v>
      </c>
      <c r="F571" s="23">
        <f t="shared" si="8"/>
        <v>6.5707245652252685E-3</v>
      </c>
    </row>
    <row r="572" spans="1:6" x14ac:dyDescent="0.35">
      <c r="A572" s="22">
        <v>45307</v>
      </c>
      <c r="B572">
        <v>280.98</v>
      </c>
      <c r="C572">
        <v>280.98</v>
      </c>
      <c r="D572">
        <v>280.98</v>
      </c>
      <c r="E572">
        <v>280.98</v>
      </c>
      <c r="F572" s="23">
        <f t="shared" si="8"/>
        <v>-3.1574839465001114E-3</v>
      </c>
    </row>
    <row r="573" spans="1:6" x14ac:dyDescent="0.35">
      <c r="A573" s="22">
        <v>45308</v>
      </c>
      <c r="B573">
        <v>277.08999999999997</v>
      </c>
      <c r="C573">
        <v>277.08999999999997</v>
      </c>
      <c r="D573">
        <v>277.08999999999997</v>
      </c>
      <c r="E573">
        <v>277.08999999999997</v>
      </c>
      <c r="F573" s="23">
        <f t="shared" si="8"/>
        <v>-1.3844401736778571E-2</v>
      </c>
    </row>
    <row r="574" spans="1:6" x14ac:dyDescent="0.35">
      <c r="A574" s="22">
        <v>45309</v>
      </c>
      <c r="B574">
        <v>275.89</v>
      </c>
      <c r="C574">
        <v>275.89</v>
      </c>
      <c r="D574">
        <v>275.89</v>
      </c>
      <c r="E574">
        <v>275.89</v>
      </c>
      <c r="F574" s="23">
        <f t="shared" si="8"/>
        <v>-4.3307228698256477E-3</v>
      </c>
    </row>
    <row r="575" spans="1:6" x14ac:dyDescent="0.35">
      <c r="A575" s="22">
        <v>45310</v>
      </c>
      <c r="B575">
        <v>278.75</v>
      </c>
      <c r="C575">
        <v>278.75</v>
      </c>
      <c r="D575">
        <v>278.75</v>
      </c>
      <c r="E575">
        <v>278.75</v>
      </c>
      <c r="F575" s="23">
        <f t="shared" si="8"/>
        <v>1.0366450396897365E-2</v>
      </c>
    </row>
    <row r="576" spans="1:6" x14ac:dyDescent="0.35">
      <c r="A576" s="22">
        <v>45313</v>
      </c>
      <c r="B576">
        <v>278.75</v>
      </c>
      <c r="C576">
        <v>278.75</v>
      </c>
      <c r="D576">
        <v>278.75</v>
      </c>
      <c r="E576">
        <v>278.75</v>
      </c>
      <c r="F576" s="23">
        <f t="shared" si="8"/>
        <v>0</v>
      </c>
    </row>
    <row r="577" spans="1:6" x14ac:dyDescent="0.35">
      <c r="A577" s="22">
        <v>45314</v>
      </c>
      <c r="B577">
        <v>274.16000000000003</v>
      </c>
      <c r="C577">
        <v>274.16000000000003</v>
      </c>
      <c r="D577">
        <v>274.16000000000003</v>
      </c>
      <c r="E577">
        <v>274.16000000000003</v>
      </c>
      <c r="F577" s="23">
        <f t="shared" si="8"/>
        <v>-1.6466367713004394E-2</v>
      </c>
    </row>
    <row r="578" spans="1:6" x14ac:dyDescent="0.35">
      <c r="A578" s="22">
        <v>45315</v>
      </c>
      <c r="B578">
        <v>276.75</v>
      </c>
      <c r="C578">
        <v>276.75</v>
      </c>
      <c r="D578">
        <v>276.75</v>
      </c>
      <c r="E578">
        <v>276.75</v>
      </c>
      <c r="F578" s="23">
        <f t="shared" si="8"/>
        <v>9.4470382258534241E-3</v>
      </c>
    </row>
    <row r="579" spans="1:6" x14ac:dyDescent="0.35">
      <c r="A579" s="22">
        <v>45316</v>
      </c>
      <c r="B579">
        <v>275.73</v>
      </c>
      <c r="C579">
        <v>275.73</v>
      </c>
      <c r="D579">
        <v>275.73</v>
      </c>
      <c r="E579">
        <v>275.73</v>
      </c>
      <c r="F579" s="23">
        <f t="shared" ref="F579:F642" si="9">(B579-B578)/B578</f>
        <v>-3.6856368563684978E-3</v>
      </c>
    </row>
    <row r="580" spans="1:6" x14ac:dyDescent="0.35">
      <c r="A580" s="22">
        <v>45317</v>
      </c>
      <c r="B580">
        <v>275.73</v>
      </c>
      <c r="C580">
        <v>275.73</v>
      </c>
      <c r="D580">
        <v>275.73</v>
      </c>
      <c r="E580">
        <v>275.73</v>
      </c>
      <c r="F580" s="23">
        <f t="shared" si="9"/>
        <v>0</v>
      </c>
    </row>
    <row r="581" spans="1:6" x14ac:dyDescent="0.35">
      <c r="A581" s="22">
        <v>45320</v>
      </c>
      <c r="B581">
        <v>279.42</v>
      </c>
      <c r="C581">
        <v>279.42</v>
      </c>
      <c r="D581">
        <v>279.42</v>
      </c>
      <c r="E581">
        <v>279.42</v>
      </c>
      <c r="F581" s="23">
        <f t="shared" si="9"/>
        <v>1.3382656947013374E-2</v>
      </c>
    </row>
    <row r="582" spans="1:6" x14ac:dyDescent="0.35">
      <c r="A582" s="22">
        <v>45321</v>
      </c>
      <c r="B582">
        <v>276.5</v>
      </c>
      <c r="C582">
        <v>276.5</v>
      </c>
      <c r="D582">
        <v>276.5</v>
      </c>
      <c r="E582">
        <v>276.5</v>
      </c>
      <c r="F582" s="23">
        <f t="shared" si="9"/>
        <v>-1.045021830935515E-2</v>
      </c>
    </row>
    <row r="583" spans="1:6" x14ac:dyDescent="0.35">
      <c r="A583" s="22">
        <v>45322</v>
      </c>
      <c r="B583">
        <v>278.86</v>
      </c>
      <c r="C583">
        <v>278.86</v>
      </c>
      <c r="D583">
        <v>278.86</v>
      </c>
      <c r="E583">
        <v>278.86</v>
      </c>
      <c r="F583" s="23">
        <f t="shared" si="9"/>
        <v>8.5352622061483311E-3</v>
      </c>
    </row>
    <row r="584" spans="1:6" x14ac:dyDescent="0.35">
      <c r="A584" s="22">
        <v>45323</v>
      </c>
      <c r="B584">
        <v>278.86</v>
      </c>
      <c r="C584">
        <v>278.86</v>
      </c>
      <c r="D584">
        <v>278.86</v>
      </c>
      <c r="E584">
        <v>278.86</v>
      </c>
      <c r="F584" s="23">
        <f t="shared" si="9"/>
        <v>0</v>
      </c>
    </row>
    <row r="585" spans="1:6" x14ac:dyDescent="0.35">
      <c r="A585" s="22">
        <v>45324</v>
      </c>
      <c r="B585">
        <v>279.95</v>
      </c>
      <c r="C585">
        <v>279.95</v>
      </c>
      <c r="D585">
        <v>279.95</v>
      </c>
      <c r="E585">
        <v>279.95</v>
      </c>
      <c r="F585" s="23">
        <f t="shared" si="9"/>
        <v>3.9087714265221797E-3</v>
      </c>
    </row>
    <row r="586" spans="1:6" x14ac:dyDescent="0.35">
      <c r="A586" s="22">
        <v>45327</v>
      </c>
      <c r="B586">
        <v>278.82</v>
      </c>
      <c r="C586">
        <v>278.82</v>
      </c>
      <c r="D586">
        <v>278.82</v>
      </c>
      <c r="E586">
        <v>278.82</v>
      </c>
      <c r="F586" s="23">
        <f t="shared" si="9"/>
        <v>-4.0364350776924294E-3</v>
      </c>
    </row>
    <row r="587" spans="1:6" x14ac:dyDescent="0.35">
      <c r="A587" s="22">
        <v>45328</v>
      </c>
      <c r="B587">
        <v>281.29000000000002</v>
      </c>
      <c r="C587">
        <v>281.29000000000002</v>
      </c>
      <c r="D587">
        <v>281.29000000000002</v>
      </c>
      <c r="E587">
        <v>281.29000000000002</v>
      </c>
      <c r="F587" s="23">
        <f t="shared" si="9"/>
        <v>8.858761925256536E-3</v>
      </c>
    </row>
    <row r="588" spans="1:6" x14ac:dyDescent="0.35">
      <c r="A588" s="22">
        <v>45329</v>
      </c>
      <c r="B588">
        <v>282.11</v>
      </c>
      <c r="C588">
        <v>282.11</v>
      </c>
      <c r="D588">
        <v>282.11</v>
      </c>
      <c r="E588">
        <v>282.11</v>
      </c>
      <c r="F588" s="23">
        <f t="shared" si="9"/>
        <v>2.9151409577304315E-3</v>
      </c>
    </row>
    <row r="589" spans="1:6" x14ac:dyDescent="0.35">
      <c r="A589" s="22">
        <v>45330</v>
      </c>
      <c r="B589">
        <v>280.27</v>
      </c>
      <c r="C589">
        <v>280.27</v>
      </c>
      <c r="D589">
        <v>280.27</v>
      </c>
      <c r="E589">
        <v>280.27</v>
      </c>
      <c r="F589" s="23">
        <f t="shared" si="9"/>
        <v>-6.522278543830533E-3</v>
      </c>
    </row>
    <row r="590" spans="1:6" x14ac:dyDescent="0.35">
      <c r="A590" s="22">
        <v>45331</v>
      </c>
      <c r="B590">
        <v>280.23</v>
      </c>
      <c r="C590">
        <v>280.23</v>
      </c>
      <c r="D590">
        <v>280.23</v>
      </c>
      <c r="E590">
        <v>280.23</v>
      </c>
      <c r="F590" s="23">
        <f t="shared" si="9"/>
        <v>-1.4271952046228145E-4</v>
      </c>
    </row>
    <row r="591" spans="1:6" x14ac:dyDescent="0.35">
      <c r="A591" s="22">
        <v>45334</v>
      </c>
      <c r="B591">
        <v>278.08</v>
      </c>
      <c r="C591">
        <v>278.08</v>
      </c>
      <c r="D591">
        <v>278.08</v>
      </c>
      <c r="E591">
        <v>278.08</v>
      </c>
      <c r="F591" s="23">
        <f t="shared" si="9"/>
        <v>-7.6722692074368696E-3</v>
      </c>
    </row>
    <row r="592" spans="1:6" x14ac:dyDescent="0.35">
      <c r="A592" s="22">
        <v>45335</v>
      </c>
      <c r="B592">
        <v>279.57</v>
      </c>
      <c r="C592">
        <v>279.57</v>
      </c>
      <c r="D592">
        <v>279.57</v>
      </c>
      <c r="E592">
        <v>279.57</v>
      </c>
      <c r="F592" s="23">
        <f t="shared" si="9"/>
        <v>5.3581703107019891E-3</v>
      </c>
    </row>
    <row r="593" spans="1:6" x14ac:dyDescent="0.35">
      <c r="A593" s="22">
        <v>45336</v>
      </c>
      <c r="B593">
        <v>280.89</v>
      </c>
      <c r="C593">
        <v>280.89</v>
      </c>
      <c r="D593">
        <v>280.89</v>
      </c>
      <c r="E593">
        <v>280.89</v>
      </c>
      <c r="F593" s="23">
        <f t="shared" si="9"/>
        <v>4.7215366455628047E-3</v>
      </c>
    </row>
    <row r="594" spans="1:6" x14ac:dyDescent="0.35">
      <c r="A594" s="22">
        <v>45337</v>
      </c>
      <c r="B594">
        <v>281.54000000000002</v>
      </c>
      <c r="C594">
        <v>281.54000000000002</v>
      </c>
      <c r="D594">
        <v>281.54000000000002</v>
      </c>
      <c r="E594">
        <v>281.54000000000002</v>
      </c>
      <c r="F594" s="23">
        <f t="shared" si="9"/>
        <v>2.3140731247108626E-3</v>
      </c>
    </row>
    <row r="595" spans="1:6" x14ac:dyDescent="0.35">
      <c r="A595" s="22">
        <v>45338</v>
      </c>
      <c r="B595">
        <v>283.87</v>
      </c>
      <c r="C595">
        <v>283.87</v>
      </c>
      <c r="D595">
        <v>283.87</v>
      </c>
      <c r="E595">
        <v>283.87</v>
      </c>
      <c r="F595" s="23">
        <f t="shared" si="9"/>
        <v>8.275911060595241E-3</v>
      </c>
    </row>
    <row r="596" spans="1:6" x14ac:dyDescent="0.35">
      <c r="A596" s="22">
        <v>45341</v>
      </c>
      <c r="B596">
        <v>284.48</v>
      </c>
      <c r="C596">
        <v>284.48</v>
      </c>
      <c r="D596">
        <v>284.48</v>
      </c>
      <c r="E596">
        <v>284.48</v>
      </c>
      <c r="F596" s="23">
        <f t="shared" si="9"/>
        <v>2.1488709620601462E-3</v>
      </c>
    </row>
    <row r="597" spans="1:6" x14ac:dyDescent="0.35">
      <c r="A597" s="22">
        <v>45342</v>
      </c>
      <c r="B597">
        <v>285.25</v>
      </c>
      <c r="C597">
        <v>285.25</v>
      </c>
      <c r="D597">
        <v>285.25</v>
      </c>
      <c r="E597">
        <v>285.25</v>
      </c>
      <c r="F597" s="23">
        <f t="shared" si="9"/>
        <v>2.7066929133857625E-3</v>
      </c>
    </row>
    <row r="598" spans="1:6" x14ac:dyDescent="0.35">
      <c r="A598" s="22">
        <v>45343</v>
      </c>
      <c r="B598">
        <v>283.93</v>
      </c>
      <c r="C598">
        <v>283.93</v>
      </c>
      <c r="D598">
        <v>283.93</v>
      </c>
      <c r="E598">
        <v>283.93</v>
      </c>
      <c r="F598" s="23">
        <f t="shared" si="9"/>
        <v>-4.6275197195442359E-3</v>
      </c>
    </row>
    <row r="599" spans="1:6" x14ac:dyDescent="0.35">
      <c r="A599" s="22">
        <v>45344</v>
      </c>
      <c r="B599">
        <v>286.23</v>
      </c>
      <c r="C599">
        <v>286.23</v>
      </c>
      <c r="D599">
        <v>286.23</v>
      </c>
      <c r="E599">
        <v>286.23</v>
      </c>
      <c r="F599" s="23">
        <f t="shared" si="9"/>
        <v>8.1005881731413074E-3</v>
      </c>
    </row>
    <row r="600" spans="1:6" x14ac:dyDescent="0.35">
      <c r="A600" s="22">
        <v>45345</v>
      </c>
      <c r="B600">
        <v>286.97000000000003</v>
      </c>
      <c r="C600">
        <v>286.97000000000003</v>
      </c>
      <c r="D600">
        <v>286.97000000000003</v>
      </c>
      <c r="E600">
        <v>286.97000000000003</v>
      </c>
      <c r="F600" s="23">
        <f t="shared" si="9"/>
        <v>2.5853334730811203E-3</v>
      </c>
    </row>
    <row r="601" spans="1:6" x14ac:dyDescent="0.35">
      <c r="A601" s="22">
        <v>45348</v>
      </c>
      <c r="B601">
        <v>286.14</v>
      </c>
      <c r="C601">
        <v>286.14</v>
      </c>
      <c r="D601">
        <v>286.14</v>
      </c>
      <c r="E601">
        <v>286.14</v>
      </c>
      <c r="F601" s="23">
        <f t="shared" si="9"/>
        <v>-2.8922883925150394E-3</v>
      </c>
    </row>
    <row r="602" spans="1:6" x14ac:dyDescent="0.35">
      <c r="A602" s="22">
        <v>45349</v>
      </c>
      <c r="B602">
        <v>287.70999999999998</v>
      </c>
      <c r="C602">
        <v>287.70999999999998</v>
      </c>
      <c r="D602">
        <v>287.70999999999998</v>
      </c>
      <c r="E602">
        <v>287.70999999999998</v>
      </c>
      <c r="F602" s="23">
        <f t="shared" si="9"/>
        <v>5.4868246312993404E-3</v>
      </c>
    </row>
    <row r="603" spans="1:6" x14ac:dyDescent="0.35">
      <c r="A603" s="22">
        <v>45350</v>
      </c>
      <c r="B603">
        <v>285.08</v>
      </c>
      <c r="C603">
        <v>285.08</v>
      </c>
      <c r="D603">
        <v>285.08</v>
      </c>
      <c r="E603">
        <v>285.08</v>
      </c>
      <c r="F603" s="23">
        <f t="shared" si="9"/>
        <v>-9.1411490737200504E-3</v>
      </c>
    </row>
    <row r="604" spans="1:6" x14ac:dyDescent="0.35">
      <c r="A604" s="22">
        <v>45351</v>
      </c>
      <c r="B604">
        <v>285.93</v>
      </c>
      <c r="C604">
        <v>285.93</v>
      </c>
      <c r="D604">
        <v>285.93</v>
      </c>
      <c r="E604">
        <v>285.93</v>
      </c>
      <c r="F604" s="23">
        <f t="shared" si="9"/>
        <v>2.9816191946121185E-3</v>
      </c>
    </row>
    <row r="605" spans="1:6" x14ac:dyDescent="0.35">
      <c r="A605" s="22">
        <v>45352</v>
      </c>
      <c r="B605">
        <v>288.44</v>
      </c>
      <c r="C605">
        <v>288.44</v>
      </c>
      <c r="D605">
        <v>288.44</v>
      </c>
      <c r="E605">
        <v>288.44</v>
      </c>
      <c r="F605" s="23">
        <f t="shared" si="9"/>
        <v>8.7783723288916548E-3</v>
      </c>
    </row>
    <row r="606" spans="1:6" x14ac:dyDescent="0.35">
      <c r="A606" s="22">
        <v>45355</v>
      </c>
      <c r="B606">
        <v>288.85000000000002</v>
      </c>
      <c r="C606">
        <v>288.85000000000002</v>
      </c>
      <c r="D606">
        <v>288.85000000000002</v>
      </c>
      <c r="E606">
        <v>288.85000000000002</v>
      </c>
      <c r="F606" s="23">
        <f t="shared" si="9"/>
        <v>1.4214394674803253E-3</v>
      </c>
    </row>
    <row r="607" spans="1:6" x14ac:dyDescent="0.35">
      <c r="A607" s="22">
        <v>45356</v>
      </c>
      <c r="B607">
        <v>288.36</v>
      </c>
      <c r="C607">
        <v>288.36</v>
      </c>
      <c r="D607">
        <v>288.36</v>
      </c>
      <c r="E607">
        <v>288.36</v>
      </c>
      <c r="F607" s="23">
        <f t="shared" si="9"/>
        <v>-1.6963822052968982E-3</v>
      </c>
    </row>
    <row r="608" spans="1:6" x14ac:dyDescent="0.35">
      <c r="A608" s="22">
        <v>45357</v>
      </c>
      <c r="B608">
        <v>288.87</v>
      </c>
      <c r="C608">
        <v>288.87</v>
      </c>
      <c r="D608">
        <v>288.87</v>
      </c>
      <c r="E608">
        <v>288.87</v>
      </c>
      <c r="F608" s="23">
        <f t="shared" si="9"/>
        <v>1.7686225551393775E-3</v>
      </c>
    </row>
    <row r="609" spans="1:6" x14ac:dyDescent="0.35">
      <c r="A609" s="22">
        <v>45358</v>
      </c>
      <c r="B609">
        <v>289.79000000000002</v>
      </c>
      <c r="C609">
        <v>289.79000000000002</v>
      </c>
      <c r="D609">
        <v>289.79000000000002</v>
      </c>
      <c r="E609">
        <v>289.79000000000002</v>
      </c>
      <c r="F609" s="23">
        <f t="shared" si="9"/>
        <v>3.1848236230831027E-3</v>
      </c>
    </row>
    <row r="610" spans="1:6" x14ac:dyDescent="0.35">
      <c r="A610" s="22">
        <v>45359</v>
      </c>
      <c r="B610">
        <v>289.79000000000002</v>
      </c>
      <c r="C610">
        <v>289.79000000000002</v>
      </c>
      <c r="D610">
        <v>289.79000000000002</v>
      </c>
      <c r="E610">
        <v>289.79000000000002</v>
      </c>
      <c r="F610" s="23">
        <f t="shared" si="9"/>
        <v>0</v>
      </c>
    </row>
    <row r="611" spans="1:6" x14ac:dyDescent="0.35">
      <c r="A611" s="22">
        <v>45362</v>
      </c>
      <c r="B611">
        <v>288.27</v>
      </c>
      <c r="C611">
        <v>288.27</v>
      </c>
      <c r="D611">
        <v>288.27</v>
      </c>
      <c r="E611">
        <v>288.27</v>
      </c>
      <c r="F611" s="23">
        <f t="shared" si="9"/>
        <v>-5.2451775423583927E-3</v>
      </c>
    </row>
    <row r="612" spans="1:6" x14ac:dyDescent="0.35">
      <c r="A612" s="22">
        <v>45363</v>
      </c>
      <c r="B612">
        <v>287.08999999999997</v>
      </c>
      <c r="C612">
        <v>287.08999999999997</v>
      </c>
      <c r="D612">
        <v>287.08999999999997</v>
      </c>
      <c r="E612">
        <v>287.08999999999997</v>
      </c>
      <c r="F612" s="23">
        <f t="shared" si="9"/>
        <v>-4.0933846740902865E-3</v>
      </c>
    </row>
    <row r="613" spans="1:6" x14ac:dyDescent="0.35">
      <c r="A613" s="22">
        <v>45364</v>
      </c>
      <c r="B613">
        <v>281.33</v>
      </c>
      <c r="C613">
        <v>281.33</v>
      </c>
      <c r="D613">
        <v>281.33</v>
      </c>
      <c r="E613">
        <v>281.33</v>
      </c>
      <c r="F613" s="23">
        <f t="shared" si="9"/>
        <v>-2.0063394754258217E-2</v>
      </c>
    </row>
    <row r="614" spans="1:6" x14ac:dyDescent="0.35">
      <c r="A614" s="22">
        <v>45365</v>
      </c>
      <c r="B614">
        <v>283.8</v>
      </c>
      <c r="C614">
        <v>283.8</v>
      </c>
      <c r="D614">
        <v>283.8</v>
      </c>
      <c r="E614">
        <v>283.8</v>
      </c>
      <c r="F614" s="23">
        <f t="shared" si="9"/>
        <v>8.779724878256949E-3</v>
      </c>
    </row>
    <row r="615" spans="1:6" x14ac:dyDescent="0.35">
      <c r="A615" s="22">
        <v>45366</v>
      </c>
      <c r="B615">
        <v>282.26</v>
      </c>
      <c r="C615">
        <v>282.26</v>
      </c>
      <c r="D615">
        <v>282.26</v>
      </c>
      <c r="E615">
        <v>282.26</v>
      </c>
      <c r="F615" s="23">
        <f t="shared" si="9"/>
        <v>-5.4263565891473587E-3</v>
      </c>
    </row>
    <row r="616" spans="1:6" x14ac:dyDescent="0.35">
      <c r="A616" s="22">
        <v>45369</v>
      </c>
      <c r="B616">
        <v>283.02999999999997</v>
      </c>
      <c r="C616">
        <v>283.02999999999997</v>
      </c>
      <c r="D616">
        <v>283.02999999999997</v>
      </c>
      <c r="E616">
        <v>283.02999999999997</v>
      </c>
      <c r="F616" s="23">
        <f t="shared" si="9"/>
        <v>2.727981293842492E-3</v>
      </c>
    </row>
    <row r="617" spans="1:6" x14ac:dyDescent="0.35">
      <c r="A617" s="22">
        <v>45370</v>
      </c>
      <c r="B617">
        <v>280.52</v>
      </c>
      <c r="C617">
        <v>280.52</v>
      </c>
      <c r="D617">
        <v>280.52</v>
      </c>
      <c r="E617">
        <v>280.52</v>
      </c>
      <c r="F617" s="23">
        <f t="shared" si="9"/>
        <v>-8.8683178461646858E-3</v>
      </c>
    </row>
    <row r="618" spans="1:6" x14ac:dyDescent="0.35">
      <c r="A618" s="22">
        <v>45371</v>
      </c>
      <c r="B618">
        <v>280.64</v>
      </c>
      <c r="C618">
        <v>280.64</v>
      </c>
      <c r="D618">
        <v>280.64</v>
      </c>
      <c r="E618">
        <v>280.64</v>
      </c>
      <c r="F618" s="23">
        <f t="shared" si="9"/>
        <v>4.2777698559819105E-4</v>
      </c>
    </row>
    <row r="619" spans="1:6" x14ac:dyDescent="0.35">
      <c r="A619" s="22">
        <v>45372</v>
      </c>
      <c r="B619">
        <v>283.92</v>
      </c>
      <c r="C619">
        <v>283.92</v>
      </c>
      <c r="D619">
        <v>283.92</v>
      </c>
      <c r="E619">
        <v>283.92</v>
      </c>
      <c r="F619" s="23">
        <f t="shared" si="9"/>
        <v>1.1687571265678555E-2</v>
      </c>
    </row>
    <row r="620" spans="1:6" x14ac:dyDescent="0.35">
      <c r="A620" s="22">
        <v>45373</v>
      </c>
      <c r="B620">
        <v>285.18</v>
      </c>
      <c r="C620">
        <v>285.18</v>
      </c>
      <c r="D620">
        <v>285.18</v>
      </c>
      <c r="E620">
        <v>285.18</v>
      </c>
      <c r="F620" s="23">
        <f t="shared" si="9"/>
        <v>4.4378698224851751E-3</v>
      </c>
    </row>
    <row r="621" spans="1:6" x14ac:dyDescent="0.35">
      <c r="A621" s="22">
        <v>45376</v>
      </c>
      <c r="B621">
        <v>285.18</v>
      </c>
      <c r="C621">
        <v>285.18</v>
      </c>
      <c r="D621">
        <v>285.18</v>
      </c>
      <c r="E621">
        <v>285.18</v>
      </c>
      <c r="F621" s="23">
        <f t="shared" si="9"/>
        <v>0</v>
      </c>
    </row>
    <row r="622" spans="1:6" x14ac:dyDescent="0.35">
      <c r="A622" s="22">
        <v>45377</v>
      </c>
      <c r="B622">
        <v>285.66000000000003</v>
      </c>
      <c r="C622">
        <v>285.66000000000003</v>
      </c>
      <c r="D622">
        <v>285.66000000000003</v>
      </c>
      <c r="E622">
        <v>285.66000000000003</v>
      </c>
      <c r="F622" s="23">
        <f t="shared" si="9"/>
        <v>1.6831474857985067E-3</v>
      </c>
    </row>
    <row r="623" spans="1:6" x14ac:dyDescent="0.35">
      <c r="A623" s="22">
        <v>45378</v>
      </c>
      <c r="B623">
        <v>287.82</v>
      </c>
      <c r="C623">
        <v>287.82</v>
      </c>
      <c r="D623">
        <v>287.82</v>
      </c>
      <c r="E623">
        <v>287.82</v>
      </c>
      <c r="F623" s="23">
        <f t="shared" si="9"/>
        <v>7.5614366729677522E-3</v>
      </c>
    </row>
    <row r="624" spans="1:6" x14ac:dyDescent="0.35">
      <c r="A624" s="22">
        <v>45379</v>
      </c>
      <c r="B624">
        <v>289.95999999999998</v>
      </c>
      <c r="C624">
        <v>289.95999999999998</v>
      </c>
      <c r="D624">
        <v>289.95999999999998</v>
      </c>
      <c r="E624">
        <v>289.95999999999998</v>
      </c>
      <c r="F624" s="23">
        <f t="shared" si="9"/>
        <v>7.4352025571537295E-3</v>
      </c>
    </row>
    <row r="625" spans="1:6" x14ac:dyDescent="0.35">
      <c r="A625" s="22">
        <v>45380</v>
      </c>
      <c r="B625">
        <v>289.93</v>
      </c>
      <c r="C625">
        <v>289.93</v>
      </c>
      <c r="D625">
        <v>289.93</v>
      </c>
      <c r="E625">
        <v>289.93</v>
      </c>
      <c r="F625" s="23">
        <f t="shared" si="9"/>
        <v>-1.0346254655805186E-4</v>
      </c>
    </row>
    <row r="626" spans="1:6" x14ac:dyDescent="0.35">
      <c r="A626" s="22">
        <v>45382</v>
      </c>
      <c r="B626">
        <v>289.93</v>
      </c>
      <c r="C626">
        <v>289.93</v>
      </c>
      <c r="D626">
        <v>289.93</v>
      </c>
      <c r="E626">
        <v>289.93</v>
      </c>
      <c r="F626" s="23">
        <f t="shared" si="9"/>
        <v>0</v>
      </c>
    </row>
    <row r="627" spans="1:6" x14ac:dyDescent="0.35">
      <c r="A627" s="22">
        <v>45383</v>
      </c>
      <c r="B627">
        <v>291.99</v>
      </c>
      <c r="C627">
        <v>291.99</v>
      </c>
      <c r="D627">
        <v>291.99</v>
      </c>
      <c r="E627">
        <v>291.99</v>
      </c>
      <c r="F627" s="23">
        <f t="shared" si="9"/>
        <v>7.1051633152830074E-3</v>
      </c>
    </row>
    <row r="628" spans="1:6" x14ac:dyDescent="0.35">
      <c r="A628" s="22">
        <v>45384</v>
      </c>
      <c r="B628">
        <v>292.74</v>
      </c>
      <c r="C628">
        <v>292.74</v>
      </c>
      <c r="D628">
        <v>292.74</v>
      </c>
      <c r="E628">
        <v>292.74</v>
      </c>
      <c r="F628" s="23">
        <f t="shared" si="9"/>
        <v>2.5685811157916366E-3</v>
      </c>
    </row>
    <row r="629" spans="1:6" x14ac:dyDescent="0.35">
      <c r="A629" s="22">
        <v>45385</v>
      </c>
      <c r="B629">
        <v>292.87</v>
      </c>
      <c r="C629">
        <v>292.87</v>
      </c>
      <c r="D629">
        <v>292.87</v>
      </c>
      <c r="E629">
        <v>292.87</v>
      </c>
      <c r="F629" s="23">
        <f t="shared" si="9"/>
        <v>4.4408007105279583E-4</v>
      </c>
    </row>
    <row r="630" spans="1:6" x14ac:dyDescent="0.35">
      <c r="A630" s="22">
        <v>45386</v>
      </c>
      <c r="B630">
        <v>294.08</v>
      </c>
      <c r="C630">
        <v>294.08</v>
      </c>
      <c r="D630">
        <v>294.08</v>
      </c>
      <c r="E630">
        <v>294.08</v>
      </c>
      <c r="F630" s="23">
        <f t="shared" si="9"/>
        <v>4.1315259330077497E-3</v>
      </c>
    </row>
    <row r="631" spans="1:6" x14ac:dyDescent="0.35">
      <c r="A631" s="22">
        <v>45387</v>
      </c>
      <c r="B631">
        <v>294.35000000000002</v>
      </c>
      <c r="C631">
        <v>294.35000000000002</v>
      </c>
      <c r="D631">
        <v>294.35000000000002</v>
      </c>
      <c r="E631">
        <v>294.35000000000002</v>
      </c>
      <c r="F631" s="23">
        <f t="shared" si="9"/>
        <v>9.1811751904256889E-4</v>
      </c>
    </row>
    <row r="632" spans="1:6" x14ac:dyDescent="0.35">
      <c r="A632" s="22">
        <v>45390</v>
      </c>
      <c r="B632">
        <v>296.19</v>
      </c>
      <c r="C632">
        <v>296.19</v>
      </c>
      <c r="D632">
        <v>296.19</v>
      </c>
      <c r="E632">
        <v>296.19</v>
      </c>
      <c r="F632" s="23">
        <f t="shared" si="9"/>
        <v>6.2510616612874974E-3</v>
      </c>
    </row>
    <row r="633" spans="1:6" x14ac:dyDescent="0.35">
      <c r="A633" s="22">
        <v>45391</v>
      </c>
      <c r="B633">
        <v>295.57</v>
      </c>
      <c r="C633">
        <v>295.57</v>
      </c>
      <c r="D633">
        <v>295.57</v>
      </c>
      <c r="E633">
        <v>295.57</v>
      </c>
      <c r="F633" s="23">
        <f t="shared" si="9"/>
        <v>-2.0932509537796838E-3</v>
      </c>
    </row>
    <row r="634" spans="1:6" x14ac:dyDescent="0.35">
      <c r="A634" s="22">
        <v>45392</v>
      </c>
      <c r="B634">
        <v>296.89</v>
      </c>
      <c r="C634">
        <v>296.89</v>
      </c>
      <c r="D634">
        <v>296.89</v>
      </c>
      <c r="E634">
        <v>296.89</v>
      </c>
      <c r="F634" s="23">
        <f t="shared" si="9"/>
        <v>4.4659471529586671E-3</v>
      </c>
    </row>
    <row r="635" spans="1:6" x14ac:dyDescent="0.35">
      <c r="A635" s="22">
        <v>45393</v>
      </c>
      <c r="B635">
        <v>296.89</v>
      </c>
      <c r="C635">
        <v>296.89</v>
      </c>
      <c r="D635">
        <v>296.89</v>
      </c>
      <c r="E635">
        <v>296.89</v>
      </c>
      <c r="F635" s="23">
        <f t="shared" si="9"/>
        <v>0</v>
      </c>
    </row>
    <row r="636" spans="1:6" x14ac:dyDescent="0.35">
      <c r="A636" s="22">
        <v>45408</v>
      </c>
      <c r="B636">
        <v>293</v>
      </c>
      <c r="C636">
        <v>293</v>
      </c>
      <c r="D636">
        <v>293</v>
      </c>
      <c r="E636">
        <v>293</v>
      </c>
      <c r="F636" s="23">
        <f t="shared" si="9"/>
        <v>-1.3102495873892643E-2</v>
      </c>
    </row>
    <row r="637" spans="1:6" x14ac:dyDescent="0.35">
      <c r="A637" s="22">
        <v>45411</v>
      </c>
      <c r="B637">
        <v>295.43</v>
      </c>
      <c r="C637">
        <v>295.43</v>
      </c>
      <c r="D637">
        <v>295.43</v>
      </c>
      <c r="E637">
        <v>295.43</v>
      </c>
      <c r="F637" s="23">
        <f t="shared" si="9"/>
        <v>8.2935153583617981E-3</v>
      </c>
    </row>
    <row r="638" spans="1:6" x14ac:dyDescent="0.35">
      <c r="A638" s="22">
        <v>45412</v>
      </c>
      <c r="B638">
        <v>295.8</v>
      </c>
      <c r="C638">
        <v>295.8</v>
      </c>
      <c r="D638">
        <v>295.8</v>
      </c>
      <c r="E638">
        <v>295.8</v>
      </c>
      <c r="F638" s="23">
        <f t="shared" si="9"/>
        <v>1.2524117388213944E-3</v>
      </c>
    </row>
    <row r="639" spans="1:6" x14ac:dyDescent="0.35">
      <c r="A639" s="22">
        <v>45413</v>
      </c>
      <c r="B639">
        <v>295.8</v>
      </c>
      <c r="C639">
        <v>295.8</v>
      </c>
      <c r="D639">
        <v>295.8</v>
      </c>
      <c r="E639">
        <v>295.8</v>
      </c>
      <c r="F639" s="23">
        <f t="shared" si="9"/>
        <v>0</v>
      </c>
    </row>
    <row r="640" spans="1:6" x14ac:dyDescent="0.35">
      <c r="A640" s="22">
        <v>45414</v>
      </c>
      <c r="B640">
        <v>296.81</v>
      </c>
      <c r="C640">
        <v>296.81</v>
      </c>
      <c r="D640">
        <v>296.81</v>
      </c>
      <c r="E640">
        <v>296.81</v>
      </c>
      <c r="F640" s="23">
        <f t="shared" si="9"/>
        <v>3.4144692359702193E-3</v>
      </c>
    </row>
    <row r="641" spans="1:6" x14ac:dyDescent="0.35">
      <c r="A641" s="22">
        <v>45415</v>
      </c>
      <c r="B641">
        <v>294.67</v>
      </c>
      <c r="C641">
        <v>294.67</v>
      </c>
      <c r="D641">
        <v>294.67</v>
      </c>
      <c r="E641">
        <v>294.67</v>
      </c>
      <c r="F641" s="23">
        <f t="shared" si="9"/>
        <v>-7.2099996630840815E-3</v>
      </c>
    </row>
    <row r="642" spans="1:6" x14ac:dyDescent="0.35">
      <c r="A642" s="22">
        <v>45418</v>
      </c>
      <c r="B642">
        <v>293.69</v>
      </c>
      <c r="C642">
        <v>293.69</v>
      </c>
      <c r="D642">
        <v>293.69</v>
      </c>
      <c r="E642">
        <v>293.69</v>
      </c>
      <c r="F642" s="23">
        <f t="shared" si="9"/>
        <v>-3.3257542335494556E-3</v>
      </c>
    </row>
    <row r="643" spans="1:6" x14ac:dyDescent="0.35">
      <c r="A643" s="22">
        <v>45419</v>
      </c>
      <c r="B643">
        <v>291.51</v>
      </c>
      <c r="C643">
        <v>291.51</v>
      </c>
      <c r="D643">
        <v>291.51</v>
      </c>
      <c r="E643">
        <v>291.51</v>
      </c>
      <c r="F643" s="23">
        <f t="shared" ref="F643:F706" si="10">(B643-B642)/B642</f>
        <v>-7.4227927406449214E-3</v>
      </c>
    </row>
    <row r="644" spans="1:6" x14ac:dyDescent="0.35">
      <c r="A644" s="22">
        <v>45420</v>
      </c>
      <c r="B644">
        <v>292.49</v>
      </c>
      <c r="C644">
        <v>292.49</v>
      </c>
      <c r="D644">
        <v>292.49</v>
      </c>
      <c r="E644">
        <v>292.49</v>
      </c>
      <c r="F644" s="23">
        <f t="shared" si="10"/>
        <v>3.3618057699564964E-3</v>
      </c>
    </row>
    <row r="645" spans="1:6" x14ac:dyDescent="0.35">
      <c r="A645" s="22">
        <v>45421</v>
      </c>
      <c r="B645">
        <v>288.69</v>
      </c>
      <c r="C645">
        <v>288.69</v>
      </c>
      <c r="D645">
        <v>288.69</v>
      </c>
      <c r="E645">
        <v>288.69</v>
      </c>
      <c r="F645" s="23">
        <f t="shared" si="10"/>
        <v>-1.2991897158877264E-2</v>
      </c>
    </row>
    <row r="646" spans="1:6" x14ac:dyDescent="0.35">
      <c r="A646" s="22">
        <v>45422</v>
      </c>
      <c r="B646">
        <v>290.57</v>
      </c>
      <c r="C646">
        <v>290.57</v>
      </c>
      <c r="D646">
        <v>290.57</v>
      </c>
      <c r="E646">
        <v>290.57</v>
      </c>
      <c r="F646" s="23">
        <f t="shared" si="10"/>
        <v>6.5121756901866902E-3</v>
      </c>
    </row>
    <row r="647" spans="1:6" x14ac:dyDescent="0.35">
      <c r="A647" s="22">
        <v>45425</v>
      </c>
      <c r="B647">
        <v>290.89999999999998</v>
      </c>
      <c r="C647">
        <v>290.89999999999998</v>
      </c>
      <c r="D647">
        <v>290.89999999999998</v>
      </c>
      <c r="E647">
        <v>290.89999999999998</v>
      </c>
      <c r="F647" s="23">
        <f t="shared" si="10"/>
        <v>1.1356987989124276E-3</v>
      </c>
    </row>
    <row r="648" spans="1:6" x14ac:dyDescent="0.35">
      <c r="A648" s="22">
        <v>45426</v>
      </c>
      <c r="B648">
        <v>292.82</v>
      </c>
      <c r="C648">
        <v>292.82</v>
      </c>
      <c r="D648">
        <v>292.82</v>
      </c>
      <c r="E648">
        <v>292.82</v>
      </c>
      <c r="F648" s="23">
        <f t="shared" si="10"/>
        <v>6.6002062564455687E-3</v>
      </c>
    </row>
    <row r="649" spans="1:6" x14ac:dyDescent="0.35">
      <c r="A649" s="22">
        <v>45427</v>
      </c>
      <c r="B649">
        <v>293.29000000000002</v>
      </c>
      <c r="C649">
        <v>293.29000000000002</v>
      </c>
      <c r="D649">
        <v>293.29000000000002</v>
      </c>
      <c r="E649">
        <v>293.29000000000002</v>
      </c>
      <c r="F649" s="23">
        <f t="shared" si="10"/>
        <v>1.6050816201080094E-3</v>
      </c>
    </row>
    <row r="650" spans="1:6" x14ac:dyDescent="0.35">
      <c r="A650" s="22">
        <v>45428</v>
      </c>
      <c r="B650">
        <v>296.68</v>
      </c>
      <c r="C650">
        <v>296.68</v>
      </c>
      <c r="D650">
        <v>296.68</v>
      </c>
      <c r="E650">
        <v>296.68</v>
      </c>
      <c r="F650" s="23">
        <f t="shared" si="10"/>
        <v>1.1558525691295257E-2</v>
      </c>
    </row>
    <row r="651" spans="1:6" x14ac:dyDescent="0.35">
      <c r="A651" s="22">
        <v>45429</v>
      </c>
      <c r="B651">
        <v>298.44</v>
      </c>
      <c r="C651">
        <v>298.44</v>
      </c>
      <c r="D651">
        <v>298.44</v>
      </c>
      <c r="E651">
        <v>298.44</v>
      </c>
      <c r="F651" s="23">
        <f t="shared" si="10"/>
        <v>5.932317648644974E-3</v>
      </c>
    </row>
    <row r="652" spans="1:6" x14ac:dyDescent="0.35">
      <c r="A652" s="22">
        <v>45432</v>
      </c>
      <c r="B652">
        <v>298.44</v>
      </c>
      <c r="C652">
        <v>298.44</v>
      </c>
      <c r="D652">
        <v>298.44</v>
      </c>
      <c r="E652">
        <v>298.44</v>
      </c>
      <c r="F652" s="23">
        <f t="shared" si="10"/>
        <v>0</v>
      </c>
    </row>
    <row r="653" spans="1:6" x14ac:dyDescent="0.35">
      <c r="A653" s="22">
        <v>45433</v>
      </c>
      <c r="B653">
        <v>299.2</v>
      </c>
      <c r="C653">
        <v>299.2</v>
      </c>
      <c r="D653">
        <v>299.2</v>
      </c>
      <c r="E653">
        <v>299.2</v>
      </c>
      <c r="F653" s="23">
        <f t="shared" si="10"/>
        <v>2.5465755260688609E-3</v>
      </c>
    </row>
    <row r="654" spans="1:6" x14ac:dyDescent="0.35">
      <c r="A654" s="22">
        <v>45434</v>
      </c>
      <c r="B654">
        <v>300.23</v>
      </c>
      <c r="C654">
        <v>300.23</v>
      </c>
      <c r="D654">
        <v>300.23</v>
      </c>
      <c r="E654">
        <v>300.23</v>
      </c>
      <c r="F654" s="23">
        <f t="shared" si="10"/>
        <v>3.4425133689840563E-3</v>
      </c>
    </row>
    <row r="655" spans="1:6" x14ac:dyDescent="0.35">
      <c r="A655" s="22">
        <v>45435</v>
      </c>
      <c r="B655">
        <v>303.83999999999997</v>
      </c>
      <c r="C655">
        <v>303.83999999999997</v>
      </c>
      <c r="D655">
        <v>303.83999999999997</v>
      </c>
      <c r="E655">
        <v>303.83999999999997</v>
      </c>
      <c r="F655" s="23">
        <f t="shared" si="10"/>
        <v>1.2024114845285136E-2</v>
      </c>
    </row>
    <row r="656" spans="1:6" x14ac:dyDescent="0.35">
      <c r="A656" s="22">
        <v>45436</v>
      </c>
      <c r="B656">
        <v>304.23</v>
      </c>
      <c r="C656">
        <v>304.23</v>
      </c>
      <c r="D656">
        <v>304.23</v>
      </c>
      <c r="E656">
        <v>304.23</v>
      </c>
      <c r="F656" s="23">
        <f t="shared" si="10"/>
        <v>1.2835703001581201E-3</v>
      </c>
    </row>
    <row r="657" spans="1:6" x14ac:dyDescent="0.35">
      <c r="A657" s="22">
        <v>45439</v>
      </c>
      <c r="B657">
        <v>304.18</v>
      </c>
      <c r="C657">
        <v>304.18</v>
      </c>
      <c r="D657">
        <v>304.18</v>
      </c>
      <c r="E657">
        <v>304.18</v>
      </c>
      <c r="F657" s="23">
        <f t="shared" si="10"/>
        <v>-1.643493409591801E-4</v>
      </c>
    </row>
    <row r="658" spans="1:6" x14ac:dyDescent="0.35">
      <c r="A658" s="22">
        <v>45440</v>
      </c>
      <c r="B658">
        <v>302.68</v>
      </c>
      <c r="C658">
        <v>302.68</v>
      </c>
      <c r="D658">
        <v>302.68</v>
      </c>
      <c r="E658">
        <v>302.68</v>
      </c>
      <c r="F658" s="23">
        <f t="shared" si="10"/>
        <v>-4.9312906831481358E-3</v>
      </c>
    </row>
    <row r="659" spans="1:6" x14ac:dyDescent="0.35">
      <c r="A659" s="22">
        <v>45441</v>
      </c>
      <c r="B659">
        <v>301.18</v>
      </c>
      <c r="C659">
        <v>301.18</v>
      </c>
      <c r="D659">
        <v>301.18</v>
      </c>
      <c r="E659">
        <v>301.18</v>
      </c>
      <c r="F659" s="23">
        <f t="shared" si="10"/>
        <v>-4.9557288225188321E-3</v>
      </c>
    </row>
    <row r="660" spans="1:6" x14ac:dyDescent="0.35">
      <c r="A660" s="22">
        <v>45442</v>
      </c>
      <c r="B660">
        <v>299.12</v>
      </c>
      <c r="C660">
        <v>299.12</v>
      </c>
      <c r="D660">
        <v>299.12</v>
      </c>
      <c r="E660">
        <v>299.12</v>
      </c>
      <c r="F660" s="23">
        <f t="shared" si="10"/>
        <v>-6.8397635965203605E-3</v>
      </c>
    </row>
    <row r="661" spans="1:6" x14ac:dyDescent="0.35">
      <c r="A661" s="22">
        <v>45443</v>
      </c>
      <c r="B661">
        <v>299.32</v>
      </c>
      <c r="C661">
        <v>299.32</v>
      </c>
      <c r="D661">
        <v>299.32</v>
      </c>
      <c r="E661">
        <v>299.32</v>
      </c>
      <c r="F661" s="23">
        <f t="shared" si="10"/>
        <v>6.6862797539445247E-4</v>
      </c>
    </row>
    <row r="662" spans="1:6" x14ac:dyDescent="0.35">
      <c r="A662" s="22">
        <v>45446</v>
      </c>
      <c r="B662">
        <v>308.35000000000002</v>
      </c>
      <c r="C662">
        <v>308.35000000000002</v>
      </c>
      <c r="D662">
        <v>308.35000000000002</v>
      </c>
      <c r="E662">
        <v>308.35000000000002</v>
      </c>
      <c r="F662" s="23">
        <f t="shared" si="10"/>
        <v>3.0168381665107678E-2</v>
      </c>
    </row>
    <row r="663" spans="1:6" x14ac:dyDescent="0.35">
      <c r="A663" s="22">
        <v>45447</v>
      </c>
      <c r="B663">
        <v>290.39999999999998</v>
      </c>
      <c r="C663">
        <v>290.39999999999998</v>
      </c>
      <c r="D663">
        <v>290.39999999999998</v>
      </c>
      <c r="E663">
        <v>290.39999999999998</v>
      </c>
      <c r="F663" s="23">
        <f t="shared" si="10"/>
        <v>-5.8213069563807507E-2</v>
      </c>
    </row>
    <row r="664" spans="1:6" x14ac:dyDescent="0.35">
      <c r="A664" s="22">
        <v>45448</v>
      </c>
      <c r="B664">
        <v>301</v>
      </c>
      <c r="C664">
        <v>301</v>
      </c>
      <c r="D664">
        <v>301</v>
      </c>
      <c r="E664">
        <v>301</v>
      </c>
      <c r="F664" s="23">
        <f t="shared" si="10"/>
        <v>3.6501377410468404E-2</v>
      </c>
    </row>
    <row r="665" spans="1:6" x14ac:dyDescent="0.35">
      <c r="A665" s="22">
        <v>45449</v>
      </c>
      <c r="B665">
        <v>305.35000000000002</v>
      </c>
      <c r="C665">
        <v>305.35000000000002</v>
      </c>
      <c r="D665">
        <v>305.35000000000002</v>
      </c>
      <c r="E665">
        <v>305.35000000000002</v>
      </c>
      <c r="F665" s="23">
        <f t="shared" si="10"/>
        <v>1.4451827242524992E-2</v>
      </c>
    </row>
    <row r="666" spans="1:6" x14ac:dyDescent="0.35">
      <c r="A666" s="22">
        <v>45450</v>
      </c>
      <c r="B666">
        <v>310.63</v>
      </c>
      <c r="C666">
        <v>310.63</v>
      </c>
      <c r="D666">
        <v>310.63</v>
      </c>
      <c r="E666">
        <v>310.63</v>
      </c>
      <c r="F666" s="23">
        <f t="shared" si="10"/>
        <v>1.7291632552808162E-2</v>
      </c>
    </row>
    <row r="667" spans="1:6" x14ac:dyDescent="0.35">
      <c r="A667" s="22">
        <v>45453</v>
      </c>
      <c r="B667">
        <v>311.48</v>
      </c>
      <c r="C667">
        <v>311.48</v>
      </c>
      <c r="D667">
        <v>311.48</v>
      </c>
      <c r="E667">
        <v>311.48</v>
      </c>
      <c r="F667" s="23">
        <f t="shared" si="10"/>
        <v>2.7363744647974204E-3</v>
      </c>
    </row>
    <row r="668" spans="1:6" x14ac:dyDescent="0.35">
      <c r="A668" s="22">
        <v>45454</v>
      </c>
      <c r="B668">
        <v>311.57</v>
      </c>
      <c r="C668">
        <v>311.57</v>
      </c>
      <c r="D668">
        <v>311.57</v>
      </c>
      <c r="E668">
        <v>311.57</v>
      </c>
      <c r="F668" s="23">
        <f t="shared" si="10"/>
        <v>2.8894311031197825E-4</v>
      </c>
    </row>
    <row r="669" spans="1:6" x14ac:dyDescent="0.35">
      <c r="A669" s="22">
        <v>45455</v>
      </c>
      <c r="B669">
        <v>313.33999999999997</v>
      </c>
      <c r="C669">
        <v>313.33999999999997</v>
      </c>
      <c r="D669">
        <v>313.33999999999997</v>
      </c>
      <c r="E669">
        <v>313.33999999999997</v>
      </c>
      <c r="F669" s="23">
        <f t="shared" si="10"/>
        <v>5.6809063773790216E-3</v>
      </c>
    </row>
    <row r="670" spans="1:6" x14ac:dyDescent="0.35">
      <c r="A670" s="22">
        <v>45456</v>
      </c>
      <c r="B670">
        <v>315.35000000000002</v>
      </c>
      <c r="C670">
        <v>315.35000000000002</v>
      </c>
      <c r="D670">
        <v>315.35000000000002</v>
      </c>
      <c r="E670">
        <v>315.35000000000002</v>
      </c>
      <c r="F670" s="23">
        <f t="shared" si="10"/>
        <v>6.414757132827114E-3</v>
      </c>
    </row>
    <row r="671" spans="1:6" x14ac:dyDescent="0.35">
      <c r="A671" s="22">
        <v>45457</v>
      </c>
      <c r="B671">
        <v>318.07</v>
      </c>
      <c r="C671">
        <v>318.07</v>
      </c>
      <c r="D671">
        <v>318.07</v>
      </c>
      <c r="E671">
        <v>318.07</v>
      </c>
      <c r="F671" s="23">
        <f t="shared" si="10"/>
        <v>8.6253369272236251E-3</v>
      </c>
    </row>
    <row r="672" spans="1:6" x14ac:dyDescent="0.35">
      <c r="A672" s="22">
        <v>45460</v>
      </c>
      <c r="B672">
        <v>318.07</v>
      </c>
      <c r="C672">
        <v>318.07</v>
      </c>
      <c r="D672">
        <v>318.07</v>
      </c>
      <c r="E672">
        <v>318.07</v>
      </c>
      <c r="F672" s="23">
        <f t="shared" si="10"/>
        <v>0</v>
      </c>
    </row>
    <row r="673" spans="1:6" x14ac:dyDescent="0.35">
      <c r="A673" s="22">
        <v>45461</v>
      </c>
      <c r="B673">
        <v>319.66000000000003</v>
      </c>
      <c r="C673">
        <v>319.66000000000003</v>
      </c>
      <c r="D673">
        <v>319.66000000000003</v>
      </c>
      <c r="E673">
        <v>319.66000000000003</v>
      </c>
      <c r="F673" s="23">
        <f t="shared" si="10"/>
        <v>4.9988996132927718E-3</v>
      </c>
    </row>
    <row r="674" spans="1:6" x14ac:dyDescent="0.35">
      <c r="A674" s="22">
        <v>45462</v>
      </c>
      <c r="B674">
        <v>317.52</v>
      </c>
      <c r="C674">
        <v>317.52</v>
      </c>
      <c r="D674">
        <v>317.52</v>
      </c>
      <c r="E674">
        <v>317.52</v>
      </c>
      <c r="F674" s="23">
        <f t="shared" si="10"/>
        <v>-6.694613026340621E-3</v>
      </c>
    </row>
    <row r="675" spans="1:6" x14ac:dyDescent="0.35">
      <c r="A675" s="22">
        <v>45463</v>
      </c>
      <c r="B675">
        <v>318.04000000000002</v>
      </c>
      <c r="C675">
        <v>318.04000000000002</v>
      </c>
      <c r="D675">
        <v>318.04000000000002</v>
      </c>
      <c r="E675">
        <v>318.04000000000002</v>
      </c>
      <c r="F675" s="23">
        <f t="shared" si="10"/>
        <v>1.6376921138827119E-3</v>
      </c>
    </row>
    <row r="676" spans="1:6" x14ac:dyDescent="0.35">
      <c r="A676" s="22">
        <v>45464</v>
      </c>
      <c r="B676">
        <v>317.26</v>
      </c>
      <c r="C676">
        <v>317.26</v>
      </c>
      <c r="D676">
        <v>317.26</v>
      </c>
      <c r="E676">
        <v>317.26</v>
      </c>
      <c r="F676" s="23">
        <f t="shared" si="10"/>
        <v>-2.4525216953843213E-3</v>
      </c>
    </row>
    <row r="677" spans="1:6" x14ac:dyDescent="0.35">
      <c r="A677" s="22">
        <v>45467</v>
      </c>
      <c r="B677">
        <v>317.98</v>
      </c>
      <c r="C677">
        <v>317.98</v>
      </c>
      <c r="D677">
        <v>317.98</v>
      </c>
      <c r="E677">
        <v>317.98</v>
      </c>
      <c r="F677" s="23">
        <f t="shared" si="10"/>
        <v>2.2694320115994051E-3</v>
      </c>
    </row>
    <row r="678" spans="1:6" x14ac:dyDescent="0.35">
      <c r="A678" s="22">
        <v>45468</v>
      </c>
      <c r="B678">
        <v>319.01</v>
      </c>
      <c r="C678">
        <v>319.01</v>
      </c>
      <c r="D678">
        <v>319.01</v>
      </c>
      <c r="E678">
        <v>319.01</v>
      </c>
      <c r="F678" s="23">
        <f t="shared" si="10"/>
        <v>3.2391974338007818E-3</v>
      </c>
    </row>
    <row r="679" spans="1:6" x14ac:dyDescent="0.35">
      <c r="A679" s="22">
        <v>45469</v>
      </c>
      <c r="B679">
        <v>319.92</v>
      </c>
      <c r="C679">
        <v>319.92</v>
      </c>
      <c r="D679">
        <v>319.92</v>
      </c>
      <c r="E679">
        <v>319.92</v>
      </c>
      <c r="F679" s="23">
        <f t="shared" si="10"/>
        <v>2.8525751543839535E-3</v>
      </c>
    </row>
    <row r="680" spans="1:6" x14ac:dyDescent="0.35">
      <c r="A680" s="22">
        <v>45470</v>
      </c>
      <c r="B680">
        <v>321.45</v>
      </c>
      <c r="C680">
        <v>321.45</v>
      </c>
      <c r="D680">
        <v>321.45</v>
      </c>
      <c r="E680">
        <v>321.45</v>
      </c>
      <c r="F680" s="23">
        <f t="shared" si="10"/>
        <v>4.782445611402765E-3</v>
      </c>
    </row>
    <row r="681" spans="1:6" x14ac:dyDescent="0.35">
      <c r="A681" s="22">
        <v>45471</v>
      </c>
      <c r="B681">
        <v>320.97000000000003</v>
      </c>
      <c r="C681">
        <v>320.97000000000003</v>
      </c>
      <c r="D681">
        <v>320.97000000000003</v>
      </c>
      <c r="E681">
        <v>320.97000000000003</v>
      </c>
      <c r="F681" s="23">
        <f t="shared" si="10"/>
        <v>-1.4932337844142521E-3</v>
      </c>
    </row>
    <row r="682" spans="1:6" x14ac:dyDescent="0.35">
      <c r="A682" s="22">
        <v>45474</v>
      </c>
      <c r="B682">
        <v>323.82</v>
      </c>
      <c r="C682">
        <v>323.82</v>
      </c>
      <c r="D682">
        <v>323.82</v>
      </c>
      <c r="E682">
        <v>323.82</v>
      </c>
      <c r="F682" s="23">
        <f t="shared" si="10"/>
        <v>8.8793345172444946E-3</v>
      </c>
    </row>
    <row r="683" spans="1:6" x14ac:dyDescent="0.35">
      <c r="A683" s="22">
        <v>45475</v>
      </c>
      <c r="B683">
        <v>323.51</v>
      </c>
      <c r="C683">
        <v>323.51</v>
      </c>
      <c r="D683">
        <v>323.51</v>
      </c>
      <c r="E683">
        <v>323.51</v>
      </c>
      <c r="F683" s="23">
        <f t="shared" si="10"/>
        <v>-9.5732196899512775E-4</v>
      </c>
    </row>
    <row r="684" spans="1:6" x14ac:dyDescent="0.35">
      <c r="A684" s="22">
        <v>45476</v>
      </c>
      <c r="B684">
        <v>325.63</v>
      </c>
      <c r="C684">
        <v>325.63</v>
      </c>
      <c r="D684">
        <v>325.63</v>
      </c>
      <c r="E684">
        <v>325.63</v>
      </c>
      <c r="F684" s="23">
        <f t="shared" si="10"/>
        <v>6.553120459954884E-3</v>
      </c>
    </row>
    <row r="685" spans="1:6" x14ac:dyDescent="0.35">
      <c r="A685" s="22">
        <v>45477</v>
      </c>
      <c r="B685">
        <v>326.42</v>
      </c>
      <c r="C685">
        <v>326.42</v>
      </c>
      <c r="D685">
        <v>326.42</v>
      </c>
      <c r="E685">
        <v>326.42</v>
      </c>
      <c r="F685" s="23">
        <f t="shared" si="10"/>
        <v>2.4260663943740457E-3</v>
      </c>
    </row>
    <row r="686" spans="1:6" x14ac:dyDescent="0.35">
      <c r="A686" s="22">
        <v>45478</v>
      </c>
      <c r="B686">
        <v>326.83</v>
      </c>
      <c r="C686">
        <v>326.83</v>
      </c>
      <c r="D686">
        <v>326.83</v>
      </c>
      <c r="E686">
        <v>326.83</v>
      </c>
      <c r="F686" s="23">
        <f t="shared" si="10"/>
        <v>1.2560504871024084E-3</v>
      </c>
    </row>
    <row r="687" spans="1:6" x14ac:dyDescent="0.35">
      <c r="A687" s="22">
        <v>45481</v>
      </c>
      <c r="B687">
        <v>326.04000000000002</v>
      </c>
      <c r="C687">
        <v>326.04000000000002</v>
      </c>
      <c r="D687">
        <v>326.04000000000002</v>
      </c>
      <c r="E687">
        <v>326.04000000000002</v>
      </c>
      <c r="F687" s="23">
        <f t="shared" si="10"/>
        <v>-2.4171587675548868E-3</v>
      </c>
    </row>
    <row r="688" spans="1:6" x14ac:dyDescent="0.35">
      <c r="A688" s="22">
        <v>45482</v>
      </c>
      <c r="B688">
        <v>327.55</v>
      </c>
      <c r="C688">
        <v>327.55</v>
      </c>
      <c r="D688">
        <v>327.55</v>
      </c>
      <c r="E688">
        <v>327.55</v>
      </c>
      <c r="F688" s="23">
        <f t="shared" si="10"/>
        <v>4.6313335787019714E-3</v>
      </c>
    </row>
    <row r="689" spans="1:6" x14ac:dyDescent="0.35">
      <c r="A689" s="22">
        <v>45483</v>
      </c>
      <c r="B689">
        <v>326.32</v>
      </c>
      <c r="C689">
        <v>326.32</v>
      </c>
      <c r="D689">
        <v>326.32</v>
      </c>
      <c r="E689">
        <v>326.32</v>
      </c>
      <c r="F689" s="23">
        <f t="shared" si="10"/>
        <v>-3.7551518852084204E-3</v>
      </c>
    </row>
    <row r="690" spans="1:6" x14ac:dyDescent="0.35">
      <c r="A690" s="22">
        <v>45484</v>
      </c>
      <c r="B690">
        <v>326.01</v>
      </c>
      <c r="C690">
        <v>326.01</v>
      </c>
      <c r="D690">
        <v>326.01</v>
      </c>
      <c r="E690">
        <v>326.01</v>
      </c>
      <c r="F690" s="23">
        <f t="shared" si="10"/>
        <v>-9.4998774209365737E-4</v>
      </c>
    </row>
    <row r="691" spans="1:6" x14ac:dyDescent="0.35">
      <c r="A691" s="22">
        <v>45485</v>
      </c>
      <c r="B691">
        <v>326.70999999999998</v>
      </c>
      <c r="C691">
        <v>326.70999999999998</v>
      </c>
      <c r="D691">
        <v>326.70999999999998</v>
      </c>
      <c r="E691">
        <v>326.70999999999998</v>
      </c>
      <c r="F691" s="23">
        <f t="shared" si="10"/>
        <v>2.1471733995889349E-3</v>
      </c>
    </row>
    <row r="692" spans="1:6" x14ac:dyDescent="0.35">
      <c r="A692" s="22">
        <v>45488</v>
      </c>
      <c r="B692">
        <v>328.51</v>
      </c>
      <c r="C692">
        <v>328.51</v>
      </c>
      <c r="D692">
        <v>328.51</v>
      </c>
      <c r="E692">
        <v>328.51</v>
      </c>
      <c r="F692" s="23">
        <f t="shared" si="10"/>
        <v>5.5094732331425773E-3</v>
      </c>
    </row>
    <row r="693" spans="1:6" x14ac:dyDescent="0.35">
      <c r="A693" s="22">
        <v>45489</v>
      </c>
      <c r="B693">
        <v>328.43</v>
      </c>
      <c r="C693">
        <v>328.43</v>
      </c>
      <c r="D693">
        <v>328.43</v>
      </c>
      <c r="E693">
        <v>328.43</v>
      </c>
      <c r="F693" s="23">
        <f t="shared" si="10"/>
        <v>-2.4352378923011197E-4</v>
      </c>
    </row>
    <row r="694" spans="1:6" x14ac:dyDescent="0.35">
      <c r="A694" s="22">
        <v>45490</v>
      </c>
      <c r="B694">
        <v>328.43</v>
      </c>
      <c r="C694">
        <v>328.43</v>
      </c>
      <c r="D694">
        <v>328.43</v>
      </c>
      <c r="E694">
        <v>328.43</v>
      </c>
      <c r="F694" s="23">
        <f t="shared" si="10"/>
        <v>0</v>
      </c>
    </row>
    <row r="695" spans="1:6" x14ac:dyDescent="0.35">
      <c r="A695" s="22">
        <v>45491</v>
      </c>
      <c r="B695">
        <v>328.91</v>
      </c>
      <c r="C695">
        <v>328.91</v>
      </c>
      <c r="D695">
        <v>328.91</v>
      </c>
      <c r="E695">
        <v>328.91</v>
      </c>
      <c r="F695" s="23">
        <f t="shared" si="10"/>
        <v>1.4614986450690198E-3</v>
      </c>
    </row>
    <row r="696" spans="1:6" x14ac:dyDescent="0.35">
      <c r="A696" s="22">
        <v>45492</v>
      </c>
      <c r="B696">
        <v>324.08999999999997</v>
      </c>
      <c r="C696">
        <v>324.08999999999997</v>
      </c>
      <c r="D696">
        <v>324.08999999999997</v>
      </c>
      <c r="E696">
        <v>324.08999999999997</v>
      </c>
      <c r="F696" s="23">
        <f t="shared" si="10"/>
        <v>-1.4654464747195433E-2</v>
      </c>
    </row>
    <row r="697" spans="1:6" x14ac:dyDescent="0.35">
      <c r="A697" s="22">
        <v>45495</v>
      </c>
      <c r="B697">
        <v>325.73</v>
      </c>
      <c r="C697">
        <v>325.73</v>
      </c>
      <c r="D697">
        <v>325.73</v>
      </c>
      <c r="E697">
        <v>325.73</v>
      </c>
      <c r="F697" s="23">
        <f t="shared" si="10"/>
        <v>5.0603227498535698E-3</v>
      </c>
    </row>
    <row r="698" spans="1:6" x14ac:dyDescent="0.35">
      <c r="A698" s="22">
        <v>45496</v>
      </c>
      <c r="B698">
        <v>325.27999999999997</v>
      </c>
      <c r="C698">
        <v>325.27999999999997</v>
      </c>
      <c r="D698">
        <v>325.27999999999997</v>
      </c>
      <c r="E698">
        <v>325.27999999999997</v>
      </c>
      <c r="F698" s="23">
        <f t="shared" si="10"/>
        <v>-1.381512295459569E-3</v>
      </c>
    </row>
    <row r="699" spans="1:6" x14ac:dyDescent="0.35">
      <c r="A699" s="22">
        <v>45497</v>
      </c>
      <c r="B699">
        <v>325.61</v>
      </c>
      <c r="C699">
        <v>325.61</v>
      </c>
      <c r="D699">
        <v>325.61</v>
      </c>
      <c r="E699">
        <v>325.61</v>
      </c>
      <c r="F699" s="23">
        <f t="shared" si="10"/>
        <v>1.0145105755043069E-3</v>
      </c>
    </row>
    <row r="700" spans="1:6" x14ac:dyDescent="0.35">
      <c r="A700" s="22">
        <v>45498</v>
      </c>
      <c r="B700">
        <v>325.89999999999998</v>
      </c>
      <c r="C700">
        <v>325.89999999999998</v>
      </c>
      <c r="D700">
        <v>325.89999999999998</v>
      </c>
      <c r="E700">
        <v>325.89999999999998</v>
      </c>
      <c r="F700" s="23">
        <f t="shared" si="10"/>
        <v>8.9063603697663951E-4</v>
      </c>
    </row>
    <row r="701" spans="1:6" x14ac:dyDescent="0.35">
      <c r="A701" s="22">
        <v>45499</v>
      </c>
      <c r="B701">
        <v>331.27</v>
      </c>
      <c r="C701">
        <v>331.27</v>
      </c>
      <c r="D701">
        <v>331.27</v>
      </c>
      <c r="E701">
        <v>331.27</v>
      </c>
      <c r="F701" s="23">
        <f t="shared" si="10"/>
        <v>1.6477447069653282E-2</v>
      </c>
    </row>
    <row r="702" spans="1:6" x14ac:dyDescent="0.35">
      <c r="A702" s="22">
        <v>45502</v>
      </c>
      <c r="B702">
        <v>332.2</v>
      </c>
      <c r="C702">
        <v>332.2</v>
      </c>
      <c r="D702">
        <v>332.2</v>
      </c>
      <c r="E702">
        <v>332.2</v>
      </c>
      <c r="F702" s="23">
        <f t="shared" si="10"/>
        <v>2.8073776677634767E-3</v>
      </c>
    </row>
    <row r="703" spans="1:6" x14ac:dyDescent="0.35">
      <c r="A703" s="22">
        <v>45503</v>
      </c>
      <c r="B703">
        <v>332.77</v>
      </c>
      <c r="C703">
        <v>332.77</v>
      </c>
      <c r="D703">
        <v>332.77</v>
      </c>
      <c r="E703">
        <v>332.77</v>
      </c>
      <c r="F703" s="23">
        <f t="shared" si="10"/>
        <v>1.7158338350391127E-3</v>
      </c>
    </row>
    <row r="704" spans="1:6" x14ac:dyDescent="0.35">
      <c r="A704" s="22">
        <v>45504</v>
      </c>
      <c r="B704">
        <v>333.83</v>
      </c>
      <c r="C704">
        <v>333.83</v>
      </c>
      <c r="D704">
        <v>333.83</v>
      </c>
      <c r="E704">
        <v>333.83</v>
      </c>
      <c r="F704" s="23">
        <f t="shared" si="10"/>
        <v>3.185383297773244E-3</v>
      </c>
    </row>
    <row r="705" spans="1:6" x14ac:dyDescent="0.35">
      <c r="A705" s="22">
        <v>45505</v>
      </c>
      <c r="B705">
        <v>333.51</v>
      </c>
      <c r="C705">
        <v>333.51</v>
      </c>
      <c r="D705">
        <v>333.51</v>
      </c>
      <c r="E705">
        <v>333.51</v>
      </c>
      <c r="F705" s="23">
        <f t="shared" si="10"/>
        <v>-9.5857172812507322E-4</v>
      </c>
    </row>
    <row r="706" spans="1:6" x14ac:dyDescent="0.35">
      <c r="A706" s="22">
        <v>45506</v>
      </c>
      <c r="B706">
        <v>329.8</v>
      </c>
      <c r="C706">
        <v>329.8</v>
      </c>
      <c r="D706">
        <v>329.8</v>
      </c>
      <c r="E706">
        <v>329.8</v>
      </c>
      <c r="F706" s="23">
        <f t="shared" si="10"/>
        <v>-1.1124104224760815E-2</v>
      </c>
    </row>
    <row r="707" spans="1:6" x14ac:dyDescent="0.35">
      <c r="A707" s="22">
        <v>45509</v>
      </c>
      <c r="B707">
        <v>320.23</v>
      </c>
      <c r="C707">
        <v>320.23</v>
      </c>
      <c r="D707">
        <v>320.23</v>
      </c>
      <c r="E707">
        <v>320.23</v>
      </c>
      <c r="F707" s="23">
        <f t="shared" ref="F707:F770" si="11">(B707-B706)/B706</f>
        <v>-2.901758641600968E-2</v>
      </c>
    </row>
    <row r="708" spans="1:6" x14ac:dyDescent="0.35">
      <c r="A708" s="22">
        <v>45510</v>
      </c>
      <c r="B708">
        <v>319</v>
      </c>
      <c r="C708">
        <v>319</v>
      </c>
      <c r="D708">
        <v>319</v>
      </c>
      <c r="E708">
        <v>319</v>
      </c>
      <c r="F708" s="23">
        <f t="shared" si="11"/>
        <v>-3.840989288948625E-3</v>
      </c>
    </row>
    <row r="709" spans="1:6" x14ac:dyDescent="0.35">
      <c r="A709" s="22">
        <v>45511</v>
      </c>
      <c r="B709">
        <v>324.79000000000002</v>
      </c>
      <c r="C709">
        <v>324.79000000000002</v>
      </c>
      <c r="D709">
        <v>324.79000000000002</v>
      </c>
      <c r="E709">
        <v>324.79000000000002</v>
      </c>
      <c r="F709" s="23">
        <f t="shared" si="11"/>
        <v>1.8150470219435801E-2</v>
      </c>
    </row>
    <row r="710" spans="1:6" x14ac:dyDescent="0.35">
      <c r="A710" s="22">
        <v>45512</v>
      </c>
      <c r="B710">
        <v>323.27999999999997</v>
      </c>
      <c r="C710">
        <v>323.27999999999997</v>
      </c>
      <c r="D710">
        <v>323.27999999999997</v>
      </c>
      <c r="E710">
        <v>323.27999999999997</v>
      </c>
      <c r="F710" s="23">
        <f t="shared" si="11"/>
        <v>-4.6491579174237126E-3</v>
      </c>
    </row>
    <row r="711" spans="1:6" x14ac:dyDescent="0.35">
      <c r="A711" s="22">
        <v>45513</v>
      </c>
      <c r="B711">
        <v>326.68</v>
      </c>
      <c r="C711">
        <v>326.68</v>
      </c>
      <c r="D711">
        <v>326.68</v>
      </c>
      <c r="E711">
        <v>326.68</v>
      </c>
      <c r="F711" s="23">
        <f t="shared" si="11"/>
        <v>1.051719871318991E-2</v>
      </c>
    </row>
    <row r="712" spans="1:6" x14ac:dyDescent="0.35">
      <c r="A712" s="22">
        <v>45516</v>
      </c>
      <c r="B712">
        <v>326.22000000000003</v>
      </c>
      <c r="C712">
        <v>326.22000000000003</v>
      </c>
      <c r="D712">
        <v>326.22000000000003</v>
      </c>
      <c r="E712">
        <v>326.22000000000003</v>
      </c>
      <c r="F712" s="23">
        <f t="shared" si="11"/>
        <v>-1.4081057916002801E-3</v>
      </c>
    </row>
    <row r="713" spans="1:6" x14ac:dyDescent="0.35">
      <c r="A713" s="22">
        <v>45517</v>
      </c>
      <c r="B713">
        <v>323.10000000000002</v>
      </c>
      <c r="C713">
        <v>323.10000000000002</v>
      </c>
      <c r="D713">
        <v>323.10000000000002</v>
      </c>
      <c r="E713">
        <v>323.10000000000002</v>
      </c>
      <c r="F713" s="23">
        <f t="shared" si="11"/>
        <v>-9.5640978480779973E-3</v>
      </c>
    </row>
    <row r="714" spans="1:6" x14ac:dyDescent="0.35">
      <c r="A714" s="22">
        <v>45518</v>
      </c>
      <c r="B714">
        <v>324.01</v>
      </c>
      <c r="C714">
        <v>324.01</v>
      </c>
      <c r="D714">
        <v>324.01</v>
      </c>
      <c r="E714">
        <v>324.01</v>
      </c>
      <c r="F714" s="23">
        <f t="shared" si="11"/>
        <v>2.8164654905600993E-3</v>
      </c>
    </row>
    <row r="715" spans="1:6" x14ac:dyDescent="0.35">
      <c r="A715" s="22">
        <v>45519</v>
      </c>
      <c r="B715">
        <v>324.01</v>
      </c>
      <c r="C715">
        <v>324.01</v>
      </c>
      <c r="D715">
        <v>324.01</v>
      </c>
      <c r="E715">
        <v>324.01</v>
      </c>
      <c r="F715" s="23">
        <f t="shared" si="11"/>
        <v>0</v>
      </c>
    </row>
    <row r="716" spans="1:6" x14ac:dyDescent="0.35">
      <c r="A716" s="22">
        <v>45520</v>
      </c>
      <c r="B716">
        <v>329.55</v>
      </c>
      <c r="C716">
        <v>329.55</v>
      </c>
      <c r="D716">
        <v>329.55</v>
      </c>
      <c r="E716">
        <v>329.55</v>
      </c>
      <c r="F716" s="23">
        <f t="shared" si="11"/>
        <v>1.7098237708712757E-2</v>
      </c>
    </row>
    <row r="717" spans="1:6" x14ac:dyDescent="0.35">
      <c r="A717" s="22">
        <v>45523</v>
      </c>
      <c r="B717">
        <v>329.97</v>
      </c>
      <c r="C717">
        <v>329.97</v>
      </c>
      <c r="D717">
        <v>329.97</v>
      </c>
      <c r="E717">
        <v>329.97</v>
      </c>
      <c r="F717" s="23">
        <f t="shared" si="11"/>
        <v>1.2744651797906717E-3</v>
      </c>
    </row>
    <row r="718" spans="1:6" x14ac:dyDescent="0.35">
      <c r="A718" s="22">
        <v>45524</v>
      </c>
      <c r="B718">
        <v>331.99</v>
      </c>
      <c r="C718">
        <v>331.99</v>
      </c>
      <c r="D718">
        <v>331.99</v>
      </c>
      <c r="E718">
        <v>331.99</v>
      </c>
      <c r="F718" s="23">
        <f t="shared" si="11"/>
        <v>6.1217686456343963E-3</v>
      </c>
    </row>
    <row r="719" spans="1:6" x14ac:dyDescent="0.35">
      <c r="A719" s="22">
        <v>45525</v>
      </c>
      <c r="B719">
        <v>332.76</v>
      </c>
      <c r="C719">
        <v>332.76</v>
      </c>
      <c r="D719">
        <v>332.76</v>
      </c>
      <c r="E719">
        <v>332.76</v>
      </c>
      <c r="F719" s="23">
        <f t="shared" si="11"/>
        <v>2.3193469682821224E-3</v>
      </c>
    </row>
    <row r="720" spans="1:6" x14ac:dyDescent="0.35">
      <c r="A720" s="22">
        <v>45526</v>
      </c>
      <c r="B720">
        <v>333.74</v>
      </c>
      <c r="C720">
        <v>333.74</v>
      </c>
      <c r="D720">
        <v>333.74</v>
      </c>
      <c r="E720">
        <v>333.74</v>
      </c>
      <c r="F720" s="23">
        <f t="shared" si="11"/>
        <v>2.9450655126818676E-3</v>
      </c>
    </row>
    <row r="721" spans="1:6" x14ac:dyDescent="0.35">
      <c r="A721" s="22">
        <v>45527</v>
      </c>
      <c r="B721">
        <v>334.07</v>
      </c>
      <c r="C721">
        <v>334.07</v>
      </c>
      <c r="D721">
        <v>334.07</v>
      </c>
      <c r="E721">
        <v>334.07</v>
      </c>
      <c r="F721" s="23">
        <f t="shared" si="11"/>
        <v>9.8879367172045331E-4</v>
      </c>
    </row>
    <row r="722" spans="1:6" x14ac:dyDescent="0.35">
      <c r="A722" s="22">
        <v>45530</v>
      </c>
      <c r="B722">
        <v>336.3</v>
      </c>
      <c r="C722">
        <v>336.3</v>
      </c>
      <c r="D722">
        <v>336.3</v>
      </c>
      <c r="E722">
        <v>336.3</v>
      </c>
      <c r="F722" s="23">
        <f t="shared" si="11"/>
        <v>6.6752477025773587E-3</v>
      </c>
    </row>
    <row r="723" spans="1:6" x14ac:dyDescent="0.35">
      <c r="A723" s="22">
        <v>45531</v>
      </c>
      <c r="B723">
        <v>337.23</v>
      </c>
      <c r="C723">
        <v>337.23</v>
      </c>
      <c r="D723">
        <v>337.23</v>
      </c>
      <c r="E723">
        <v>337.23</v>
      </c>
      <c r="F723" s="23">
        <f t="shared" si="11"/>
        <v>2.7653880463871746E-3</v>
      </c>
    </row>
    <row r="724" spans="1:6" x14ac:dyDescent="0.35">
      <c r="A724" s="22">
        <v>45532</v>
      </c>
      <c r="B724">
        <v>337.63</v>
      </c>
      <c r="C724">
        <v>337.63</v>
      </c>
      <c r="D724">
        <v>337.63</v>
      </c>
      <c r="E724">
        <v>337.63</v>
      </c>
      <c r="F724" s="23">
        <f t="shared" si="11"/>
        <v>1.186134092459085E-3</v>
      </c>
    </row>
    <row r="725" spans="1:6" x14ac:dyDescent="0.35">
      <c r="A725" s="22">
        <v>45533</v>
      </c>
      <c r="B725">
        <v>338.17</v>
      </c>
      <c r="C725">
        <v>338.17</v>
      </c>
      <c r="D725">
        <v>338.17</v>
      </c>
      <c r="E725">
        <v>338.17</v>
      </c>
      <c r="F725" s="23">
        <f t="shared" si="11"/>
        <v>1.5993839410005642E-3</v>
      </c>
    </row>
    <row r="726" spans="1:6" x14ac:dyDescent="0.35">
      <c r="A726" s="22">
        <v>45534</v>
      </c>
      <c r="B726">
        <v>339.87</v>
      </c>
      <c r="C726">
        <v>339.87</v>
      </c>
      <c r="D726">
        <v>339.87</v>
      </c>
      <c r="E726">
        <v>339.87</v>
      </c>
      <c r="F726" s="23">
        <f t="shared" si="11"/>
        <v>5.0270573971670715E-3</v>
      </c>
    </row>
    <row r="727" spans="1:6" x14ac:dyDescent="0.35">
      <c r="A727" s="22">
        <v>45537</v>
      </c>
      <c r="B727">
        <v>340.18</v>
      </c>
      <c r="C727">
        <v>340.18</v>
      </c>
      <c r="D727">
        <v>340.18</v>
      </c>
      <c r="E727">
        <v>340.18</v>
      </c>
      <c r="F727" s="23">
        <f t="shared" si="11"/>
        <v>9.1211345514462076E-4</v>
      </c>
    </row>
    <row r="728" spans="1:6" x14ac:dyDescent="0.35">
      <c r="A728" s="22">
        <v>45538</v>
      </c>
      <c r="B728">
        <v>340.65</v>
      </c>
      <c r="C728">
        <v>340.65</v>
      </c>
      <c r="D728">
        <v>340.65</v>
      </c>
      <c r="E728">
        <v>340.65</v>
      </c>
      <c r="F728" s="23">
        <f t="shared" si="11"/>
        <v>1.3816214945028232E-3</v>
      </c>
    </row>
    <row r="729" spans="1:6" x14ac:dyDescent="0.35">
      <c r="A729" s="22">
        <v>45539</v>
      </c>
      <c r="B729">
        <v>340.03</v>
      </c>
      <c r="C729">
        <v>340.03</v>
      </c>
      <c r="D729">
        <v>340.03</v>
      </c>
      <c r="E729">
        <v>340.03</v>
      </c>
      <c r="F729" s="23">
        <f t="shared" si="11"/>
        <v>-1.8200499045941717E-3</v>
      </c>
    </row>
    <row r="730" spans="1:6" x14ac:dyDescent="0.35">
      <c r="A730" s="22">
        <v>45540</v>
      </c>
      <c r="B730">
        <v>339.96</v>
      </c>
      <c r="C730">
        <v>339.96</v>
      </c>
      <c r="D730">
        <v>339.96</v>
      </c>
      <c r="E730">
        <v>339.96</v>
      </c>
      <c r="F730" s="23">
        <f t="shared" si="11"/>
        <v>-2.0586418845393989E-4</v>
      </c>
    </row>
    <row r="731" spans="1:6" x14ac:dyDescent="0.35">
      <c r="A731" s="22">
        <v>45541</v>
      </c>
      <c r="B731">
        <v>336.13</v>
      </c>
      <c r="C731">
        <v>336.13</v>
      </c>
      <c r="D731">
        <v>336.13</v>
      </c>
      <c r="E731">
        <v>336.13</v>
      </c>
      <c r="F731" s="23">
        <f t="shared" si="11"/>
        <v>-1.1266031297799696E-2</v>
      </c>
    </row>
    <row r="732" spans="1:6" x14ac:dyDescent="0.35">
      <c r="A732" s="22">
        <v>45544</v>
      </c>
      <c r="B732">
        <v>336.36</v>
      </c>
      <c r="C732">
        <v>336.36</v>
      </c>
      <c r="D732">
        <v>336.36</v>
      </c>
      <c r="E732">
        <v>336.36</v>
      </c>
      <c r="F732" s="23">
        <f t="shared" si="11"/>
        <v>6.8425906643268433E-4</v>
      </c>
    </row>
    <row r="733" spans="1:6" x14ac:dyDescent="0.35">
      <c r="A733" s="22">
        <v>45545</v>
      </c>
      <c r="B733">
        <v>337.57</v>
      </c>
      <c r="C733">
        <v>337.57</v>
      </c>
      <c r="D733">
        <v>337.57</v>
      </c>
      <c r="E733">
        <v>337.57</v>
      </c>
      <c r="F733" s="23">
        <f t="shared" si="11"/>
        <v>3.5973361874181813E-3</v>
      </c>
    </row>
    <row r="734" spans="1:6" x14ac:dyDescent="0.35">
      <c r="A734" s="22">
        <v>45546</v>
      </c>
      <c r="B734">
        <v>336.92</v>
      </c>
      <c r="C734">
        <v>336.92</v>
      </c>
      <c r="D734">
        <v>336.92</v>
      </c>
      <c r="E734">
        <v>336.92</v>
      </c>
      <c r="F734" s="23">
        <f t="shared" si="11"/>
        <v>-1.9255265574546828E-3</v>
      </c>
    </row>
    <row r="735" spans="1:6" x14ac:dyDescent="0.35">
      <c r="A735" s="22">
        <v>45547</v>
      </c>
      <c r="B735">
        <v>342.5</v>
      </c>
      <c r="C735">
        <v>342.5</v>
      </c>
      <c r="D735">
        <v>342.5</v>
      </c>
      <c r="E735">
        <v>342.5</v>
      </c>
      <c r="F735" s="23">
        <f t="shared" si="11"/>
        <v>1.6561795084886571E-2</v>
      </c>
    </row>
    <row r="736" spans="1:6" x14ac:dyDescent="0.35">
      <c r="A736" s="22">
        <v>45548</v>
      </c>
      <c r="B736">
        <v>342.21</v>
      </c>
      <c r="C736">
        <v>342.21</v>
      </c>
      <c r="D736">
        <v>342.21</v>
      </c>
      <c r="E736">
        <v>342.21</v>
      </c>
      <c r="F736" s="23">
        <f t="shared" si="11"/>
        <v>-8.4671532846721301E-4</v>
      </c>
    </row>
    <row r="737" spans="1:6" x14ac:dyDescent="0.35">
      <c r="A737" s="22">
        <v>45551</v>
      </c>
      <c r="B737">
        <v>342.69</v>
      </c>
      <c r="C737">
        <v>342.69</v>
      </c>
      <c r="D737">
        <v>342.69</v>
      </c>
      <c r="E737">
        <v>342.69</v>
      </c>
      <c r="F737" s="23">
        <f t="shared" si="11"/>
        <v>1.4026474971509256E-3</v>
      </c>
    </row>
    <row r="738" spans="1:6" x14ac:dyDescent="0.35">
      <c r="A738" s="22">
        <v>45552</v>
      </c>
      <c r="B738">
        <v>343.28</v>
      </c>
      <c r="C738">
        <v>343.28</v>
      </c>
      <c r="D738">
        <v>343.28</v>
      </c>
      <c r="E738">
        <v>343.28</v>
      </c>
      <c r="F738" s="23">
        <f t="shared" si="11"/>
        <v>1.7216726487495257E-3</v>
      </c>
    </row>
    <row r="739" spans="1:6" x14ac:dyDescent="0.35">
      <c r="A739" s="22">
        <v>45553</v>
      </c>
      <c r="B739">
        <v>342.52</v>
      </c>
      <c r="C739">
        <v>342.52</v>
      </c>
      <c r="D739">
        <v>342.52</v>
      </c>
      <c r="E739">
        <v>342.52</v>
      </c>
      <c r="F739" s="23">
        <f t="shared" si="11"/>
        <v>-2.2139361454206214E-3</v>
      </c>
    </row>
    <row r="740" spans="1:6" x14ac:dyDescent="0.35">
      <c r="A740" s="22">
        <v>45554</v>
      </c>
      <c r="B740">
        <v>343.43</v>
      </c>
      <c r="C740">
        <v>343.43</v>
      </c>
      <c r="D740">
        <v>343.43</v>
      </c>
      <c r="E740">
        <v>343.43</v>
      </c>
      <c r="F740" s="23">
        <f t="shared" si="11"/>
        <v>2.6567791661801501E-3</v>
      </c>
    </row>
    <row r="741" spans="1:6" x14ac:dyDescent="0.35">
      <c r="A741" s="22">
        <v>45555</v>
      </c>
      <c r="B741">
        <v>348.54</v>
      </c>
      <c r="C741">
        <v>348.54</v>
      </c>
      <c r="D741">
        <v>348.54</v>
      </c>
      <c r="E741">
        <v>348.54</v>
      </c>
      <c r="F741" s="23">
        <f t="shared" si="11"/>
        <v>1.4879305826514904E-2</v>
      </c>
    </row>
    <row r="742" spans="1:6" x14ac:dyDescent="0.35">
      <c r="A742" s="22">
        <v>45558</v>
      </c>
      <c r="B742">
        <v>351.43</v>
      </c>
      <c r="C742">
        <v>351.43</v>
      </c>
      <c r="D742">
        <v>351.43</v>
      </c>
      <c r="E742">
        <v>351.43</v>
      </c>
      <c r="F742" s="23">
        <f t="shared" si="11"/>
        <v>8.2917312216674883E-3</v>
      </c>
    </row>
    <row r="743" spans="1:6" x14ac:dyDescent="0.35">
      <c r="A743" s="22">
        <v>45559</v>
      </c>
      <c r="B743">
        <v>351.18</v>
      </c>
      <c r="C743">
        <v>351.18</v>
      </c>
      <c r="D743">
        <v>351.18</v>
      </c>
      <c r="E743">
        <v>351.18</v>
      </c>
      <c r="F743" s="23">
        <f t="shared" si="11"/>
        <v>-7.1137922203568275E-4</v>
      </c>
    </row>
    <row r="744" spans="1:6" x14ac:dyDescent="0.35">
      <c r="A744" s="22">
        <v>45560</v>
      </c>
      <c r="B744">
        <v>351.06</v>
      </c>
      <c r="C744">
        <v>351.06</v>
      </c>
      <c r="D744">
        <v>351.06</v>
      </c>
      <c r="E744">
        <v>351.06</v>
      </c>
      <c r="F744" s="23">
        <f t="shared" si="11"/>
        <v>-3.4170510849138491E-4</v>
      </c>
    </row>
    <row r="745" spans="1:6" x14ac:dyDescent="0.35">
      <c r="A745" s="22">
        <v>45561</v>
      </c>
      <c r="B745">
        <v>352.91</v>
      </c>
      <c r="C745">
        <v>352.91</v>
      </c>
      <c r="D745">
        <v>352.91</v>
      </c>
      <c r="E745">
        <v>352.91</v>
      </c>
      <c r="F745" s="23">
        <f t="shared" si="11"/>
        <v>5.2697544579274848E-3</v>
      </c>
    </row>
    <row r="746" spans="1:6" x14ac:dyDescent="0.35">
      <c r="A746" s="22">
        <v>45562</v>
      </c>
      <c r="B746">
        <v>352.31</v>
      </c>
      <c r="C746">
        <v>352.31</v>
      </c>
      <c r="D746">
        <v>352.31</v>
      </c>
      <c r="E746">
        <v>352.31</v>
      </c>
      <c r="F746" s="23">
        <f t="shared" si="11"/>
        <v>-1.7001501799326251E-3</v>
      </c>
    </row>
    <row r="747" spans="1:6" x14ac:dyDescent="0.35">
      <c r="A747" s="22">
        <v>45565</v>
      </c>
      <c r="B747">
        <v>347.98</v>
      </c>
      <c r="C747">
        <v>347.98</v>
      </c>
      <c r="D747">
        <v>347.98</v>
      </c>
      <c r="E747">
        <v>347.98</v>
      </c>
      <c r="F747" s="23">
        <f t="shared" si="11"/>
        <v>-1.2290312508869984E-2</v>
      </c>
    </row>
    <row r="748" spans="1:6" x14ac:dyDescent="0.35">
      <c r="A748" s="22">
        <v>45566</v>
      </c>
      <c r="B748">
        <v>348.3</v>
      </c>
      <c r="C748">
        <v>348.3</v>
      </c>
      <c r="D748">
        <v>348.3</v>
      </c>
      <c r="E748">
        <v>348.3</v>
      </c>
      <c r="F748" s="23">
        <f t="shared" si="11"/>
        <v>9.1959308006205292E-4</v>
      </c>
    </row>
    <row r="749" spans="1:6" x14ac:dyDescent="0.35">
      <c r="A749" s="22">
        <v>45567</v>
      </c>
      <c r="B749">
        <v>348.3</v>
      </c>
      <c r="C749">
        <v>348.3</v>
      </c>
      <c r="D749">
        <v>348.3</v>
      </c>
      <c r="E749">
        <v>348.3</v>
      </c>
      <c r="F749" s="23">
        <f t="shared" si="11"/>
        <v>0</v>
      </c>
    </row>
    <row r="750" spans="1:6" x14ac:dyDescent="0.35">
      <c r="A750" s="22">
        <v>45568</v>
      </c>
      <c r="B750">
        <v>340.95</v>
      </c>
      <c r="C750">
        <v>340.95</v>
      </c>
      <c r="D750">
        <v>340.95</v>
      </c>
      <c r="E750">
        <v>340.95</v>
      </c>
      <c r="F750" s="23">
        <f t="shared" si="11"/>
        <v>-2.1102497846683957E-2</v>
      </c>
    </row>
    <row r="751" spans="1:6" x14ac:dyDescent="0.35">
      <c r="A751" s="22">
        <v>45569</v>
      </c>
      <c r="B751">
        <v>337.93</v>
      </c>
      <c r="C751">
        <v>337.93</v>
      </c>
      <c r="D751">
        <v>337.93</v>
      </c>
      <c r="E751">
        <v>337.93</v>
      </c>
      <c r="F751" s="23">
        <f t="shared" si="11"/>
        <v>-8.8576037542161083E-3</v>
      </c>
    </row>
    <row r="752" spans="1:6" x14ac:dyDescent="0.35">
      <c r="A752" s="22">
        <v>45572</v>
      </c>
      <c r="B752">
        <v>333.19</v>
      </c>
      <c r="C752">
        <v>333.19</v>
      </c>
      <c r="D752">
        <v>333.19</v>
      </c>
      <c r="E752">
        <v>333.19</v>
      </c>
      <c r="F752" s="23">
        <f t="shared" si="11"/>
        <v>-1.4026573550735387E-2</v>
      </c>
    </row>
    <row r="753" spans="1:6" x14ac:dyDescent="0.35">
      <c r="A753" s="22">
        <v>45573</v>
      </c>
      <c r="B753">
        <v>338.02</v>
      </c>
      <c r="C753">
        <v>338.02</v>
      </c>
      <c r="D753">
        <v>338.02</v>
      </c>
      <c r="E753">
        <v>338.02</v>
      </c>
      <c r="F753" s="23">
        <f t="shared" si="11"/>
        <v>1.4496233380353505E-2</v>
      </c>
    </row>
    <row r="754" spans="1:6" x14ac:dyDescent="0.35">
      <c r="A754" s="22">
        <v>45574</v>
      </c>
      <c r="B754">
        <v>339.78</v>
      </c>
      <c r="C754">
        <v>339.78</v>
      </c>
      <c r="D754">
        <v>339.78</v>
      </c>
      <c r="E754">
        <v>339.78</v>
      </c>
      <c r="F754" s="23">
        <f t="shared" si="11"/>
        <v>5.206792497485329E-3</v>
      </c>
    </row>
    <row r="755" spans="1:6" x14ac:dyDescent="0.35">
      <c r="A755" s="22">
        <v>45575</v>
      </c>
      <c r="B755">
        <v>339.59</v>
      </c>
      <c r="C755">
        <v>339.59</v>
      </c>
      <c r="D755">
        <v>339.59</v>
      </c>
      <c r="E755">
        <v>339.59</v>
      </c>
      <c r="F755" s="23">
        <f t="shared" si="11"/>
        <v>-5.5918535522984794E-4</v>
      </c>
    </row>
    <row r="756" spans="1:6" x14ac:dyDescent="0.35">
      <c r="A756" s="22">
        <v>45576</v>
      </c>
      <c r="B756">
        <v>339.27</v>
      </c>
      <c r="C756">
        <v>339.27</v>
      </c>
      <c r="D756">
        <v>339.27</v>
      </c>
      <c r="E756">
        <v>339.27</v>
      </c>
      <c r="F756" s="23">
        <f t="shared" si="11"/>
        <v>-9.4231278895136252E-4</v>
      </c>
    </row>
    <row r="757" spans="1:6" x14ac:dyDescent="0.35">
      <c r="A757" s="22">
        <v>45579</v>
      </c>
      <c r="B757">
        <v>340.98</v>
      </c>
      <c r="C757">
        <v>340.98</v>
      </c>
      <c r="D757">
        <v>340.98</v>
      </c>
      <c r="E757">
        <v>340.98</v>
      </c>
      <c r="F757" s="23">
        <f t="shared" si="11"/>
        <v>5.0402334423911236E-3</v>
      </c>
    </row>
    <row r="758" spans="1:6" x14ac:dyDescent="0.35">
      <c r="A758" s="22">
        <v>45580</v>
      </c>
      <c r="B758">
        <v>341.45</v>
      </c>
      <c r="C758">
        <v>341.45</v>
      </c>
      <c r="D758">
        <v>341.45</v>
      </c>
      <c r="E758">
        <v>341.45</v>
      </c>
      <c r="F758" s="23">
        <f t="shared" si="11"/>
        <v>1.3783799636341439E-3</v>
      </c>
    </row>
    <row r="759" spans="1:6" x14ac:dyDescent="0.35">
      <c r="A759" s="22">
        <v>45581</v>
      </c>
      <c r="B759">
        <v>340.42</v>
      </c>
      <c r="C759">
        <v>340.42</v>
      </c>
      <c r="D759">
        <v>340.42</v>
      </c>
      <c r="E759">
        <v>340.42</v>
      </c>
      <c r="F759" s="23">
        <f t="shared" si="11"/>
        <v>-3.0165470786351523E-3</v>
      </c>
    </row>
    <row r="760" spans="1:6" x14ac:dyDescent="0.35">
      <c r="A760" s="22">
        <v>45582</v>
      </c>
      <c r="B760">
        <v>335.98</v>
      </c>
      <c r="C760">
        <v>335.98</v>
      </c>
      <c r="D760">
        <v>335.98</v>
      </c>
      <c r="E760">
        <v>335.98</v>
      </c>
      <c r="F760" s="23">
        <f t="shared" si="11"/>
        <v>-1.3042711944069084E-2</v>
      </c>
    </row>
    <row r="761" spans="1:6" x14ac:dyDescent="0.35">
      <c r="A761" s="22">
        <v>45583</v>
      </c>
      <c r="B761">
        <v>336.24</v>
      </c>
      <c r="C761">
        <v>336.24</v>
      </c>
      <c r="D761">
        <v>336.24</v>
      </c>
      <c r="E761">
        <v>336.24</v>
      </c>
      <c r="F761" s="23">
        <f t="shared" si="11"/>
        <v>7.7385558664203491E-4</v>
      </c>
    </row>
    <row r="762" spans="1:6" x14ac:dyDescent="0.35">
      <c r="A762" s="22">
        <v>45586</v>
      </c>
      <c r="B762">
        <v>334.42</v>
      </c>
      <c r="C762">
        <v>334.42</v>
      </c>
      <c r="D762">
        <v>334.42</v>
      </c>
      <c r="E762">
        <v>334.42</v>
      </c>
      <c r="F762" s="23">
        <f t="shared" si="11"/>
        <v>-5.4128003806804461E-3</v>
      </c>
    </row>
    <row r="763" spans="1:6" x14ac:dyDescent="0.35">
      <c r="A763" s="22">
        <v>45587</v>
      </c>
      <c r="B763">
        <v>329.7</v>
      </c>
      <c r="C763">
        <v>329.7</v>
      </c>
      <c r="D763">
        <v>329.7</v>
      </c>
      <c r="E763">
        <v>329.7</v>
      </c>
      <c r="F763" s="23">
        <f t="shared" si="11"/>
        <v>-1.4113988397823178E-2</v>
      </c>
    </row>
    <row r="764" spans="1:6" x14ac:dyDescent="0.35">
      <c r="A764" s="22">
        <v>45588</v>
      </c>
      <c r="B764">
        <v>329.84</v>
      </c>
      <c r="C764">
        <v>329.84</v>
      </c>
      <c r="D764">
        <v>329.84</v>
      </c>
      <c r="E764">
        <v>329.84</v>
      </c>
      <c r="F764" s="23">
        <f t="shared" si="11"/>
        <v>4.2462845010611576E-4</v>
      </c>
    </row>
    <row r="765" spans="1:6" x14ac:dyDescent="0.35">
      <c r="A765" s="22">
        <v>45589</v>
      </c>
      <c r="B765">
        <v>328.98</v>
      </c>
      <c r="C765">
        <v>328.98</v>
      </c>
      <c r="D765">
        <v>328.98</v>
      </c>
      <c r="E765">
        <v>328.98</v>
      </c>
      <c r="F765" s="23">
        <f t="shared" si="11"/>
        <v>-2.6073247635215765E-3</v>
      </c>
    </row>
    <row r="766" spans="1:6" x14ac:dyDescent="0.35">
      <c r="A766" s="22">
        <v>45590</v>
      </c>
      <c r="B766">
        <v>326.10000000000002</v>
      </c>
      <c r="C766">
        <v>326.10000000000002</v>
      </c>
      <c r="D766">
        <v>326.10000000000002</v>
      </c>
      <c r="E766">
        <v>326.10000000000002</v>
      </c>
      <c r="F766" s="23">
        <f t="shared" si="11"/>
        <v>-8.754331570308211E-3</v>
      </c>
    </row>
    <row r="767" spans="1:6" x14ac:dyDescent="0.35">
      <c r="A767" s="22">
        <v>45593</v>
      </c>
      <c r="B767">
        <v>326.38</v>
      </c>
      <c r="C767">
        <v>326.38</v>
      </c>
      <c r="D767">
        <v>326.38</v>
      </c>
      <c r="E767">
        <v>326.38</v>
      </c>
      <c r="F767" s="23">
        <f t="shared" si="11"/>
        <v>8.5863232137372799E-4</v>
      </c>
    </row>
    <row r="768" spans="1:6" x14ac:dyDescent="0.35">
      <c r="A768" s="22">
        <v>45594</v>
      </c>
      <c r="B768">
        <v>329.92</v>
      </c>
      <c r="C768">
        <v>329.92</v>
      </c>
      <c r="D768">
        <v>329.92</v>
      </c>
      <c r="E768">
        <v>329.92</v>
      </c>
      <c r="F768" s="23">
        <f t="shared" si="11"/>
        <v>1.08462528341198E-2</v>
      </c>
    </row>
    <row r="769" spans="1:6" x14ac:dyDescent="0.35">
      <c r="A769" s="22">
        <v>45595</v>
      </c>
      <c r="B769">
        <v>328.47</v>
      </c>
      <c r="C769">
        <v>328.47</v>
      </c>
      <c r="D769">
        <v>328.47</v>
      </c>
      <c r="E769">
        <v>328.47</v>
      </c>
      <c r="F769" s="23">
        <f t="shared" si="11"/>
        <v>-4.3950048496604888E-3</v>
      </c>
    </row>
    <row r="770" spans="1:6" x14ac:dyDescent="0.35">
      <c r="A770" s="22">
        <v>45596</v>
      </c>
      <c r="B770">
        <v>327.96</v>
      </c>
      <c r="C770">
        <v>327.96</v>
      </c>
      <c r="D770">
        <v>327.96</v>
      </c>
      <c r="E770">
        <v>327.96</v>
      </c>
      <c r="F770" s="23">
        <f t="shared" si="11"/>
        <v>-1.552653210338989E-3</v>
      </c>
    </row>
    <row r="771" spans="1:6" x14ac:dyDescent="0.35">
      <c r="A771" s="22">
        <v>45597</v>
      </c>
      <c r="B771">
        <v>327.96</v>
      </c>
      <c r="C771">
        <v>327.96</v>
      </c>
      <c r="D771">
        <v>327.96</v>
      </c>
      <c r="E771">
        <v>327.96</v>
      </c>
      <c r="F771" s="23">
        <f t="shared" ref="F771:F834" si="12">(B771-B770)/B770</f>
        <v>0</v>
      </c>
    </row>
    <row r="772" spans="1:6" x14ac:dyDescent="0.35">
      <c r="A772" s="22">
        <v>45600</v>
      </c>
      <c r="B772">
        <v>325.72000000000003</v>
      </c>
      <c r="C772">
        <v>325.72000000000003</v>
      </c>
      <c r="D772">
        <v>325.72000000000003</v>
      </c>
      <c r="E772">
        <v>325.72000000000003</v>
      </c>
      <c r="F772" s="23">
        <f t="shared" si="12"/>
        <v>-6.8301012318573986E-3</v>
      </c>
    </row>
    <row r="773" spans="1:6" x14ac:dyDescent="0.35">
      <c r="A773" s="22">
        <v>45601</v>
      </c>
      <c r="B773">
        <v>327.29000000000002</v>
      </c>
      <c r="C773">
        <v>327.29000000000002</v>
      </c>
      <c r="D773">
        <v>327.29000000000002</v>
      </c>
      <c r="E773">
        <v>327.29000000000002</v>
      </c>
      <c r="F773" s="23">
        <f t="shared" si="12"/>
        <v>4.8200908755986526E-3</v>
      </c>
    </row>
    <row r="774" spans="1:6" x14ac:dyDescent="0.35">
      <c r="A774" s="22">
        <v>45602</v>
      </c>
      <c r="B774">
        <v>332.03</v>
      </c>
      <c r="C774">
        <v>332.03</v>
      </c>
      <c r="D774">
        <v>332.03</v>
      </c>
      <c r="E774">
        <v>332.03</v>
      </c>
      <c r="F774" s="23">
        <f t="shared" si="12"/>
        <v>1.4482568975526145E-2</v>
      </c>
    </row>
    <row r="775" spans="1:6" x14ac:dyDescent="0.35">
      <c r="A775" s="22">
        <v>45603</v>
      </c>
      <c r="B775">
        <v>329.09</v>
      </c>
      <c r="C775">
        <v>329.09</v>
      </c>
      <c r="D775">
        <v>329.09</v>
      </c>
      <c r="E775">
        <v>329.09</v>
      </c>
      <c r="F775" s="23">
        <f t="shared" si="12"/>
        <v>-8.8546215703400235E-3</v>
      </c>
    </row>
    <row r="776" spans="1:6" x14ac:dyDescent="0.35">
      <c r="A776" s="22">
        <v>45604</v>
      </c>
      <c r="B776">
        <v>327.54000000000002</v>
      </c>
      <c r="C776">
        <v>327.54000000000002</v>
      </c>
      <c r="D776">
        <v>327.54000000000002</v>
      </c>
      <c r="E776">
        <v>327.54000000000002</v>
      </c>
      <c r="F776" s="23">
        <f t="shared" si="12"/>
        <v>-4.7099577623141231E-3</v>
      </c>
    </row>
    <row r="777" spans="1:6" x14ac:dyDescent="0.35">
      <c r="A777" s="22">
        <v>45607</v>
      </c>
      <c r="B777">
        <v>327.85</v>
      </c>
      <c r="C777">
        <v>327.85</v>
      </c>
      <c r="D777">
        <v>327.85</v>
      </c>
      <c r="E777">
        <v>327.85</v>
      </c>
      <c r="F777" s="23">
        <f t="shared" si="12"/>
        <v>9.4644928863650926E-4</v>
      </c>
    </row>
    <row r="778" spans="1:6" x14ac:dyDescent="0.35">
      <c r="A778" s="22">
        <v>45608</v>
      </c>
      <c r="B778">
        <v>324.82</v>
      </c>
      <c r="C778">
        <v>324.82</v>
      </c>
      <c r="D778">
        <v>324.82</v>
      </c>
      <c r="E778">
        <v>324.82</v>
      </c>
      <c r="F778" s="23">
        <f t="shared" si="12"/>
        <v>-9.2420314168065558E-3</v>
      </c>
    </row>
    <row r="779" spans="1:6" x14ac:dyDescent="0.35">
      <c r="A779" s="22">
        <v>45609</v>
      </c>
      <c r="B779">
        <v>319.41000000000003</v>
      </c>
      <c r="C779">
        <v>319.41000000000003</v>
      </c>
      <c r="D779">
        <v>319.41000000000003</v>
      </c>
      <c r="E779">
        <v>319.41000000000003</v>
      </c>
      <c r="F779" s="23">
        <f t="shared" si="12"/>
        <v>-1.6655378363401172E-2</v>
      </c>
    </row>
    <row r="780" spans="1:6" x14ac:dyDescent="0.35">
      <c r="A780" s="22">
        <v>45610</v>
      </c>
      <c r="B780">
        <v>319.85000000000002</v>
      </c>
      <c r="C780">
        <v>319.85000000000002</v>
      </c>
      <c r="D780">
        <v>319.85000000000002</v>
      </c>
      <c r="E780">
        <v>319.85000000000002</v>
      </c>
      <c r="F780" s="23">
        <f t="shared" si="12"/>
        <v>1.3775398390782935E-3</v>
      </c>
    </row>
    <row r="781" spans="1:6" x14ac:dyDescent="0.35">
      <c r="A781" s="22">
        <v>45611</v>
      </c>
      <c r="B781">
        <v>319.85000000000002</v>
      </c>
      <c r="C781">
        <v>319.85000000000002</v>
      </c>
      <c r="D781">
        <v>319.85000000000002</v>
      </c>
      <c r="E781">
        <v>319.85000000000002</v>
      </c>
      <c r="F781" s="23">
        <f t="shared" si="12"/>
        <v>0</v>
      </c>
    </row>
    <row r="782" spans="1:6" x14ac:dyDescent="0.35">
      <c r="A782" s="22">
        <v>45614</v>
      </c>
      <c r="B782">
        <v>318.68</v>
      </c>
      <c r="C782">
        <v>318.68</v>
      </c>
      <c r="D782">
        <v>318.68</v>
      </c>
      <c r="E782">
        <v>318.68</v>
      </c>
      <c r="F782" s="23">
        <f t="shared" si="12"/>
        <v>-3.6579646709395523E-3</v>
      </c>
    </row>
    <row r="783" spans="1:6" x14ac:dyDescent="0.35">
      <c r="A783" s="22">
        <v>45615</v>
      </c>
      <c r="B783">
        <v>320.17</v>
      </c>
      <c r="C783">
        <v>320.17</v>
      </c>
      <c r="D783">
        <v>320.17</v>
      </c>
      <c r="E783">
        <v>320.17</v>
      </c>
      <c r="F783" s="23">
        <f t="shared" si="12"/>
        <v>4.6755365884272905E-3</v>
      </c>
    </row>
    <row r="784" spans="1:6" x14ac:dyDescent="0.35">
      <c r="A784" s="22">
        <v>45616</v>
      </c>
      <c r="B784">
        <v>320.17</v>
      </c>
      <c r="C784">
        <v>320.17</v>
      </c>
      <c r="D784">
        <v>320.17</v>
      </c>
      <c r="E784">
        <v>320.17</v>
      </c>
      <c r="F784" s="23">
        <f t="shared" si="12"/>
        <v>0</v>
      </c>
    </row>
    <row r="785" spans="1:6" x14ac:dyDescent="0.35">
      <c r="A785" s="22">
        <v>45617</v>
      </c>
      <c r="B785">
        <v>318.82</v>
      </c>
      <c r="C785">
        <v>318.82</v>
      </c>
      <c r="D785">
        <v>318.82</v>
      </c>
      <c r="E785">
        <v>318.82</v>
      </c>
      <c r="F785" s="23">
        <f t="shared" si="12"/>
        <v>-4.2165099790736878E-3</v>
      </c>
    </row>
    <row r="786" spans="1:6" x14ac:dyDescent="0.35">
      <c r="A786" s="22">
        <v>45618</v>
      </c>
      <c r="B786">
        <v>324.42</v>
      </c>
      <c r="C786">
        <v>324.42</v>
      </c>
      <c r="D786">
        <v>324.42</v>
      </c>
      <c r="E786">
        <v>324.42</v>
      </c>
      <c r="F786" s="23">
        <f t="shared" si="12"/>
        <v>1.7564770089705861E-2</v>
      </c>
    </row>
    <row r="787" spans="1:6" x14ac:dyDescent="0.35">
      <c r="A787" s="22">
        <v>45621</v>
      </c>
      <c r="B787">
        <v>328.61</v>
      </c>
      <c r="C787">
        <v>328.61</v>
      </c>
      <c r="D787">
        <v>328.61</v>
      </c>
      <c r="E787">
        <v>328.61</v>
      </c>
      <c r="F787" s="23">
        <f t="shared" si="12"/>
        <v>1.2915356636458904E-2</v>
      </c>
    </row>
    <row r="788" spans="1:6" x14ac:dyDescent="0.35">
      <c r="A788" s="22">
        <v>45622</v>
      </c>
      <c r="B788">
        <v>328.98</v>
      </c>
      <c r="C788">
        <v>328.98</v>
      </c>
      <c r="D788">
        <v>328.98</v>
      </c>
      <c r="E788">
        <v>328.98</v>
      </c>
      <c r="F788" s="23">
        <f t="shared" si="12"/>
        <v>1.1259547792215835E-3</v>
      </c>
    </row>
    <row r="789" spans="1:6" x14ac:dyDescent="0.35">
      <c r="A789" s="22">
        <v>45623</v>
      </c>
      <c r="B789">
        <v>330.45</v>
      </c>
      <c r="C789">
        <v>330.45</v>
      </c>
      <c r="D789">
        <v>330.45</v>
      </c>
      <c r="E789">
        <v>330.45</v>
      </c>
      <c r="F789" s="23">
        <f t="shared" si="12"/>
        <v>4.4683567390113995E-3</v>
      </c>
    </row>
    <row r="790" spans="1:6" x14ac:dyDescent="0.35">
      <c r="A790" s="22">
        <v>45624</v>
      </c>
      <c r="B790">
        <v>326.87</v>
      </c>
      <c r="C790">
        <v>326.87</v>
      </c>
      <c r="D790">
        <v>326.87</v>
      </c>
      <c r="E790">
        <v>326.87</v>
      </c>
      <c r="F790" s="23">
        <f t="shared" si="12"/>
        <v>-1.0833711605386546E-2</v>
      </c>
    </row>
    <row r="791" spans="1:6" x14ac:dyDescent="0.35">
      <c r="A791" s="22">
        <v>45625</v>
      </c>
      <c r="B791">
        <v>328.9</v>
      </c>
      <c r="C791">
        <v>328.9</v>
      </c>
      <c r="D791">
        <v>328.9</v>
      </c>
      <c r="E791">
        <v>328.9</v>
      </c>
      <c r="F791" s="23">
        <f t="shared" si="12"/>
        <v>6.2104200446659917E-3</v>
      </c>
    </row>
    <row r="792" spans="1:6" x14ac:dyDescent="0.35">
      <c r="A792" s="22">
        <v>45628</v>
      </c>
      <c r="B792">
        <v>331.19</v>
      </c>
      <c r="C792">
        <v>331.19</v>
      </c>
      <c r="D792">
        <v>331.19</v>
      </c>
      <c r="E792">
        <v>331.19</v>
      </c>
      <c r="F792" s="23">
        <f t="shared" si="12"/>
        <v>6.9626026147765908E-3</v>
      </c>
    </row>
    <row r="793" spans="1:6" x14ac:dyDescent="0.35">
      <c r="A793" s="22">
        <v>45629</v>
      </c>
      <c r="B793">
        <v>333.63</v>
      </c>
      <c r="C793">
        <v>333.63</v>
      </c>
      <c r="D793">
        <v>333.63</v>
      </c>
      <c r="E793">
        <v>333.63</v>
      </c>
      <c r="F793" s="23">
        <f t="shared" si="12"/>
        <v>7.3673722032670001E-3</v>
      </c>
    </row>
    <row r="794" spans="1:6" x14ac:dyDescent="0.35">
      <c r="A794" s="22">
        <v>45630</v>
      </c>
      <c r="B794">
        <v>335.57</v>
      </c>
      <c r="C794">
        <v>335.57</v>
      </c>
      <c r="D794">
        <v>335.57</v>
      </c>
      <c r="E794">
        <v>335.57</v>
      </c>
      <c r="F794" s="23">
        <f t="shared" si="12"/>
        <v>5.8148248059227223E-3</v>
      </c>
    </row>
    <row r="795" spans="1:6" x14ac:dyDescent="0.35">
      <c r="A795" s="22">
        <v>45631</v>
      </c>
      <c r="B795">
        <v>338.44</v>
      </c>
      <c r="C795">
        <v>338.44</v>
      </c>
      <c r="D795">
        <v>338.44</v>
      </c>
      <c r="E795">
        <v>338.44</v>
      </c>
      <c r="F795" s="23">
        <f t="shared" si="12"/>
        <v>8.5526119736567766E-3</v>
      </c>
    </row>
    <row r="796" spans="1:6" x14ac:dyDescent="0.35">
      <c r="A796" s="22">
        <v>45632</v>
      </c>
      <c r="B796">
        <v>338.58</v>
      </c>
      <c r="C796">
        <v>338.58</v>
      </c>
      <c r="D796">
        <v>338.58</v>
      </c>
      <c r="E796">
        <v>338.58</v>
      </c>
      <c r="F796" s="23">
        <f t="shared" si="12"/>
        <v>4.1366268762553585E-4</v>
      </c>
    </row>
    <row r="797" spans="1:6" x14ac:dyDescent="0.35">
      <c r="A797" s="22">
        <v>45635</v>
      </c>
      <c r="B797">
        <v>338.22</v>
      </c>
      <c r="C797">
        <v>338.22</v>
      </c>
      <c r="D797">
        <v>338.22</v>
      </c>
      <c r="E797">
        <v>338.22</v>
      </c>
      <c r="F797" s="23">
        <f t="shared" si="12"/>
        <v>-1.0632642211588304E-3</v>
      </c>
    </row>
    <row r="798" spans="1:6" x14ac:dyDescent="0.35">
      <c r="A798" s="22">
        <v>45636</v>
      </c>
      <c r="B798">
        <v>338.54</v>
      </c>
      <c r="C798">
        <v>338.54</v>
      </c>
      <c r="D798">
        <v>338.54</v>
      </c>
      <c r="E798">
        <v>338.54</v>
      </c>
      <c r="F798" s="23">
        <f t="shared" si="12"/>
        <v>9.4612973804030854E-4</v>
      </c>
    </row>
    <row r="799" spans="1:6" x14ac:dyDescent="0.35">
      <c r="A799" s="22">
        <v>45637</v>
      </c>
      <c r="B799">
        <v>338.74</v>
      </c>
      <c r="C799">
        <v>338.74</v>
      </c>
      <c r="D799">
        <v>338.74</v>
      </c>
      <c r="E799">
        <v>338.74</v>
      </c>
      <c r="F799" s="23">
        <f t="shared" si="12"/>
        <v>5.9077213918588237E-4</v>
      </c>
    </row>
    <row r="800" spans="1:6" x14ac:dyDescent="0.35">
      <c r="A800" s="22">
        <v>45638</v>
      </c>
      <c r="B800">
        <v>337.3</v>
      </c>
      <c r="C800">
        <v>337.3</v>
      </c>
      <c r="D800">
        <v>337.3</v>
      </c>
      <c r="E800">
        <v>337.3</v>
      </c>
      <c r="F800" s="23">
        <f t="shared" si="12"/>
        <v>-4.2510480014170092E-3</v>
      </c>
    </row>
    <row r="801" spans="1:6" x14ac:dyDescent="0.35">
      <c r="A801" s="22">
        <v>45639</v>
      </c>
      <c r="B801">
        <v>338.91</v>
      </c>
      <c r="C801">
        <v>338.91</v>
      </c>
      <c r="D801">
        <v>338.91</v>
      </c>
      <c r="E801">
        <v>338.91</v>
      </c>
      <c r="F801" s="23">
        <f t="shared" si="12"/>
        <v>4.7731989327009002E-3</v>
      </c>
    </row>
    <row r="802" spans="1:6" x14ac:dyDescent="0.35">
      <c r="A802" s="22">
        <v>45642</v>
      </c>
      <c r="B802">
        <v>338.9</v>
      </c>
      <c r="C802">
        <v>338.9</v>
      </c>
      <c r="D802">
        <v>338.9</v>
      </c>
      <c r="E802">
        <v>338.9</v>
      </c>
      <c r="F802" s="23">
        <f t="shared" si="12"/>
        <v>-2.9506358620423557E-5</v>
      </c>
    </row>
    <row r="803" spans="1:6" x14ac:dyDescent="0.35">
      <c r="A803" s="22">
        <v>45643</v>
      </c>
      <c r="B803">
        <v>335.26</v>
      </c>
      <c r="C803">
        <v>335.26</v>
      </c>
      <c r="D803">
        <v>335.26</v>
      </c>
      <c r="E803">
        <v>335.26</v>
      </c>
      <c r="F803" s="23">
        <f t="shared" si="12"/>
        <v>-1.0740631454706363E-2</v>
      </c>
    </row>
    <row r="804" spans="1:6" x14ac:dyDescent="0.35">
      <c r="A804" s="22">
        <v>45644</v>
      </c>
      <c r="B804">
        <v>333.26</v>
      </c>
      <c r="C804">
        <v>333.26</v>
      </c>
      <c r="D804">
        <v>333.26</v>
      </c>
      <c r="E804">
        <v>333.26</v>
      </c>
      <c r="F804" s="23">
        <f t="shared" si="12"/>
        <v>-5.9655192984549308E-3</v>
      </c>
    </row>
    <row r="805" spans="1:6" x14ac:dyDescent="0.35">
      <c r="A805" s="22">
        <v>45645</v>
      </c>
      <c r="B805">
        <v>330.65</v>
      </c>
      <c r="C805">
        <v>330.65</v>
      </c>
      <c r="D805">
        <v>330.65</v>
      </c>
      <c r="E805">
        <v>330.65</v>
      </c>
      <c r="F805" s="23">
        <f t="shared" si="12"/>
        <v>-7.8317229790554332E-3</v>
      </c>
    </row>
    <row r="806" spans="1:6" x14ac:dyDescent="0.35">
      <c r="A806" s="22">
        <v>45646</v>
      </c>
      <c r="B806">
        <v>325.3</v>
      </c>
      <c r="C806">
        <v>325.3</v>
      </c>
      <c r="D806">
        <v>325.3</v>
      </c>
      <c r="E806">
        <v>325.3</v>
      </c>
      <c r="F806" s="23">
        <f t="shared" si="12"/>
        <v>-1.6180251020716668E-2</v>
      </c>
    </row>
    <row r="807" spans="1:6" x14ac:dyDescent="0.35">
      <c r="A807" s="22">
        <v>45649</v>
      </c>
      <c r="B807">
        <v>326.27</v>
      </c>
      <c r="C807">
        <v>326.27</v>
      </c>
      <c r="D807">
        <v>326.27</v>
      </c>
      <c r="E807">
        <v>326.27</v>
      </c>
      <c r="F807" s="23">
        <f t="shared" si="12"/>
        <v>2.9818628957884118E-3</v>
      </c>
    </row>
    <row r="808" spans="1:6" x14ac:dyDescent="0.35">
      <c r="A808" s="22">
        <v>45650</v>
      </c>
      <c r="B808">
        <v>326.36</v>
      </c>
      <c r="C808">
        <v>326.36</v>
      </c>
      <c r="D808">
        <v>326.36</v>
      </c>
      <c r="E808">
        <v>326.36</v>
      </c>
      <c r="F808" s="23">
        <f t="shared" si="12"/>
        <v>2.7584515891755857E-4</v>
      </c>
    </row>
    <row r="809" spans="1:6" x14ac:dyDescent="0.35">
      <c r="A809" s="22">
        <v>45651</v>
      </c>
      <c r="B809">
        <v>326.36</v>
      </c>
      <c r="C809">
        <v>326.36</v>
      </c>
      <c r="D809">
        <v>326.36</v>
      </c>
      <c r="E809">
        <v>326.36</v>
      </c>
      <c r="F809" s="23">
        <f t="shared" si="12"/>
        <v>0</v>
      </c>
    </row>
    <row r="810" spans="1:6" x14ac:dyDescent="0.35">
      <c r="A810" s="22">
        <v>45652</v>
      </c>
      <c r="B810">
        <v>327.08999999999997</v>
      </c>
      <c r="C810">
        <v>327.08999999999997</v>
      </c>
      <c r="D810">
        <v>327.08999999999997</v>
      </c>
      <c r="E810">
        <v>327.08999999999997</v>
      </c>
      <c r="F810" s="23">
        <f t="shared" si="12"/>
        <v>2.2367937247210483E-3</v>
      </c>
    </row>
    <row r="811" spans="1:6" x14ac:dyDescent="0.35">
      <c r="A811" s="22">
        <v>45653</v>
      </c>
      <c r="B811">
        <v>327.24</v>
      </c>
      <c r="C811">
        <v>327.24</v>
      </c>
      <c r="D811">
        <v>327.24</v>
      </c>
      <c r="E811">
        <v>327.24</v>
      </c>
      <c r="F811" s="23">
        <f t="shared" si="12"/>
        <v>4.5858937907008502E-4</v>
      </c>
    </row>
    <row r="812" spans="1:6" x14ac:dyDescent="0.35">
      <c r="A812" s="22">
        <v>45656</v>
      </c>
      <c r="B812">
        <v>326.33999999999997</v>
      </c>
      <c r="C812">
        <v>326.33999999999997</v>
      </c>
      <c r="D812">
        <v>326.33999999999997</v>
      </c>
      <c r="E812">
        <v>326.33999999999997</v>
      </c>
      <c r="F812" s="23">
        <f t="shared" si="12"/>
        <v>-2.7502750275028545E-3</v>
      </c>
    </row>
    <row r="813" spans="1:6" x14ac:dyDescent="0.35">
      <c r="A813" s="22">
        <v>45657</v>
      </c>
      <c r="B813">
        <v>326.44</v>
      </c>
      <c r="C813">
        <v>326.44</v>
      </c>
      <c r="D813">
        <v>326.44</v>
      </c>
      <c r="E813">
        <v>326.44</v>
      </c>
      <c r="F813" s="23">
        <f t="shared" si="12"/>
        <v>3.0642887785751896E-4</v>
      </c>
    </row>
    <row r="814" spans="1:6" x14ac:dyDescent="0.35">
      <c r="A814" s="22">
        <v>45658</v>
      </c>
      <c r="B814">
        <v>327.25</v>
      </c>
      <c r="C814">
        <v>327.25</v>
      </c>
      <c r="D814">
        <v>327.25</v>
      </c>
      <c r="E814">
        <v>327.25</v>
      </c>
      <c r="F814" s="23">
        <f t="shared" si="12"/>
        <v>2.4813135645141596E-3</v>
      </c>
    </row>
    <row r="815" spans="1:6" x14ac:dyDescent="0.35">
      <c r="A815" s="22">
        <v>45659</v>
      </c>
      <c r="B815">
        <v>332.26</v>
      </c>
      <c r="C815">
        <v>332.26</v>
      </c>
      <c r="D815">
        <v>332.26</v>
      </c>
      <c r="E815">
        <v>332.26</v>
      </c>
      <c r="F815" s="23">
        <f t="shared" si="12"/>
        <v>1.5309396485867046E-2</v>
      </c>
    </row>
    <row r="816" spans="1:6" x14ac:dyDescent="0.35">
      <c r="A816" s="22">
        <v>45660</v>
      </c>
      <c r="B816">
        <v>329.84</v>
      </c>
      <c r="C816">
        <v>329.84</v>
      </c>
      <c r="D816">
        <v>329.84</v>
      </c>
      <c r="E816">
        <v>329.84</v>
      </c>
      <c r="F816" s="23">
        <f t="shared" si="12"/>
        <v>-7.2834527177512067E-3</v>
      </c>
    </row>
    <row r="817" spans="1:6" x14ac:dyDescent="0.35">
      <c r="A817" s="22">
        <v>45663</v>
      </c>
      <c r="B817">
        <v>324.27999999999997</v>
      </c>
      <c r="C817">
        <v>324.27999999999997</v>
      </c>
      <c r="D817">
        <v>324.27999999999997</v>
      </c>
      <c r="E817">
        <v>324.27999999999997</v>
      </c>
      <c r="F817" s="23">
        <f t="shared" si="12"/>
        <v>-1.6856657773465931E-2</v>
      </c>
    </row>
    <row r="818" spans="1:6" x14ac:dyDescent="0.35">
      <c r="A818" s="22">
        <v>45664</v>
      </c>
      <c r="B818">
        <v>325.39999999999998</v>
      </c>
      <c r="C818">
        <v>325.39999999999998</v>
      </c>
      <c r="D818">
        <v>325.39999999999998</v>
      </c>
      <c r="E818">
        <v>325.39999999999998</v>
      </c>
      <c r="F818" s="23">
        <f t="shared" si="12"/>
        <v>3.4538053533983122E-3</v>
      </c>
    </row>
    <row r="819" spans="1:6" x14ac:dyDescent="0.35">
      <c r="A819" s="22">
        <v>45665</v>
      </c>
      <c r="B819">
        <v>323.88</v>
      </c>
      <c r="C819">
        <v>323.88</v>
      </c>
      <c r="D819">
        <v>323.88</v>
      </c>
      <c r="E819">
        <v>323.88</v>
      </c>
      <c r="F819" s="23">
        <f t="shared" si="12"/>
        <v>-4.6711739397663861E-3</v>
      </c>
    </row>
    <row r="820" spans="1:6" x14ac:dyDescent="0.35">
      <c r="A820" s="22">
        <v>45666</v>
      </c>
      <c r="B820">
        <v>321.8</v>
      </c>
      <c r="C820">
        <v>321.8</v>
      </c>
      <c r="D820">
        <v>321.8</v>
      </c>
      <c r="E820">
        <v>321.8</v>
      </c>
      <c r="F820" s="23">
        <f t="shared" si="12"/>
        <v>-6.4221316536988522E-3</v>
      </c>
    </row>
    <row r="821" spans="1:6" x14ac:dyDescent="0.35">
      <c r="A821" s="22">
        <v>45667</v>
      </c>
      <c r="B821">
        <v>318.60000000000002</v>
      </c>
      <c r="C821">
        <v>318.60000000000002</v>
      </c>
      <c r="D821">
        <v>318.60000000000002</v>
      </c>
      <c r="E821">
        <v>318.60000000000002</v>
      </c>
      <c r="F821" s="23">
        <f t="shared" si="12"/>
        <v>-9.9440646364201014E-3</v>
      </c>
    </row>
    <row r="822" spans="1:6" x14ac:dyDescent="0.35">
      <c r="A822" s="22">
        <v>45670</v>
      </c>
      <c r="B822">
        <v>310.92</v>
      </c>
      <c r="C822">
        <v>310.92</v>
      </c>
      <c r="D822">
        <v>310.92</v>
      </c>
      <c r="E822">
        <v>310.92</v>
      </c>
      <c r="F822" s="23">
        <f t="shared" si="12"/>
        <v>-2.4105461393597007E-2</v>
      </c>
    </row>
    <row r="823" spans="1:6" x14ac:dyDescent="0.35">
      <c r="A823" s="22">
        <v>45671</v>
      </c>
      <c r="B823">
        <v>312.85000000000002</v>
      </c>
      <c r="C823">
        <v>312.85000000000002</v>
      </c>
      <c r="D823">
        <v>312.85000000000002</v>
      </c>
      <c r="E823">
        <v>312.85000000000002</v>
      </c>
      <c r="F823" s="23">
        <f t="shared" si="12"/>
        <v>6.2073845362151251E-3</v>
      </c>
    </row>
    <row r="824" spans="1:6" x14ac:dyDescent="0.35">
      <c r="A824" s="22">
        <v>45672</v>
      </c>
      <c r="B824">
        <v>313.72000000000003</v>
      </c>
      <c r="C824">
        <v>313.72000000000003</v>
      </c>
      <c r="D824">
        <v>313.72000000000003</v>
      </c>
      <c r="E824">
        <v>313.72000000000003</v>
      </c>
      <c r="F824" s="23">
        <f t="shared" si="12"/>
        <v>2.7808854083426707E-3</v>
      </c>
    </row>
    <row r="825" spans="1:6" x14ac:dyDescent="0.35">
      <c r="A825" s="22">
        <v>45673</v>
      </c>
      <c r="B825">
        <v>315.87</v>
      </c>
      <c r="C825">
        <v>315.87</v>
      </c>
      <c r="D825">
        <v>315.87</v>
      </c>
      <c r="E825">
        <v>315.87</v>
      </c>
      <c r="F825" s="23">
        <f t="shared" si="12"/>
        <v>6.8532449317862329E-3</v>
      </c>
    </row>
    <row r="826" spans="1:6" x14ac:dyDescent="0.35">
      <c r="A826" s="22">
        <v>45674</v>
      </c>
      <c r="B826">
        <v>315.29000000000002</v>
      </c>
      <c r="C826">
        <v>315.29000000000002</v>
      </c>
      <c r="D826">
        <v>315.29000000000002</v>
      </c>
      <c r="E826">
        <v>315.29000000000002</v>
      </c>
      <c r="F826" s="23">
        <f t="shared" si="12"/>
        <v>-1.8361984360654195E-3</v>
      </c>
    </row>
    <row r="827" spans="1:6" x14ac:dyDescent="0.35">
      <c r="A827" s="22">
        <v>45677</v>
      </c>
      <c r="B827">
        <v>315.83999999999997</v>
      </c>
      <c r="C827">
        <v>315.83999999999997</v>
      </c>
      <c r="D827">
        <v>315.83999999999997</v>
      </c>
      <c r="E827">
        <v>315.83999999999997</v>
      </c>
      <c r="F827" s="23">
        <f t="shared" si="12"/>
        <v>1.7444257667542722E-3</v>
      </c>
    </row>
    <row r="828" spans="1:6" x14ac:dyDescent="0.35">
      <c r="A828" s="22">
        <v>45678</v>
      </c>
      <c r="B828">
        <v>309.51</v>
      </c>
      <c r="C828">
        <v>309.51</v>
      </c>
      <c r="D828">
        <v>309.51</v>
      </c>
      <c r="E828">
        <v>309.51</v>
      </c>
      <c r="F828" s="23">
        <f t="shared" si="12"/>
        <v>-2.004179331306986E-2</v>
      </c>
    </row>
    <row r="829" spans="1:6" x14ac:dyDescent="0.35">
      <c r="A829" s="22">
        <v>45679</v>
      </c>
      <c r="B829">
        <v>309.13</v>
      </c>
      <c r="C829">
        <v>309.13</v>
      </c>
      <c r="D829">
        <v>309.13</v>
      </c>
      <c r="E829">
        <v>309.13</v>
      </c>
      <c r="F829" s="23">
        <f t="shared" si="12"/>
        <v>-1.2277470841006606E-3</v>
      </c>
    </row>
    <row r="830" spans="1:6" x14ac:dyDescent="0.35">
      <c r="A830" s="22">
        <v>45680</v>
      </c>
      <c r="B830">
        <v>311.57</v>
      </c>
      <c r="C830">
        <v>311.57</v>
      </c>
      <c r="D830">
        <v>311.57</v>
      </c>
      <c r="E830">
        <v>311.57</v>
      </c>
      <c r="F830" s="23">
        <f t="shared" si="12"/>
        <v>7.8931193996053372E-3</v>
      </c>
    </row>
    <row r="831" spans="1:6" x14ac:dyDescent="0.35">
      <c r="A831" s="22">
        <v>45681</v>
      </c>
      <c r="B831">
        <v>308.14999999999998</v>
      </c>
      <c r="C831">
        <v>308.14999999999998</v>
      </c>
      <c r="D831">
        <v>308.14999999999998</v>
      </c>
      <c r="E831">
        <v>308.14999999999998</v>
      </c>
      <c r="F831" s="23">
        <f t="shared" si="12"/>
        <v>-1.0976666559681663E-2</v>
      </c>
    </row>
    <row r="832" spans="1:6" x14ac:dyDescent="0.35">
      <c r="A832" s="22">
        <v>45684</v>
      </c>
      <c r="B832">
        <v>302.89999999999998</v>
      </c>
      <c r="C832">
        <v>302.89999999999998</v>
      </c>
      <c r="D832">
        <v>302.89999999999998</v>
      </c>
      <c r="E832">
        <v>302.89999999999998</v>
      </c>
      <c r="F832" s="23">
        <f t="shared" si="12"/>
        <v>-1.7037157228622424E-2</v>
      </c>
    </row>
    <row r="833" spans="1:6" x14ac:dyDescent="0.35">
      <c r="A833" s="22">
        <v>45685</v>
      </c>
      <c r="B833">
        <v>303.67</v>
      </c>
      <c r="C833">
        <v>303.67</v>
      </c>
      <c r="D833">
        <v>303.67</v>
      </c>
      <c r="E833">
        <v>303.67</v>
      </c>
      <c r="F833" s="23">
        <f t="shared" si="12"/>
        <v>2.542093100033142E-3</v>
      </c>
    </row>
    <row r="834" spans="1:6" x14ac:dyDescent="0.35">
      <c r="A834" s="22">
        <v>45686</v>
      </c>
      <c r="B834">
        <v>308.61</v>
      </c>
      <c r="C834">
        <v>308.61</v>
      </c>
      <c r="D834">
        <v>308.61</v>
      </c>
      <c r="E834">
        <v>308.61</v>
      </c>
      <c r="F834" s="23">
        <f t="shared" si="12"/>
        <v>1.6267658971910289E-2</v>
      </c>
    </row>
    <row r="835" spans="1:6" x14ac:dyDescent="0.35">
      <c r="A835" s="22">
        <v>45687</v>
      </c>
      <c r="B835">
        <v>309.01</v>
      </c>
      <c r="C835">
        <v>309.01</v>
      </c>
      <c r="D835">
        <v>309.01</v>
      </c>
      <c r="E835">
        <v>309.01</v>
      </c>
      <c r="F835" s="23">
        <f t="shared" ref="F835:F898" si="13">(B835-B834)/B834</f>
        <v>1.2961342795112837E-3</v>
      </c>
    </row>
    <row r="836" spans="1:6" x14ac:dyDescent="0.35">
      <c r="A836" s="22">
        <v>45688</v>
      </c>
      <c r="B836">
        <v>312.56</v>
      </c>
      <c r="C836">
        <v>312.56</v>
      </c>
      <c r="D836">
        <v>312.56</v>
      </c>
      <c r="E836">
        <v>312.56</v>
      </c>
      <c r="F836" s="23">
        <f t="shared" si="13"/>
        <v>1.1488301349470927E-2</v>
      </c>
    </row>
    <row r="837" spans="1:6" x14ac:dyDescent="0.35">
      <c r="A837" s="22">
        <v>45691</v>
      </c>
      <c r="B837">
        <v>312.47000000000003</v>
      </c>
      <c r="C837">
        <v>312.47000000000003</v>
      </c>
      <c r="D837">
        <v>312.47000000000003</v>
      </c>
      <c r="E837">
        <v>312.47000000000003</v>
      </c>
      <c r="F837" s="23">
        <f t="shared" si="13"/>
        <v>-2.8794471461471391E-4</v>
      </c>
    </row>
    <row r="838" spans="1:6" x14ac:dyDescent="0.35">
      <c r="A838" s="22">
        <v>45692</v>
      </c>
      <c r="B838">
        <v>316.79000000000002</v>
      </c>
      <c r="C838">
        <v>316.79000000000002</v>
      </c>
      <c r="D838">
        <v>316.79000000000002</v>
      </c>
      <c r="E838">
        <v>316.79000000000002</v>
      </c>
      <c r="F838" s="23">
        <f t="shared" si="13"/>
        <v>1.3825327231414193E-2</v>
      </c>
    </row>
    <row r="839" spans="1:6" x14ac:dyDescent="0.35">
      <c r="A839" s="22">
        <v>45693</v>
      </c>
      <c r="B839">
        <v>317.48</v>
      </c>
      <c r="C839">
        <v>317.48</v>
      </c>
      <c r="D839">
        <v>317.48</v>
      </c>
      <c r="E839">
        <v>317.48</v>
      </c>
      <c r="F839" s="23">
        <f t="shared" si="13"/>
        <v>2.1780990561570683E-3</v>
      </c>
    </row>
    <row r="840" spans="1:6" x14ac:dyDescent="0.35">
      <c r="A840" s="22">
        <v>45694</v>
      </c>
      <c r="B840">
        <v>315.61</v>
      </c>
      <c r="C840">
        <v>315.61</v>
      </c>
      <c r="D840">
        <v>315.61</v>
      </c>
      <c r="E840">
        <v>315.61</v>
      </c>
      <c r="F840" s="23">
        <f t="shared" si="13"/>
        <v>-5.8901348116416922E-3</v>
      </c>
    </row>
    <row r="841" spans="1:6" x14ac:dyDescent="0.35">
      <c r="A841" s="22">
        <v>45695</v>
      </c>
      <c r="B841">
        <v>315.55</v>
      </c>
      <c r="C841">
        <v>315.55</v>
      </c>
      <c r="D841">
        <v>315.55</v>
      </c>
      <c r="E841">
        <v>315.55</v>
      </c>
      <c r="F841" s="23">
        <f t="shared" si="13"/>
        <v>-1.9010804473876706E-4</v>
      </c>
    </row>
    <row r="842" spans="1:6" x14ac:dyDescent="0.35">
      <c r="A842" s="22">
        <v>45698</v>
      </c>
      <c r="B842">
        <v>312.10000000000002</v>
      </c>
      <c r="C842">
        <v>312.10000000000002</v>
      </c>
      <c r="D842">
        <v>312.10000000000002</v>
      </c>
      <c r="E842">
        <v>312.10000000000002</v>
      </c>
      <c r="F842" s="23">
        <f t="shared" si="13"/>
        <v>-1.0933291079068257E-2</v>
      </c>
    </row>
    <row r="843" spans="1:6" x14ac:dyDescent="0.35">
      <c r="A843" s="22">
        <v>45699</v>
      </c>
      <c r="B843">
        <v>305.83</v>
      </c>
      <c r="C843">
        <v>305.83</v>
      </c>
      <c r="D843">
        <v>305.83</v>
      </c>
      <c r="E843">
        <v>305.83</v>
      </c>
      <c r="F843" s="23">
        <f t="shared" si="13"/>
        <v>-2.0089714834988909E-2</v>
      </c>
    </row>
    <row r="844" spans="1:6" x14ac:dyDescent="0.35">
      <c r="A844" s="22">
        <v>45700</v>
      </c>
      <c r="B844">
        <v>305.27999999999997</v>
      </c>
      <c r="C844">
        <v>305.27999999999997</v>
      </c>
      <c r="D844">
        <v>305.27999999999997</v>
      </c>
      <c r="E844">
        <v>305.27999999999997</v>
      </c>
      <c r="F844" s="23">
        <f t="shared" si="13"/>
        <v>-1.7983847235392583E-3</v>
      </c>
    </row>
    <row r="845" spans="1:6" x14ac:dyDescent="0.35">
      <c r="A845" s="22">
        <v>45701</v>
      </c>
      <c r="B845">
        <v>305.05</v>
      </c>
      <c r="C845">
        <v>305.05</v>
      </c>
      <c r="D845">
        <v>305.05</v>
      </c>
      <c r="E845">
        <v>305.05</v>
      </c>
      <c r="F845" s="23">
        <f t="shared" si="13"/>
        <v>-7.5340670859526133E-4</v>
      </c>
    </row>
    <row r="846" spans="1:6" x14ac:dyDescent="0.35">
      <c r="A846" s="22">
        <v>45702</v>
      </c>
      <c r="B846">
        <v>301.18</v>
      </c>
      <c r="C846">
        <v>301.18</v>
      </c>
      <c r="D846">
        <v>301.18</v>
      </c>
      <c r="E846">
        <v>301.18</v>
      </c>
      <c r="F846" s="23">
        <f t="shared" si="13"/>
        <v>-1.2686444845107375E-2</v>
      </c>
    </row>
    <row r="847" spans="1:6" x14ac:dyDescent="0.35">
      <c r="A847" s="22">
        <v>45705</v>
      </c>
      <c r="B847">
        <v>300.82</v>
      </c>
      <c r="C847">
        <v>300.82</v>
      </c>
      <c r="D847">
        <v>300.82</v>
      </c>
      <c r="E847">
        <v>300.82</v>
      </c>
      <c r="F847" s="23">
        <f t="shared" si="13"/>
        <v>-1.1952984925958352E-3</v>
      </c>
    </row>
    <row r="848" spans="1:6" x14ac:dyDescent="0.35">
      <c r="A848" s="22">
        <v>45706</v>
      </c>
      <c r="B848">
        <v>300.22000000000003</v>
      </c>
      <c r="C848">
        <v>300.22000000000003</v>
      </c>
      <c r="D848">
        <v>300.22000000000003</v>
      </c>
      <c r="E848">
        <v>300.22000000000003</v>
      </c>
      <c r="F848" s="23">
        <f t="shared" si="13"/>
        <v>-1.9945482348246988E-3</v>
      </c>
    </row>
    <row r="849" spans="1:6" x14ac:dyDescent="0.35">
      <c r="A849" s="22">
        <v>45707</v>
      </c>
      <c r="B849">
        <v>301.49</v>
      </c>
      <c r="C849">
        <v>301.49</v>
      </c>
      <c r="D849">
        <v>301.49</v>
      </c>
      <c r="E849">
        <v>301.49</v>
      </c>
      <c r="F849" s="23">
        <f t="shared" si="13"/>
        <v>4.2302311638131428E-3</v>
      </c>
    </row>
    <row r="850" spans="1:6" x14ac:dyDescent="0.35">
      <c r="A850" s="22">
        <v>45708</v>
      </c>
      <c r="B850">
        <v>302.77</v>
      </c>
      <c r="C850">
        <v>302.77</v>
      </c>
      <c r="D850">
        <v>302.77</v>
      </c>
      <c r="E850">
        <v>302.77</v>
      </c>
      <c r="F850" s="23">
        <f t="shared" si="13"/>
        <v>4.2455802845864626E-3</v>
      </c>
    </row>
    <row r="851" spans="1:6" x14ac:dyDescent="0.35">
      <c r="A851" s="22">
        <v>45709</v>
      </c>
      <c r="B851">
        <v>300.58</v>
      </c>
      <c r="C851">
        <v>300.58</v>
      </c>
      <c r="D851">
        <v>300.58</v>
      </c>
      <c r="E851">
        <v>300.58</v>
      </c>
      <c r="F851" s="23">
        <f t="shared" si="13"/>
        <v>-7.233213330250678E-3</v>
      </c>
    </row>
    <row r="852" spans="1:6" x14ac:dyDescent="0.35">
      <c r="A852" s="22">
        <v>45712</v>
      </c>
      <c r="B852">
        <v>298</v>
      </c>
      <c r="C852">
        <v>298</v>
      </c>
      <c r="D852">
        <v>298</v>
      </c>
      <c r="E852">
        <v>298</v>
      </c>
      <c r="F852" s="23">
        <f t="shared" si="13"/>
        <v>-8.5834054161953027E-3</v>
      </c>
    </row>
    <row r="853" spans="1:6" x14ac:dyDescent="0.35">
      <c r="A853" s="22">
        <v>45713</v>
      </c>
      <c r="B853">
        <v>297.73</v>
      </c>
      <c r="C853">
        <v>297.73</v>
      </c>
      <c r="D853">
        <v>297.73</v>
      </c>
      <c r="E853">
        <v>297.73</v>
      </c>
      <c r="F853" s="23">
        <f t="shared" si="13"/>
        <v>-9.0604026845631479E-4</v>
      </c>
    </row>
    <row r="854" spans="1:6" x14ac:dyDescent="0.35">
      <c r="A854" s="22">
        <v>45714</v>
      </c>
      <c r="B854">
        <v>297.73</v>
      </c>
      <c r="C854">
        <v>297.73</v>
      </c>
      <c r="D854">
        <v>297.73</v>
      </c>
      <c r="E854">
        <v>297.73</v>
      </c>
      <c r="F854" s="23">
        <f t="shared" si="13"/>
        <v>0</v>
      </c>
    </row>
    <row r="855" spans="1:6" x14ac:dyDescent="0.35">
      <c r="A855" s="22">
        <v>45715</v>
      </c>
      <c r="B855">
        <v>295.82</v>
      </c>
      <c r="C855">
        <v>295.82</v>
      </c>
      <c r="D855">
        <v>295.82</v>
      </c>
      <c r="E855">
        <v>295.82</v>
      </c>
      <c r="F855" s="23">
        <f t="shared" si="13"/>
        <v>-6.415208410304722E-3</v>
      </c>
    </row>
    <row r="856" spans="1:6" x14ac:dyDescent="0.35">
      <c r="A856" s="22">
        <v>45716</v>
      </c>
      <c r="B856">
        <v>289.86</v>
      </c>
      <c r="C856">
        <v>289.86</v>
      </c>
      <c r="D856">
        <v>289.86</v>
      </c>
      <c r="E856">
        <v>289.86</v>
      </c>
      <c r="F856" s="23">
        <f t="shared" si="13"/>
        <v>-2.0147386924481033E-2</v>
      </c>
    </row>
    <row r="857" spans="1:6" x14ac:dyDescent="0.35">
      <c r="A857" s="22">
        <v>45719</v>
      </c>
      <c r="B857">
        <v>290.86</v>
      </c>
      <c r="C857">
        <v>290.86</v>
      </c>
      <c r="D857">
        <v>290.86</v>
      </c>
      <c r="E857">
        <v>290.86</v>
      </c>
      <c r="F857" s="23">
        <f t="shared" si="13"/>
        <v>3.4499413509970329E-3</v>
      </c>
    </row>
    <row r="858" spans="1:6" x14ac:dyDescent="0.35">
      <c r="A858" s="22">
        <v>45720</v>
      </c>
      <c r="B858">
        <v>291.52</v>
      </c>
      <c r="C858">
        <v>291.52</v>
      </c>
      <c r="D858">
        <v>291.52</v>
      </c>
      <c r="E858">
        <v>291.52</v>
      </c>
      <c r="F858" s="23">
        <f t="shared" si="13"/>
        <v>2.2691329161794956E-3</v>
      </c>
    </row>
    <row r="859" spans="1:6" x14ac:dyDescent="0.35">
      <c r="A859" s="22">
        <v>45721</v>
      </c>
      <c r="B859">
        <v>295.3</v>
      </c>
      <c r="C859">
        <v>295.3</v>
      </c>
      <c r="D859">
        <v>295.3</v>
      </c>
      <c r="E859">
        <v>295.3</v>
      </c>
      <c r="F859" s="23">
        <f t="shared" si="13"/>
        <v>1.2966520307354658E-2</v>
      </c>
    </row>
    <row r="860" spans="1:6" x14ac:dyDescent="0.35">
      <c r="A860" s="22">
        <v>45722</v>
      </c>
      <c r="B860">
        <v>297.57</v>
      </c>
      <c r="C860">
        <v>297.57</v>
      </c>
      <c r="D860">
        <v>297.57</v>
      </c>
      <c r="E860">
        <v>297.57</v>
      </c>
      <c r="F860" s="23">
        <f t="shared" si="13"/>
        <v>7.6870978665763015E-3</v>
      </c>
    </row>
    <row r="861" spans="1:6" x14ac:dyDescent="0.35">
      <c r="A861" s="22">
        <v>45723</v>
      </c>
      <c r="B861">
        <v>296.82</v>
      </c>
      <c r="C861">
        <v>296.82</v>
      </c>
      <c r="D861">
        <v>296.82</v>
      </c>
      <c r="E861">
        <v>296.82</v>
      </c>
      <c r="F861" s="23">
        <f t="shared" si="13"/>
        <v>-2.5204153644520617E-3</v>
      </c>
    </row>
    <row r="862" spans="1:6" x14ac:dyDescent="0.35">
      <c r="A862" s="22">
        <v>45726</v>
      </c>
      <c r="B862">
        <v>294.44</v>
      </c>
      <c r="C862">
        <v>294.44</v>
      </c>
      <c r="D862">
        <v>294.44</v>
      </c>
      <c r="E862">
        <v>294.44</v>
      </c>
      <c r="F862" s="23">
        <f t="shared" si="13"/>
        <v>-8.0183276059564573E-3</v>
      </c>
    </row>
    <row r="863" spans="1:6" x14ac:dyDescent="0.35">
      <c r="A863" s="22">
        <v>45727</v>
      </c>
      <c r="B863">
        <v>295.94</v>
      </c>
      <c r="C863">
        <v>295.94</v>
      </c>
      <c r="D863">
        <v>295.94</v>
      </c>
      <c r="E863">
        <v>295.94</v>
      </c>
      <c r="F863" s="23">
        <f t="shared" si="13"/>
        <v>5.094416519494634E-3</v>
      </c>
    </row>
    <row r="864" spans="1:6" x14ac:dyDescent="0.35">
      <c r="A864" s="22">
        <v>45728</v>
      </c>
      <c r="B864">
        <v>294.95999999999998</v>
      </c>
      <c r="C864">
        <v>294.95999999999998</v>
      </c>
      <c r="D864">
        <v>294.95999999999998</v>
      </c>
      <c r="E864">
        <v>294.95999999999998</v>
      </c>
      <c r="F864" s="23">
        <f t="shared" si="13"/>
        <v>-3.3114820571738131E-3</v>
      </c>
    </row>
    <row r="865" spans="1:6" x14ac:dyDescent="0.35">
      <c r="A865" s="22">
        <v>45729</v>
      </c>
      <c r="B865">
        <v>294.25</v>
      </c>
      <c r="C865">
        <v>294.25</v>
      </c>
      <c r="D865">
        <v>294.25</v>
      </c>
      <c r="E865">
        <v>294.25</v>
      </c>
      <c r="F865" s="23">
        <f t="shared" si="13"/>
        <v>-2.4071060482776636E-3</v>
      </c>
    </row>
    <row r="866" spans="1:6" x14ac:dyDescent="0.35">
      <c r="A866" s="22">
        <v>45733</v>
      </c>
      <c r="B866">
        <v>296.67</v>
      </c>
      <c r="C866">
        <v>296.67</v>
      </c>
      <c r="D866">
        <v>296.67</v>
      </c>
      <c r="E866">
        <v>296.67</v>
      </c>
      <c r="F866" s="23">
        <f t="shared" si="13"/>
        <v>8.2242990654206143E-3</v>
      </c>
    </row>
    <row r="867" spans="1:6" x14ac:dyDescent="0.35">
      <c r="A867" s="22">
        <v>45734</v>
      </c>
      <c r="B867">
        <v>302.67</v>
      </c>
      <c r="C867">
        <v>302.67</v>
      </c>
      <c r="D867">
        <v>302.67</v>
      </c>
      <c r="E867">
        <v>302.67</v>
      </c>
      <c r="F867" s="23">
        <f t="shared" si="13"/>
        <v>2.0224491859642025E-2</v>
      </c>
    </row>
    <row r="868" spans="1:6" x14ac:dyDescent="0.35">
      <c r="A868" s="22">
        <v>45735</v>
      </c>
      <c r="B868">
        <v>305.54000000000002</v>
      </c>
      <c r="C868">
        <v>305.54000000000002</v>
      </c>
      <c r="D868">
        <v>305.54000000000002</v>
      </c>
      <c r="E868">
        <v>305.54000000000002</v>
      </c>
      <c r="F868" s="23">
        <f t="shared" si="13"/>
        <v>9.4822744242904957E-3</v>
      </c>
    </row>
    <row r="869" spans="1:6" x14ac:dyDescent="0.35">
      <c r="A869" s="22">
        <v>45736</v>
      </c>
      <c r="B869">
        <v>307.89999999999998</v>
      </c>
      <c r="C869">
        <v>307.89999999999998</v>
      </c>
      <c r="D869">
        <v>307.89999999999998</v>
      </c>
      <c r="E869">
        <v>307.89999999999998</v>
      </c>
      <c r="F869" s="23">
        <f t="shared" si="13"/>
        <v>7.7240295869606488E-3</v>
      </c>
    </row>
    <row r="870" spans="1:6" x14ac:dyDescent="0.35">
      <c r="A870" s="22">
        <v>45737</v>
      </c>
      <c r="B870">
        <v>310.52999999999997</v>
      </c>
      <c r="C870">
        <v>310.52999999999997</v>
      </c>
      <c r="D870">
        <v>310.52999999999997</v>
      </c>
      <c r="E870">
        <v>310.52999999999997</v>
      </c>
      <c r="F870" s="23">
        <f t="shared" si="13"/>
        <v>8.5417343293276889E-3</v>
      </c>
    </row>
    <row r="871" spans="1:6" x14ac:dyDescent="0.35">
      <c r="A871" s="22">
        <v>45740</v>
      </c>
      <c r="B871">
        <v>312.91000000000003</v>
      </c>
      <c r="C871">
        <v>312.91000000000003</v>
      </c>
      <c r="D871">
        <v>312.91000000000003</v>
      </c>
      <c r="E871">
        <v>312.91000000000003</v>
      </c>
      <c r="F871" s="23">
        <f t="shared" si="13"/>
        <v>7.664315847100288E-3</v>
      </c>
    </row>
    <row r="872" spans="1:6" x14ac:dyDescent="0.35">
      <c r="A872" s="22">
        <v>45741</v>
      </c>
      <c r="B872">
        <v>311.60000000000002</v>
      </c>
      <c r="C872">
        <v>311.60000000000002</v>
      </c>
      <c r="D872">
        <v>311.60000000000002</v>
      </c>
      <c r="E872">
        <v>311.60000000000002</v>
      </c>
      <c r="F872" s="23">
        <f t="shared" si="13"/>
        <v>-4.1865073024192328E-3</v>
      </c>
    </row>
    <row r="873" spans="1:6" x14ac:dyDescent="0.35">
      <c r="A873" s="22">
        <v>45742</v>
      </c>
      <c r="B873">
        <v>309.27999999999997</v>
      </c>
      <c r="C873">
        <v>309.27999999999997</v>
      </c>
      <c r="D873">
        <v>309.27999999999997</v>
      </c>
      <c r="E873">
        <v>309.27999999999997</v>
      </c>
      <c r="F873" s="23">
        <f t="shared" si="13"/>
        <v>-7.4454428754815467E-3</v>
      </c>
    </row>
    <row r="874" spans="1:6" x14ac:dyDescent="0.35">
      <c r="A874" s="22">
        <v>45743</v>
      </c>
      <c r="B874">
        <v>311.32</v>
      </c>
      <c r="C874">
        <v>311.32</v>
      </c>
      <c r="D874">
        <v>311.32</v>
      </c>
      <c r="E874">
        <v>311.32</v>
      </c>
      <c r="F874" s="23">
        <f t="shared" si="13"/>
        <v>6.5959648215210189E-3</v>
      </c>
    </row>
    <row r="875" spans="1:6" x14ac:dyDescent="0.35">
      <c r="A875" s="22">
        <v>45744</v>
      </c>
      <c r="B875">
        <v>309.79000000000002</v>
      </c>
      <c r="C875">
        <v>309.79000000000002</v>
      </c>
      <c r="D875">
        <v>309.79000000000002</v>
      </c>
      <c r="E875">
        <v>309.79000000000002</v>
      </c>
      <c r="F875" s="23">
        <f t="shared" si="13"/>
        <v>-4.9145573686238363E-3</v>
      </c>
    </row>
    <row r="876" spans="1:6" x14ac:dyDescent="0.35">
      <c r="A876" s="22">
        <v>45747</v>
      </c>
      <c r="B876">
        <v>309.76</v>
      </c>
      <c r="C876">
        <v>309.76</v>
      </c>
      <c r="D876">
        <v>309.76</v>
      </c>
      <c r="E876">
        <v>309.76</v>
      </c>
      <c r="F876" s="23">
        <f t="shared" si="13"/>
        <v>-9.6839794699730649E-5</v>
      </c>
    </row>
    <row r="877" spans="1:6" x14ac:dyDescent="0.35">
      <c r="A877" s="22">
        <v>45748</v>
      </c>
      <c r="B877">
        <v>305.14</v>
      </c>
      <c r="C877">
        <v>305.14</v>
      </c>
      <c r="D877">
        <v>305.14</v>
      </c>
      <c r="E877">
        <v>305.14</v>
      </c>
      <c r="F877" s="23">
        <f t="shared" si="13"/>
        <v>-1.4914772727272742E-2</v>
      </c>
    </row>
    <row r="878" spans="1:6" x14ac:dyDescent="0.35">
      <c r="A878" s="22">
        <v>45749</v>
      </c>
      <c r="B878">
        <v>308.07</v>
      </c>
      <c r="C878">
        <v>308.07</v>
      </c>
      <c r="D878">
        <v>308.07</v>
      </c>
      <c r="E878">
        <v>308.07</v>
      </c>
      <c r="F878" s="23">
        <f t="shared" si="13"/>
        <v>9.6021498328636261E-3</v>
      </c>
    </row>
    <row r="879" spans="1:6" x14ac:dyDescent="0.35">
      <c r="A879" s="22">
        <v>45750</v>
      </c>
      <c r="B879">
        <v>307.20999999999998</v>
      </c>
      <c r="C879">
        <v>307.20999999999998</v>
      </c>
      <c r="D879">
        <v>307.20999999999998</v>
      </c>
      <c r="E879">
        <v>307.20999999999998</v>
      </c>
      <c r="F879" s="23">
        <f t="shared" si="13"/>
        <v>-2.7915733437206274E-3</v>
      </c>
    </row>
    <row r="880" spans="1:6" x14ac:dyDescent="0.35">
      <c r="A880" s="22">
        <v>45751</v>
      </c>
      <c r="B880">
        <v>302.26</v>
      </c>
      <c r="C880">
        <v>302.26</v>
      </c>
      <c r="D880">
        <v>302.26</v>
      </c>
      <c r="E880">
        <v>302.26</v>
      </c>
      <c r="F880" s="23">
        <f t="shared" si="13"/>
        <v>-1.6112756746199632E-2</v>
      </c>
    </row>
    <row r="881" spans="1:6" x14ac:dyDescent="0.35">
      <c r="A881" s="22">
        <v>45754</v>
      </c>
      <c r="B881">
        <v>292.85000000000002</v>
      </c>
      <c r="C881">
        <v>292.85000000000002</v>
      </c>
      <c r="D881">
        <v>292.85000000000002</v>
      </c>
      <c r="E881">
        <v>292.85000000000002</v>
      </c>
      <c r="F881" s="23">
        <f t="shared" si="13"/>
        <v>-3.1132137894527786E-2</v>
      </c>
    </row>
    <row r="882" spans="1:6" x14ac:dyDescent="0.35">
      <c r="A882" s="22">
        <v>45755</v>
      </c>
      <c r="B882">
        <v>298.17</v>
      </c>
      <c r="C882">
        <v>298.17</v>
      </c>
      <c r="D882">
        <v>298.17</v>
      </c>
      <c r="E882">
        <v>298.17</v>
      </c>
      <c r="F882" s="23">
        <f t="shared" si="13"/>
        <v>1.8166296738944827E-2</v>
      </c>
    </row>
    <row r="883" spans="1:6" x14ac:dyDescent="0.35">
      <c r="A883" s="22">
        <v>45756</v>
      </c>
      <c r="B883">
        <v>296.79000000000002</v>
      </c>
      <c r="C883">
        <v>296.79000000000002</v>
      </c>
      <c r="D883">
        <v>296.79000000000002</v>
      </c>
      <c r="E883">
        <v>296.79000000000002</v>
      </c>
      <c r="F883" s="23">
        <f t="shared" si="13"/>
        <v>-4.6282322165207609E-3</v>
      </c>
    </row>
    <row r="884" spans="1:6" x14ac:dyDescent="0.35">
      <c r="A884" s="22">
        <v>45758</v>
      </c>
      <c r="B884">
        <v>301.91000000000003</v>
      </c>
      <c r="C884">
        <v>301.91000000000003</v>
      </c>
      <c r="D884">
        <v>301.91000000000003</v>
      </c>
      <c r="E884">
        <v>301.91000000000003</v>
      </c>
      <c r="F884" s="23">
        <f t="shared" si="13"/>
        <v>1.7251255096195978E-2</v>
      </c>
    </row>
    <row r="885" spans="1:6" x14ac:dyDescent="0.35">
      <c r="A885" s="22">
        <v>45762</v>
      </c>
      <c r="B885">
        <v>309.27</v>
      </c>
      <c r="C885">
        <v>309.27</v>
      </c>
      <c r="D885">
        <v>309.27</v>
      </c>
      <c r="E885">
        <v>309.27</v>
      </c>
      <c r="F885" s="23">
        <f t="shared" si="13"/>
        <v>2.4378125931568864E-2</v>
      </c>
    </row>
    <row r="886" spans="1:6" x14ac:dyDescent="0.35">
      <c r="A886" s="22">
        <v>45763</v>
      </c>
      <c r="B886">
        <v>310.58999999999997</v>
      </c>
      <c r="C886">
        <v>310.58999999999997</v>
      </c>
      <c r="D886">
        <v>310.58999999999997</v>
      </c>
      <c r="E886">
        <v>310.58999999999997</v>
      </c>
      <c r="F886" s="23">
        <f t="shared" si="13"/>
        <v>4.2681152391114341E-3</v>
      </c>
    </row>
    <row r="887" spans="1:6" x14ac:dyDescent="0.35">
      <c r="A887" s="22">
        <v>45764</v>
      </c>
      <c r="B887">
        <v>314.92</v>
      </c>
      <c r="C887">
        <v>314.92</v>
      </c>
      <c r="D887">
        <v>314.92</v>
      </c>
      <c r="E887">
        <v>314.92</v>
      </c>
      <c r="F887" s="23">
        <f t="shared" si="13"/>
        <v>1.3941208667375129E-2</v>
      </c>
    </row>
    <row r="888" spans="1:6" x14ac:dyDescent="0.35">
      <c r="A888" s="22">
        <v>45768</v>
      </c>
      <c r="B888">
        <v>319.39999999999998</v>
      </c>
      <c r="C888">
        <v>319.39999999999998</v>
      </c>
      <c r="D888">
        <v>319.39999999999998</v>
      </c>
      <c r="E888">
        <v>319.39999999999998</v>
      </c>
      <c r="F888" s="23">
        <f t="shared" si="13"/>
        <v>1.4225835132731998E-2</v>
      </c>
    </row>
    <row r="889" spans="1:6" x14ac:dyDescent="0.35">
      <c r="A889" s="22">
        <v>45769</v>
      </c>
      <c r="B889">
        <v>320.51</v>
      </c>
      <c r="C889">
        <v>320.51</v>
      </c>
      <c r="D889">
        <v>320.51</v>
      </c>
      <c r="E889">
        <v>320.51</v>
      </c>
      <c r="F889" s="23">
        <f t="shared" si="13"/>
        <v>3.4752661239825099E-3</v>
      </c>
    </row>
    <row r="890" spans="1:6" x14ac:dyDescent="0.35">
      <c r="A890" s="22">
        <v>45770</v>
      </c>
      <c r="B890">
        <v>322.64999999999998</v>
      </c>
      <c r="C890">
        <v>322.64999999999998</v>
      </c>
      <c r="D890">
        <v>322.64999999999998</v>
      </c>
      <c r="E890">
        <v>322.64999999999998</v>
      </c>
      <c r="F890" s="23">
        <f t="shared" si="13"/>
        <v>6.6768587563570134E-3</v>
      </c>
    </row>
    <row r="891" spans="1:6" x14ac:dyDescent="0.35">
      <c r="A891" s="22">
        <v>45771</v>
      </c>
      <c r="B891">
        <v>321.66000000000003</v>
      </c>
      <c r="C891">
        <v>321.66000000000003</v>
      </c>
      <c r="D891">
        <v>321.66000000000003</v>
      </c>
      <c r="E891">
        <v>321.66000000000003</v>
      </c>
      <c r="F891" s="23">
        <f t="shared" si="13"/>
        <v>-3.0683403068338831E-3</v>
      </c>
    </row>
    <row r="892" spans="1:6" x14ac:dyDescent="0.35">
      <c r="A892" s="22">
        <v>45772</v>
      </c>
      <c r="B892">
        <v>317.82</v>
      </c>
      <c r="C892">
        <v>317.82</v>
      </c>
      <c r="D892">
        <v>317.82</v>
      </c>
      <c r="E892">
        <v>317.82</v>
      </c>
      <c r="F892" s="23">
        <f t="shared" si="13"/>
        <v>-1.1938071255362904E-2</v>
      </c>
    </row>
    <row r="893" spans="1:6" x14ac:dyDescent="0.35">
      <c r="A893" s="22">
        <v>45775</v>
      </c>
      <c r="B893">
        <v>320.83999999999997</v>
      </c>
      <c r="C893">
        <v>320.83999999999997</v>
      </c>
      <c r="D893">
        <v>320.83999999999997</v>
      </c>
      <c r="E893">
        <v>320.83999999999997</v>
      </c>
      <c r="F893" s="23">
        <f t="shared" si="13"/>
        <v>9.5022339689131638E-3</v>
      </c>
    </row>
    <row r="894" spans="1:6" x14ac:dyDescent="0.35">
      <c r="A894" s="22">
        <v>45776</v>
      </c>
      <c r="B894">
        <v>321.31</v>
      </c>
      <c r="C894">
        <v>321.31</v>
      </c>
      <c r="D894">
        <v>321.31</v>
      </c>
      <c r="E894">
        <v>321.31</v>
      </c>
      <c r="F894" s="23">
        <f t="shared" si="13"/>
        <v>1.4649046253585193E-3</v>
      </c>
    </row>
    <row r="895" spans="1:6" x14ac:dyDescent="0.35">
      <c r="A895" s="22">
        <v>45777</v>
      </c>
      <c r="B895">
        <v>320.22000000000003</v>
      </c>
      <c r="C895">
        <v>320.22000000000003</v>
      </c>
      <c r="D895">
        <v>320.22000000000003</v>
      </c>
      <c r="E895">
        <v>320.22000000000003</v>
      </c>
      <c r="F895" s="23">
        <f t="shared" si="13"/>
        <v>-3.3923625159502503E-3</v>
      </c>
    </row>
    <row r="896" spans="1:6" x14ac:dyDescent="0.35">
      <c r="A896" s="22">
        <v>45779</v>
      </c>
      <c r="B896">
        <v>320.02999999999997</v>
      </c>
      <c r="C896">
        <v>320.02999999999997</v>
      </c>
      <c r="D896">
        <v>320.02999999999997</v>
      </c>
      <c r="E896">
        <v>320.02999999999997</v>
      </c>
      <c r="F896" s="23">
        <f t="shared" si="13"/>
        <v>-5.933420773220116E-4</v>
      </c>
    </row>
    <row r="897" spans="1:6" x14ac:dyDescent="0.35">
      <c r="A897" s="22">
        <v>45782</v>
      </c>
      <c r="B897">
        <v>323.27999999999997</v>
      </c>
      <c r="C897">
        <v>323.27999999999997</v>
      </c>
      <c r="D897">
        <v>323.27999999999997</v>
      </c>
      <c r="E897">
        <v>323.27999999999997</v>
      </c>
      <c r="F897" s="23">
        <f t="shared" si="13"/>
        <v>1.0155297940818049E-2</v>
      </c>
    </row>
    <row r="898" spans="1:6" x14ac:dyDescent="0.35">
      <c r="A898" s="22">
        <v>45783</v>
      </c>
      <c r="B898">
        <v>319.55</v>
      </c>
      <c r="C898">
        <v>319.55</v>
      </c>
      <c r="D898">
        <v>319.55</v>
      </c>
      <c r="E898">
        <v>319.55</v>
      </c>
      <c r="F898" s="23">
        <f t="shared" si="13"/>
        <v>-1.1537985647116932E-2</v>
      </c>
    </row>
    <row r="899" spans="1:6" x14ac:dyDescent="0.35">
      <c r="A899" s="22">
        <v>45784</v>
      </c>
      <c r="B899">
        <v>321.52999999999997</v>
      </c>
      <c r="C899">
        <v>321.52999999999997</v>
      </c>
      <c r="D899">
        <v>321.52999999999997</v>
      </c>
      <c r="E899">
        <v>321.52999999999997</v>
      </c>
      <c r="F899" s="23">
        <f t="shared" ref="F899:F962" si="14">(B899-B898)/B898</f>
        <v>6.1962134251289666E-3</v>
      </c>
    </row>
    <row r="900" spans="1:6" x14ac:dyDescent="0.35">
      <c r="A900" s="22">
        <v>45785</v>
      </c>
      <c r="B900">
        <v>318.27999999999997</v>
      </c>
      <c r="C900">
        <v>318.27999999999997</v>
      </c>
      <c r="D900">
        <v>318.27999999999997</v>
      </c>
      <c r="E900">
        <v>318.27999999999997</v>
      </c>
      <c r="F900" s="23">
        <f t="shared" si="14"/>
        <v>-1.0107921500326564E-2</v>
      </c>
    </row>
    <row r="901" spans="1:6" x14ac:dyDescent="0.35">
      <c r="A901" s="22">
        <v>45786</v>
      </c>
      <c r="B901">
        <v>315.5</v>
      </c>
      <c r="C901">
        <v>315.5</v>
      </c>
      <c r="D901">
        <v>315.5</v>
      </c>
      <c r="E901">
        <v>315.5</v>
      </c>
      <c r="F901" s="23">
        <f t="shared" si="14"/>
        <v>-8.7344476561517313E-3</v>
      </c>
    </row>
    <row r="902" spans="1:6" x14ac:dyDescent="0.35">
      <c r="A902" s="22">
        <v>45789</v>
      </c>
      <c r="B902">
        <v>327.07</v>
      </c>
      <c r="C902">
        <v>327.07</v>
      </c>
      <c r="D902">
        <v>327.07</v>
      </c>
      <c r="E902">
        <v>327.07</v>
      </c>
      <c r="F902" s="23">
        <f t="shared" si="14"/>
        <v>3.6671949286846257E-2</v>
      </c>
    </row>
    <row r="903" spans="1:6" x14ac:dyDescent="0.35">
      <c r="A903" s="22">
        <v>45790</v>
      </c>
      <c r="B903">
        <v>324.49</v>
      </c>
      <c r="C903">
        <v>324.49</v>
      </c>
      <c r="D903">
        <v>324.49</v>
      </c>
      <c r="E903">
        <v>324.49</v>
      </c>
      <c r="F903" s="23">
        <f t="shared" si="14"/>
        <v>-7.8882196471702828E-3</v>
      </c>
    </row>
    <row r="904" spans="1:6" x14ac:dyDescent="0.35">
      <c r="A904" s="22">
        <v>45791</v>
      </c>
      <c r="B904">
        <v>326.86</v>
      </c>
      <c r="C904">
        <v>326.86</v>
      </c>
      <c r="D904">
        <v>326.86</v>
      </c>
      <c r="E904">
        <v>326.86</v>
      </c>
      <c r="F904" s="23">
        <f t="shared" si="14"/>
        <v>7.3037689913402707E-3</v>
      </c>
    </row>
    <row r="905" spans="1:6" x14ac:dyDescent="0.35">
      <c r="A905" s="22">
        <v>45792</v>
      </c>
      <c r="B905">
        <v>331.19</v>
      </c>
      <c r="C905">
        <v>331.19</v>
      </c>
      <c r="D905">
        <v>331.19</v>
      </c>
      <c r="E905">
        <v>331.19</v>
      </c>
      <c r="F905" s="23">
        <f t="shared" si="14"/>
        <v>1.324726182463435E-2</v>
      </c>
    </row>
    <row r="906" spans="1:6" x14ac:dyDescent="0.35">
      <c r="A906" s="22">
        <v>45793</v>
      </c>
      <c r="B906">
        <v>332.4</v>
      </c>
      <c r="C906">
        <v>332.4</v>
      </c>
      <c r="D906">
        <v>332.4</v>
      </c>
      <c r="E906">
        <v>332.4</v>
      </c>
      <c r="F906" s="23">
        <f t="shared" si="14"/>
        <v>3.6534919532593964E-3</v>
      </c>
    </row>
    <row r="907" spans="1:6" x14ac:dyDescent="0.35">
      <c r="A907" s="22">
        <v>45796</v>
      </c>
      <c r="B907">
        <v>332.25</v>
      </c>
      <c r="C907">
        <v>332.25</v>
      </c>
      <c r="D907">
        <v>332.25</v>
      </c>
      <c r="E907">
        <v>332.25</v>
      </c>
      <c r="F907" s="23">
        <f t="shared" si="14"/>
        <v>-4.5126353790606879E-4</v>
      </c>
    </row>
    <row r="908" spans="1:6" x14ac:dyDescent="0.35">
      <c r="A908" s="22">
        <v>45797</v>
      </c>
      <c r="B908">
        <v>327.81</v>
      </c>
      <c r="C908">
        <v>327.81</v>
      </c>
      <c r="D908">
        <v>327.81</v>
      </c>
      <c r="E908">
        <v>327.81</v>
      </c>
      <c r="F908" s="23">
        <f t="shared" si="14"/>
        <v>-1.3363431151241528E-2</v>
      </c>
    </row>
    <row r="909" spans="1:6" x14ac:dyDescent="0.35">
      <c r="A909" s="22">
        <v>45798</v>
      </c>
      <c r="B909">
        <v>330.28</v>
      </c>
      <c r="C909">
        <v>330.28</v>
      </c>
      <c r="D909">
        <v>330.28</v>
      </c>
      <c r="E909">
        <v>330.28</v>
      </c>
      <c r="F909" s="23">
        <f t="shared" si="14"/>
        <v>7.5348525060247411E-3</v>
      </c>
    </row>
    <row r="910" spans="1:6" x14ac:dyDescent="0.35">
      <c r="A910" s="22">
        <v>45799</v>
      </c>
      <c r="B910">
        <v>328.64</v>
      </c>
      <c r="C910">
        <v>328.64</v>
      </c>
      <c r="D910">
        <v>328.64</v>
      </c>
      <c r="E910">
        <v>328.64</v>
      </c>
      <c r="F910" s="23">
        <f t="shared" si="14"/>
        <v>-4.9654838319001648E-3</v>
      </c>
    </row>
    <row r="911" spans="1:6" x14ac:dyDescent="0.35">
      <c r="A911" s="22">
        <v>45800</v>
      </c>
      <c r="B911">
        <v>330.88</v>
      </c>
      <c r="C911">
        <v>330.88</v>
      </c>
      <c r="D911">
        <v>330.88</v>
      </c>
      <c r="E911">
        <v>330.88</v>
      </c>
      <c r="F911" s="23">
        <f t="shared" si="14"/>
        <v>6.8159688412853248E-3</v>
      </c>
    </row>
    <row r="912" spans="1:6" x14ac:dyDescent="0.35">
      <c r="A912" s="22">
        <v>45803</v>
      </c>
      <c r="B912">
        <v>332.72</v>
      </c>
      <c r="C912">
        <v>332.72</v>
      </c>
      <c r="D912">
        <v>332.72</v>
      </c>
      <c r="E912">
        <v>332.72</v>
      </c>
      <c r="F912" s="23">
        <f t="shared" si="14"/>
        <v>5.5609284332689551E-3</v>
      </c>
    </row>
    <row r="913" spans="1:6" x14ac:dyDescent="0.35">
      <c r="A913" s="22">
        <v>45804</v>
      </c>
      <c r="B913">
        <v>331.84</v>
      </c>
      <c r="C913">
        <v>331.84</v>
      </c>
      <c r="D913">
        <v>332.72</v>
      </c>
      <c r="E913">
        <v>331.84</v>
      </c>
      <c r="F913" s="23">
        <f t="shared" si="14"/>
        <v>-2.6448665544603635E-3</v>
      </c>
    </row>
    <row r="914" spans="1:6" x14ac:dyDescent="0.35">
      <c r="A914" s="22">
        <v>45805</v>
      </c>
      <c r="B914">
        <v>331.55</v>
      </c>
      <c r="C914">
        <v>331.55</v>
      </c>
      <c r="D914">
        <v>331.55</v>
      </c>
      <c r="E914">
        <v>331.55</v>
      </c>
      <c r="F914" s="23">
        <f t="shared" si="14"/>
        <v>-8.7391513982631281E-4</v>
      </c>
    </row>
    <row r="915" spans="1:6" x14ac:dyDescent="0.35">
      <c r="A915" s="22">
        <v>45806</v>
      </c>
      <c r="B915">
        <v>332.98</v>
      </c>
      <c r="C915">
        <v>332.98</v>
      </c>
      <c r="D915">
        <v>332.98</v>
      </c>
      <c r="E915">
        <v>332.98</v>
      </c>
      <c r="F915" s="23">
        <f t="shared" si="14"/>
        <v>4.3130749509878051E-3</v>
      </c>
    </row>
    <row r="916" spans="1:6" x14ac:dyDescent="0.35">
      <c r="A916" s="22">
        <v>45807</v>
      </c>
      <c r="B916">
        <v>332.45</v>
      </c>
      <c r="C916">
        <v>332.45</v>
      </c>
      <c r="D916">
        <v>332.45</v>
      </c>
      <c r="E916">
        <v>332.45</v>
      </c>
      <c r="F916" s="23">
        <f t="shared" si="14"/>
        <v>-1.5916871884198137E-3</v>
      </c>
    </row>
    <row r="917" spans="1:6" x14ac:dyDescent="0.35">
      <c r="A917" s="22">
        <v>45810</v>
      </c>
      <c r="B917">
        <v>332.7</v>
      </c>
      <c r="C917">
        <v>332.7</v>
      </c>
      <c r="D917">
        <v>332.7</v>
      </c>
      <c r="E917">
        <v>332.7</v>
      </c>
      <c r="F917" s="23">
        <f t="shared" si="14"/>
        <v>7.5199278086930373E-4</v>
      </c>
    </row>
    <row r="918" spans="1:6" x14ac:dyDescent="0.35">
      <c r="A918" s="22">
        <v>45811</v>
      </c>
      <c r="B918">
        <v>331.01</v>
      </c>
      <c r="C918">
        <v>331.01</v>
      </c>
      <c r="D918">
        <v>331.01</v>
      </c>
      <c r="E918">
        <v>331.01</v>
      </c>
      <c r="F918" s="23">
        <f t="shared" si="14"/>
        <v>-5.0796513375413223E-3</v>
      </c>
    </row>
    <row r="919" spans="1:6" x14ac:dyDescent="0.35">
      <c r="A919" s="22">
        <v>45812</v>
      </c>
      <c r="B919">
        <v>332.51</v>
      </c>
      <c r="C919">
        <v>332.51</v>
      </c>
      <c r="D919">
        <v>332.51</v>
      </c>
      <c r="E919">
        <v>332.51</v>
      </c>
      <c r="F919" s="23">
        <f t="shared" si="14"/>
        <v>4.5315851484849399E-3</v>
      </c>
    </row>
    <row r="920" spans="1:6" x14ac:dyDescent="0.35">
      <c r="A920" s="22">
        <v>45813</v>
      </c>
      <c r="B920">
        <v>334.76</v>
      </c>
      <c r="C920">
        <v>334.76</v>
      </c>
      <c r="D920">
        <v>334.76</v>
      </c>
      <c r="E920">
        <v>334.76</v>
      </c>
      <c r="F920" s="23">
        <f t="shared" si="14"/>
        <v>6.7667137830441189E-3</v>
      </c>
    </row>
    <row r="921" spans="1:6" x14ac:dyDescent="0.35">
      <c r="A921" s="22">
        <v>45814</v>
      </c>
      <c r="B921">
        <v>338.19</v>
      </c>
      <c r="C921">
        <v>338.19</v>
      </c>
      <c r="D921">
        <v>338.19</v>
      </c>
      <c r="E921">
        <v>338.19</v>
      </c>
      <c r="F921" s="23">
        <f t="shared" si="14"/>
        <v>1.0246146493009938E-2</v>
      </c>
    </row>
    <row r="922" spans="1:6" x14ac:dyDescent="0.35">
      <c r="A922" s="22">
        <v>45817</v>
      </c>
      <c r="B922">
        <v>339.8</v>
      </c>
      <c r="C922">
        <v>339.8</v>
      </c>
      <c r="D922">
        <v>339.8</v>
      </c>
      <c r="E922">
        <v>339.8</v>
      </c>
      <c r="F922" s="23">
        <f t="shared" si="14"/>
        <v>4.7606375114580962E-3</v>
      </c>
    </row>
    <row r="923" spans="1:6" x14ac:dyDescent="0.35">
      <c r="A923" s="22">
        <v>45818</v>
      </c>
      <c r="B923">
        <v>339.26</v>
      </c>
      <c r="C923">
        <v>339.26</v>
      </c>
      <c r="D923">
        <v>339.26</v>
      </c>
      <c r="E923">
        <v>339.26</v>
      </c>
      <c r="F923" s="23">
        <f t="shared" si="14"/>
        <v>-1.5891701000589184E-3</v>
      </c>
    </row>
    <row r="924" spans="1:6" x14ac:dyDescent="0.35">
      <c r="A924" s="22">
        <v>45819</v>
      </c>
      <c r="B924">
        <v>339.99</v>
      </c>
      <c r="C924">
        <v>339.99</v>
      </c>
      <c r="D924">
        <v>339.99</v>
      </c>
      <c r="E924">
        <v>339.99</v>
      </c>
      <c r="F924" s="23">
        <f t="shared" si="14"/>
        <v>2.1517420267641875E-3</v>
      </c>
    </row>
    <row r="925" spans="1:6" x14ac:dyDescent="0.35">
      <c r="A925" s="22">
        <v>45820</v>
      </c>
      <c r="B925">
        <v>336.05</v>
      </c>
      <c r="C925">
        <v>336.05</v>
      </c>
      <c r="D925">
        <v>336.05</v>
      </c>
      <c r="E925">
        <v>336.05</v>
      </c>
      <c r="F925" s="23">
        <f t="shared" si="14"/>
        <v>-1.1588576134592186E-2</v>
      </c>
    </row>
    <row r="926" spans="1:6" x14ac:dyDescent="0.35">
      <c r="A926" s="22">
        <v>45821</v>
      </c>
      <c r="B926">
        <v>334.36</v>
      </c>
      <c r="C926">
        <v>334.36</v>
      </c>
      <c r="D926">
        <v>334.36</v>
      </c>
      <c r="E926">
        <v>334.36</v>
      </c>
      <c r="F926" s="23">
        <f t="shared" si="14"/>
        <v>-5.0290135396518307E-3</v>
      </c>
    </row>
    <row r="927" spans="1:6" x14ac:dyDescent="0.35">
      <c r="A927" s="22">
        <v>45824</v>
      </c>
      <c r="B927">
        <v>337.27</v>
      </c>
      <c r="C927">
        <v>337.27</v>
      </c>
      <c r="D927">
        <v>337.27</v>
      </c>
      <c r="E927">
        <v>337.27</v>
      </c>
      <c r="F927" s="23">
        <f t="shared" si="14"/>
        <v>8.7031941619810024E-3</v>
      </c>
    </row>
    <row r="928" spans="1:6" x14ac:dyDescent="0.35">
      <c r="A928" s="22">
        <v>45825</v>
      </c>
      <c r="B928">
        <v>336.22</v>
      </c>
      <c r="C928">
        <v>336.22</v>
      </c>
      <c r="D928">
        <v>336.22</v>
      </c>
      <c r="E928">
        <v>336.22</v>
      </c>
      <c r="F928" s="23">
        <f t="shared" si="14"/>
        <v>-3.1132327215582607E-3</v>
      </c>
    </row>
    <row r="929" spans="1:6" x14ac:dyDescent="0.35">
      <c r="A929" s="22">
        <v>45826</v>
      </c>
      <c r="B929">
        <v>335.86</v>
      </c>
      <c r="C929">
        <v>335.86</v>
      </c>
      <c r="D929">
        <v>335.86</v>
      </c>
      <c r="E929">
        <v>335.86</v>
      </c>
      <c r="F929" s="23">
        <f t="shared" si="14"/>
        <v>-1.0707274998513283E-3</v>
      </c>
    </row>
    <row r="930" spans="1:6" x14ac:dyDescent="0.35">
      <c r="A930" s="22">
        <v>45827</v>
      </c>
      <c r="B930">
        <v>334.01</v>
      </c>
      <c r="C930">
        <v>334.01</v>
      </c>
      <c r="D930">
        <v>334.01</v>
      </c>
      <c r="E930">
        <v>334.01</v>
      </c>
      <c r="F930" s="23">
        <f t="shared" si="14"/>
        <v>-5.5082474840708112E-3</v>
      </c>
    </row>
    <row r="931" spans="1:6" x14ac:dyDescent="0.35">
      <c r="A931" s="22">
        <v>45828</v>
      </c>
      <c r="B931">
        <v>338.56</v>
      </c>
      <c r="C931">
        <v>338.56</v>
      </c>
      <c r="D931">
        <v>338.56</v>
      </c>
      <c r="E931">
        <v>338.56</v>
      </c>
      <c r="F931" s="23">
        <f t="shared" si="14"/>
        <v>1.3622346636328287E-2</v>
      </c>
    </row>
    <row r="932" spans="1:6" x14ac:dyDescent="0.35">
      <c r="A932" s="22">
        <v>45831</v>
      </c>
      <c r="B932">
        <v>337.92</v>
      </c>
      <c r="C932">
        <v>337.92</v>
      </c>
      <c r="D932">
        <v>337.92</v>
      </c>
      <c r="E932">
        <v>337.92</v>
      </c>
      <c r="F932" s="23">
        <f t="shared" si="14"/>
        <v>-1.8903591682419257E-3</v>
      </c>
    </row>
    <row r="933" spans="1:6" x14ac:dyDescent="0.35">
      <c r="A933" s="22">
        <v>45832</v>
      </c>
      <c r="B933">
        <v>339.42</v>
      </c>
      <c r="C933">
        <v>339.42</v>
      </c>
      <c r="D933">
        <v>339.42</v>
      </c>
      <c r="E933">
        <v>339.42</v>
      </c>
      <c r="F933" s="23">
        <f t="shared" si="14"/>
        <v>4.4389204545454541E-3</v>
      </c>
    </row>
    <row r="934" spans="1:6" x14ac:dyDescent="0.35">
      <c r="A934" s="22">
        <v>45833</v>
      </c>
      <c r="B934">
        <v>342.33</v>
      </c>
      <c r="C934">
        <v>342.33</v>
      </c>
      <c r="D934">
        <v>342.33</v>
      </c>
      <c r="E934">
        <v>342.33</v>
      </c>
      <c r="F934" s="23">
        <f t="shared" si="14"/>
        <v>8.5734488244651706E-3</v>
      </c>
    </row>
    <row r="935" spans="1:6" x14ac:dyDescent="0.35">
      <c r="A935" s="22">
        <v>45834</v>
      </c>
      <c r="B935">
        <v>345.03</v>
      </c>
      <c r="C935">
        <v>345.03</v>
      </c>
      <c r="D935">
        <v>345.03</v>
      </c>
      <c r="E935">
        <v>345.03</v>
      </c>
      <c r="F935" s="23">
        <f t="shared" si="14"/>
        <v>7.8871264569274936E-3</v>
      </c>
    </row>
    <row r="936" spans="1:6" x14ac:dyDescent="0.35">
      <c r="A936" s="22">
        <v>45835</v>
      </c>
      <c r="B936">
        <v>346.66</v>
      </c>
      <c r="C936">
        <v>346.66</v>
      </c>
      <c r="D936">
        <v>346.66</v>
      </c>
      <c r="E936">
        <v>346.66</v>
      </c>
      <c r="F936" s="23">
        <f t="shared" si="14"/>
        <v>4.7242268788222829E-3</v>
      </c>
    </row>
    <row r="937" spans="1:6" x14ac:dyDescent="0.35">
      <c r="A937" s="22">
        <v>45838</v>
      </c>
      <c r="B937">
        <v>345.93</v>
      </c>
      <c r="C937">
        <v>345.93</v>
      </c>
      <c r="D937">
        <v>345.93</v>
      </c>
      <c r="E937">
        <v>345.93</v>
      </c>
      <c r="F937" s="23">
        <f t="shared" si="14"/>
        <v>-2.1058097271101891E-3</v>
      </c>
    </row>
    <row r="938" spans="1:6" x14ac:dyDescent="0.35">
      <c r="A938" s="22">
        <v>45839</v>
      </c>
      <c r="B938">
        <v>345.33</v>
      </c>
      <c r="C938">
        <v>345.33</v>
      </c>
      <c r="D938">
        <v>345.33</v>
      </c>
      <c r="E938">
        <v>345.33</v>
      </c>
      <c r="F938" s="23">
        <f t="shared" si="14"/>
        <v>-1.7344549475328036E-3</v>
      </c>
    </row>
    <row r="939" spans="1:6" x14ac:dyDescent="0.35">
      <c r="A939" s="22">
        <v>45840</v>
      </c>
      <c r="B939">
        <v>344.35</v>
      </c>
      <c r="C939">
        <v>344.35</v>
      </c>
      <c r="D939">
        <v>344.35</v>
      </c>
      <c r="E939">
        <v>344.35</v>
      </c>
      <c r="F939" s="23">
        <f t="shared" si="14"/>
        <v>-2.8378652303592544E-3</v>
      </c>
    </row>
    <row r="940" spans="1:6" x14ac:dyDescent="0.35">
      <c r="A940" s="22">
        <v>45841</v>
      </c>
      <c r="B940">
        <v>343.71</v>
      </c>
      <c r="C940">
        <v>343.71</v>
      </c>
      <c r="D940">
        <v>343.71</v>
      </c>
      <c r="E940">
        <v>343.71</v>
      </c>
      <c r="F940" s="23">
        <f t="shared" si="14"/>
        <v>-1.8585741251634766E-3</v>
      </c>
    </row>
    <row r="941" spans="1:6" x14ac:dyDescent="0.35">
      <c r="A941" s="22">
        <v>45842</v>
      </c>
      <c r="B941">
        <v>344.07</v>
      </c>
      <c r="C941">
        <v>344.07</v>
      </c>
      <c r="D941">
        <v>344.07</v>
      </c>
      <c r="E941">
        <v>344.07</v>
      </c>
      <c r="F941" s="23">
        <f t="shared" si="14"/>
        <v>1.0473946059178193E-3</v>
      </c>
    </row>
    <row r="942" spans="1:6" x14ac:dyDescent="0.35">
      <c r="A942" s="22">
        <v>45845</v>
      </c>
      <c r="B942">
        <v>343.65</v>
      </c>
      <c r="C942">
        <v>343.65</v>
      </c>
      <c r="D942">
        <v>343.65</v>
      </c>
      <c r="E942">
        <v>343.65</v>
      </c>
      <c r="F942" s="23">
        <f t="shared" si="14"/>
        <v>-1.2206818379981281E-3</v>
      </c>
    </row>
    <row r="943" spans="1:6" x14ac:dyDescent="0.35">
      <c r="A943" s="22">
        <v>45846</v>
      </c>
      <c r="B943">
        <v>344.47</v>
      </c>
      <c r="C943">
        <v>344.47</v>
      </c>
      <c r="D943">
        <v>344.47</v>
      </c>
      <c r="E943">
        <v>344.47</v>
      </c>
      <c r="F943" s="23">
        <f t="shared" si="14"/>
        <v>2.3861486978031428E-3</v>
      </c>
    </row>
    <row r="944" spans="1:6" x14ac:dyDescent="0.35">
      <c r="A944" s="22">
        <v>45847</v>
      </c>
      <c r="B944">
        <v>344.54</v>
      </c>
      <c r="C944">
        <v>344.54</v>
      </c>
      <c r="D944">
        <v>344.54</v>
      </c>
      <c r="E944">
        <v>344.54</v>
      </c>
      <c r="F944" s="23">
        <f t="shared" si="14"/>
        <v>2.0321072952649919E-4</v>
      </c>
    </row>
    <row r="945" spans="1:6" x14ac:dyDescent="0.35">
      <c r="A945" s="22">
        <v>45848</v>
      </c>
      <c r="B945">
        <v>343.17</v>
      </c>
      <c r="C945">
        <v>343.17</v>
      </c>
      <c r="D945">
        <v>343.17</v>
      </c>
      <c r="E945">
        <v>343.17</v>
      </c>
      <c r="F945" s="23">
        <f t="shared" si="14"/>
        <v>-3.9763162477506366E-3</v>
      </c>
    </row>
    <row r="946" spans="1:6" x14ac:dyDescent="0.35">
      <c r="A946" s="22">
        <v>45849</v>
      </c>
      <c r="B946">
        <v>340.34</v>
      </c>
      <c r="C946">
        <v>340.34</v>
      </c>
      <c r="D946">
        <v>340.34</v>
      </c>
      <c r="E946">
        <v>340.34</v>
      </c>
      <c r="F946" s="23">
        <f t="shared" si="14"/>
        <v>-8.2466416062011265E-3</v>
      </c>
    </row>
    <row r="947" spans="1:6" x14ac:dyDescent="0.35">
      <c r="A947" s="22">
        <v>45852</v>
      </c>
      <c r="B947">
        <v>340.75</v>
      </c>
      <c r="C947">
        <v>340.75</v>
      </c>
      <c r="D947">
        <v>340.75</v>
      </c>
      <c r="E947">
        <v>340.75</v>
      </c>
      <c r="F947" s="23">
        <f t="shared" si="14"/>
        <v>1.2046776752659841E-3</v>
      </c>
    </row>
    <row r="948" spans="1:6" x14ac:dyDescent="0.35">
      <c r="A948" s="22">
        <v>45853</v>
      </c>
      <c r="B948">
        <v>343.03</v>
      </c>
      <c r="C948">
        <v>343.03</v>
      </c>
      <c r="D948">
        <v>343.03</v>
      </c>
      <c r="E948">
        <v>343.03</v>
      </c>
      <c r="F948" s="23">
        <f t="shared" si="14"/>
        <v>6.6911225238443809E-3</v>
      </c>
    </row>
    <row r="949" spans="1:6" x14ac:dyDescent="0.35">
      <c r="A949" s="22">
        <v>45854</v>
      </c>
      <c r="B949">
        <v>343.55</v>
      </c>
      <c r="C949">
        <v>343.55</v>
      </c>
      <c r="D949">
        <v>343.55</v>
      </c>
      <c r="E949">
        <v>343.55</v>
      </c>
      <c r="F949" s="23">
        <f t="shared" si="14"/>
        <v>1.5159023992071792E-3</v>
      </c>
    </row>
    <row r="950" spans="1:6" x14ac:dyDescent="0.35">
      <c r="A950" s="22">
        <v>45855</v>
      </c>
      <c r="B950">
        <v>342.82</v>
      </c>
      <c r="C950">
        <v>342.82</v>
      </c>
      <c r="D950">
        <v>342.82</v>
      </c>
      <c r="E950">
        <v>342.82</v>
      </c>
      <c r="F950" s="23">
        <f t="shared" si="14"/>
        <v>-2.124872653180085E-3</v>
      </c>
    </row>
    <row r="951" spans="1:6" x14ac:dyDescent="0.35">
      <c r="A951" s="22">
        <v>45856</v>
      </c>
      <c r="B951">
        <v>340.71</v>
      </c>
      <c r="C951">
        <v>340.71</v>
      </c>
      <c r="D951">
        <v>340.71</v>
      </c>
      <c r="E951">
        <v>340.71</v>
      </c>
      <c r="F951" s="23">
        <f t="shared" si="14"/>
        <v>-6.1548334402894049E-3</v>
      </c>
    </row>
    <row r="952" spans="1:6" x14ac:dyDescent="0.35">
      <c r="A952" s="22">
        <v>45859</v>
      </c>
      <c r="B952">
        <v>342.77</v>
      </c>
      <c r="C952">
        <v>342.77</v>
      </c>
      <c r="D952">
        <v>342.77</v>
      </c>
      <c r="E952">
        <v>342.77</v>
      </c>
      <c r="F952" s="23">
        <f t="shared" si="14"/>
        <v>6.0461976460919912E-3</v>
      </c>
    </row>
    <row r="953" spans="1:6" x14ac:dyDescent="0.35">
      <c r="A953" s="22">
        <v>45860</v>
      </c>
      <c r="B953">
        <v>343.07</v>
      </c>
      <c r="C953">
        <v>343.07</v>
      </c>
      <c r="D953">
        <v>343.07</v>
      </c>
      <c r="E953">
        <v>343.07</v>
      </c>
      <c r="F953" s="23">
        <f t="shared" si="14"/>
        <v>8.7522245237334477E-4</v>
      </c>
    </row>
    <row r="954" spans="1:6" x14ac:dyDescent="0.35">
      <c r="A954" s="22">
        <v>45861</v>
      </c>
      <c r="B954">
        <v>344.54</v>
      </c>
      <c r="C954">
        <v>344.54</v>
      </c>
      <c r="D954">
        <v>344.54</v>
      </c>
      <c r="E954">
        <v>344.54</v>
      </c>
      <c r="F954" s="23">
        <f t="shared" si="14"/>
        <v>4.2848398286064867E-3</v>
      </c>
    </row>
    <row r="955" spans="1:6" x14ac:dyDescent="0.35">
      <c r="A955" s="22">
        <v>45862</v>
      </c>
      <c r="B955">
        <v>343.22</v>
      </c>
      <c r="C955">
        <v>343.22</v>
      </c>
      <c r="D955">
        <v>343.22</v>
      </c>
      <c r="E955">
        <v>343.22</v>
      </c>
      <c r="F955" s="23">
        <f t="shared" si="14"/>
        <v>-3.8311952168108001E-3</v>
      </c>
    </row>
    <row r="956" spans="1:6" x14ac:dyDescent="0.35">
      <c r="A956" s="22">
        <v>45863</v>
      </c>
      <c r="B956">
        <v>339.82</v>
      </c>
      <c r="C956">
        <v>339.82</v>
      </c>
      <c r="D956">
        <v>339.82</v>
      </c>
      <c r="E956">
        <v>339.82</v>
      </c>
      <c r="F956" s="23">
        <f t="shared" si="14"/>
        <v>-9.906182623390344E-3</v>
      </c>
    </row>
    <row r="957" spans="1:6" x14ac:dyDescent="0.35">
      <c r="A957" s="22">
        <v>45866</v>
      </c>
      <c r="B957">
        <v>337.48</v>
      </c>
      <c r="C957">
        <v>337.48</v>
      </c>
      <c r="D957">
        <v>337.48</v>
      </c>
      <c r="E957">
        <v>337.48</v>
      </c>
      <c r="F957" s="23">
        <f t="shared" si="14"/>
        <v>-6.8859984697780445E-3</v>
      </c>
    </row>
    <row r="958" spans="1:6" x14ac:dyDescent="0.35">
      <c r="A958" s="22">
        <v>45867</v>
      </c>
      <c r="B958">
        <v>339.58</v>
      </c>
      <c r="C958">
        <v>339.58</v>
      </c>
      <c r="D958">
        <v>339.58</v>
      </c>
      <c r="E958">
        <v>339.58</v>
      </c>
      <c r="F958" s="23">
        <f t="shared" si="14"/>
        <v>6.2225909683535788E-3</v>
      </c>
    </row>
    <row r="959" spans="1:6" x14ac:dyDescent="0.35">
      <c r="A959" s="22">
        <v>45868</v>
      </c>
      <c r="B959">
        <v>341.04</v>
      </c>
      <c r="C959">
        <v>341.04</v>
      </c>
      <c r="D959">
        <v>341.04</v>
      </c>
      <c r="E959">
        <v>341.04</v>
      </c>
      <c r="F959" s="23">
        <f t="shared" si="14"/>
        <v>4.299428706048756E-3</v>
      </c>
    </row>
    <row r="960" spans="1:6" x14ac:dyDescent="0.35">
      <c r="A960" s="22">
        <v>45869</v>
      </c>
      <c r="B960">
        <v>339.74</v>
      </c>
      <c r="C960">
        <v>339.74</v>
      </c>
      <c r="D960">
        <v>339.74</v>
      </c>
      <c r="E960">
        <v>339.74</v>
      </c>
      <c r="F960" s="23">
        <f t="shared" si="14"/>
        <v>-3.8118695754164066E-3</v>
      </c>
    </row>
    <row r="961" spans="1:6" x14ac:dyDescent="0.35">
      <c r="A961" s="22">
        <v>45870</v>
      </c>
      <c r="B961">
        <v>337.45</v>
      </c>
      <c r="C961">
        <v>337.45</v>
      </c>
      <c r="D961">
        <v>337.45</v>
      </c>
      <c r="E961">
        <v>337.45</v>
      </c>
      <c r="F961" s="23">
        <f t="shared" si="14"/>
        <v>-6.7404485783246612E-3</v>
      </c>
    </row>
    <row r="962" spans="1:6" x14ac:dyDescent="0.35">
      <c r="A962" s="22">
        <v>45873</v>
      </c>
      <c r="B962">
        <v>339.54</v>
      </c>
      <c r="C962">
        <v>339.54</v>
      </c>
      <c r="D962">
        <v>339.54</v>
      </c>
      <c r="E962">
        <v>339.54</v>
      </c>
      <c r="F962" s="23">
        <f t="shared" si="14"/>
        <v>6.1935101496518952E-3</v>
      </c>
    </row>
    <row r="963" spans="1:6" x14ac:dyDescent="0.35">
      <c r="A963" s="22">
        <v>45874</v>
      </c>
      <c r="B963">
        <v>339.26</v>
      </c>
      <c r="C963">
        <v>339.26</v>
      </c>
      <c r="D963">
        <v>339.26</v>
      </c>
      <c r="E963">
        <v>339.26</v>
      </c>
      <c r="F963" s="23">
        <f t="shared" ref="F963:F1026" si="15">(B963-B962)/B962</f>
        <v>-8.2464510808749939E-4</v>
      </c>
    </row>
    <row r="964" spans="1:6" x14ac:dyDescent="0.35">
      <c r="A964" s="22">
        <v>45875</v>
      </c>
      <c r="B964">
        <v>337.66</v>
      </c>
      <c r="C964">
        <v>337.66</v>
      </c>
      <c r="D964">
        <v>337.66</v>
      </c>
      <c r="E964">
        <v>337.66</v>
      </c>
      <c r="F964" s="23">
        <f t="shared" si="15"/>
        <v>-4.7161469079760833E-3</v>
      </c>
    </row>
    <row r="965" spans="1:6" x14ac:dyDescent="0.35">
      <c r="A965" s="22">
        <v>45876</v>
      </c>
      <c r="B965">
        <v>338.19</v>
      </c>
      <c r="C965">
        <v>338.19</v>
      </c>
      <c r="D965">
        <v>338.19</v>
      </c>
      <c r="E965">
        <v>338.19</v>
      </c>
      <c r="F965" s="23">
        <f t="shared" si="15"/>
        <v>1.5696262512585816E-3</v>
      </c>
    </row>
    <row r="966" spans="1:6" x14ac:dyDescent="0.35">
      <c r="A966" s="22">
        <v>45877</v>
      </c>
      <c r="B966">
        <v>334.87</v>
      </c>
      <c r="C966">
        <v>334.87</v>
      </c>
      <c r="D966">
        <v>334.87</v>
      </c>
      <c r="E966">
        <v>334.87</v>
      </c>
      <c r="F966" s="23">
        <f t="shared" si="15"/>
        <v>-9.8169667938141081E-3</v>
      </c>
    </row>
    <row r="967" spans="1:6" x14ac:dyDescent="0.35">
      <c r="A967" s="22">
        <v>45880</v>
      </c>
      <c r="B967">
        <v>337.55</v>
      </c>
      <c r="C967">
        <v>337.55</v>
      </c>
      <c r="D967">
        <v>337.55</v>
      </c>
      <c r="E967">
        <v>337.55</v>
      </c>
      <c r="F967" s="23">
        <f t="shared" si="15"/>
        <v>8.0031056828023025E-3</v>
      </c>
    </row>
    <row r="968" spans="1:6" x14ac:dyDescent="0.35">
      <c r="A968" s="22">
        <v>45881</v>
      </c>
      <c r="B968">
        <v>336.59</v>
      </c>
      <c r="C968">
        <v>336.59</v>
      </c>
      <c r="D968">
        <v>336.59</v>
      </c>
      <c r="E968">
        <v>336.59</v>
      </c>
      <c r="F968" s="23">
        <f t="shared" si="15"/>
        <v>-2.8440231076878575E-3</v>
      </c>
    </row>
    <row r="969" spans="1:6" x14ac:dyDescent="0.35">
      <c r="A969" s="22">
        <v>45882</v>
      </c>
      <c r="B969">
        <v>339.01</v>
      </c>
      <c r="C969">
        <v>339.01</v>
      </c>
      <c r="D969">
        <v>339.01</v>
      </c>
      <c r="E969">
        <v>339.01</v>
      </c>
      <c r="F969" s="23">
        <f t="shared" si="15"/>
        <v>7.189756083068469E-3</v>
      </c>
    </row>
    <row r="970" spans="1:6" x14ac:dyDescent="0.35">
      <c r="A970" s="22">
        <v>45883</v>
      </c>
      <c r="B970">
        <v>339.19</v>
      </c>
      <c r="C970">
        <v>339.19</v>
      </c>
      <c r="D970">
        <v>339.19</v>
      </c>
      <c r="E970">
        <v>339.19</v>
      </c>
      <c r="F970" s="23">
        <f t="shared" si="15"/>
        <v>5.3095778885580607E-4</v>
      </c>
    </row>
    <row r="971" spans="1:6" x14ac:dyDescent="0.35">
      <c r="A971" s="22">
        <v>45887</v>
      </c>
      <c r="B971">
        <v>343.01</v>
      </c>
      <c r="C971">
        <v>343.01</v>
      </c>
      <c r="D971">
        <v>343.01</v>
      </c>
      <c r="E971">
        <v>343.01</v>
      </c>
      <c r="F971" s="23">
        <f t="shared" si="15"/>
        <v>1.1262124473009208E-2</v>
      </c>
    </row>
    <row r="972" spans="1:6" x14ac:dyDescent="0.35">
      <c r="A972" s="22">
        <v>45888</v>
      </c>
      <c r="B972">
        <v>344.55</v>
      </c>
      <c r="C972">
        <v>344.55</v>
      </c>
      <c r="D972">
        <v>344.55</v>
      </c>
      <c r="E972">
        <v>344.55</v>
      </c>
      <c r="F972" s="23">
        <f t="shared" si="15"/>
        <v>4.4896650243433731E-3</v>
      </c>
    </row>
    <row r="973" spans="1:6" x14ac:dyDescent="0.35">
      <c r="A973" s="22">
        <v>45889</v>
      </c>
      <c r="B973">
        <v>346.01</v>
      </c>
      <c r="C973">
        <v>346.01</v>
      </c>
      <c r="D973">
        <v>346.01</v>
      </c>
      <c r="E973">
        <v>346.01</v>
      </c>
      <c r="F973" s="23">
        <f t="shared" si="15"/>
        <v>4.2374111159482787E-3</v>
      </c>
    </row>
    <row r="974" spans="1:6" x14ac:dyDescent="0.35">
      <c r="A974" s="22">
        <v>45890</v>
      </c>
      <c r="B974">
        <v>345.96</v>
      </c>
      <c r="C974">
        <v>345.96</v>
      </c>
      <c r="D974">
        <v>345.96</v>
      </c>
      <c r="E974">
        <v>345.96</v>
      </c>
      <c r="F974" s="23">
        <f t="shared" si="15"/>
        <v>-1.4450449408979905E-4</v>
      </c>
    </row>
    <row r="975" spans="1:6" x14ac:dyDescent="0.35">
      <c r="A975" s="22">
        <v>45891</v>
      </c>
      <c r="B975">
        <v>344.47</v>
      </c>
      <c r="C975">
        <v>344.47</v>
      </c>
      <c r="D975">
        <v>344.47</v>
      </c>
      <c r="E975">
        <v>344.47</v>
      </c>
      <c r="F975" s="23">
        <f t="shared" si="15"/>
        <v>-4.3068562839633263E-3</v>
      </c>
    </row>
    <row r="976" spans="1:6" x14ac:dyDescent="0.35">
      <c r="A976" s="22">
        <v>45894</v>
      </c>
      <c r="B976">
        <v>345.4</v>
      </c>
      <c r="C976">
        <v>345.4</v>
      </c>
      <c r="D976">
        <v>345.4</v>
      </c>
      <c r="E976">
        <v>345.4</v>
      </c>
      <c r="F976" s="23">
        <f t="shared" si="15"/>
        <v>2.6997996922807498E-3</v>
      </c>
    </row>
    <row r="977" spans="1:6" x14ac:dyDescent="0.35">
      <c r="A977" s="22">
        <v>45895</v>
      </c>
      <c r="B977">
        <v>341.46</v>
      </c>
      <c r="C977">
        <v>341.46</v>
      </c>
      <c r="D977">
        <v>341.46</v>
      </c>
      <c r="E977">
        <v>341.46</v>
      </c>
      <c r="F977" s="23">
        <f t="shared" si="15"/>
        <v>-1.1407064273306306E-2</v>
      </c>
    </row>
    <row r="978" spans="1:6" x14ac:dyDescent="0.35">
      <c r="A978" s="22">
        <v>45897</v>
      </c>
      <c r="B978">
        <v>338.44</v>
      </c>
      <c r="C978">
        <v>338.44</v>
      </c>
      <c r="D978">
        <v>338.44</v>
      </c>
      <c r="E978">
        <v>338.44</v>
      </c>
      <c r="F978" s="23">
        <f t="shared" si="15"/>
        <v>-8.8443741580272427E-3</v>
      </c>
    </row>
    <row r="979" spans="1:6" x14ac:dyDescent="0.35">
      <c r="A979" s="22">
        <v>45898</v>
      </c>
      <c r="B979">
        <v>337.46</v>
      </c>
      <c r="C979">
        <v>337.46</v>
      </c>
      <c r="D979">
        <v>337.46</v>
      </c>
      <c r="E979">
        <v>337.46</v>
      </c>
      <c r="F979" s="23">
        <f t="shared" si="15"/>
        <v>-2.895638813379087E-3</v>
      </c>
    </row>
    <row r="980" spans="1:6" x14ac:dyDescent="0.35">
      <c r="A980" s="22">
        <v>45901</v>
      </c>
      <c r="B980">
        <v>341.2</v>
      </c>
      <c r="C980">
        <v>341.2</v>
      </c>
      <c r="D980">
        <v>341.2</v>
      </c>
      <c r="E980">
        <v>341.2</v>
      </c>
      <c r="F980" s="23">
        <f t="shared" si="15"/>
        <v>1.1082794997925707E-2</v>
      </c>
    </row>
    <row r="981" spans="1:6" x14ac:dyDescent="0.35">
      <c r="A981" s="22">
        <v>45902</v>
      </c>
      <c r="B981">
        <v>340.73</v>
      </c>
      <c r="C981">
        <v>340.73</v>
      </c>
      <c r="D981">
        <v>340.73</v>
      </c>
      <c r="E981">
        <v>340.73</v>
      </c>
      <c r="F981" s="23">
        <f t="shared" si="15"/>
        <v>-1.3774912075028443E-3</v>
      </c>
    </row>
    <row r="982" spans="1:6" x14ac:dyDescent="0.35">
      <c r="A982" s="22">
        <v>45903</v>
      </c>
      <c r="B982">
        <v>342.27</v>
      </c>
      <c r="C982">
        <v>342.27</v>
      </c>
      <c r="D982">
        <v>342.27</v>
      </c>
      <c r="E982">
        <v>342.27</v>
      </c>
      <c r="F982" s="23">
        <f t="shared" si="15"/>
        <v>4.5197076864378349E-3</v>
      </c>
    </row>
    <row r="983" spans="1:6" x14ac:dyDescent="0.35">
      <c r="A983" s="22">
        <v>45904</v>
      </c>
      <c r="B983">
        <v>342.23</v>
      </c>
      <c r="C983">
        <v>342.23</v>
      </c>
      <c r="D983">
        <v>342.23</v>
      </c>
      <c r="E983">
        <v>342.23</v>
      </c>
      <c r="F983" s="23">
        <f t="shared" si="15"/>
        <v>-1.1686680106338161E-4</v>
      </c>
    </row>
    <row r="984" spans="1:6" x14ac:dyDescent="0.35">
      <c r="A984" s="22">
        <v>45905</v>
      </c>
      <c r="B984">
        <v>341.93</v>
      </c>
      <c r="C984">
        <v>341.93</v>
      </c>
      <c r="D984">
        <v>341.93</v>
      </c>
      <c r="E984">
        <v>341.93</v>
      </c>
      <c r="F984" s="23">
        <f t="shared" si="15"/>
        <v>-8.7660345381764123E-4</v>
      </c>
    </row>
    <row r="985" spans="1:6" x14ac:dyDescent="0.35">
      <c r="A985" s="22">
        <v>45908</v>
      </c>
      <c r="B985">
        <v>342.72</v>
      </c>
      <c r="C985">
        <v>342.72</v>
      </c>
      <c r="D985">
        <v>342.72</v>
      </c>
      <c r="E985">
        <v>342.72</v>
      </c>
      <c r="F985" s="23">
        <f t="shared" si="15"/>
        <v>2.3104144123066721E-3</v>
      </c>
    </row>
    <row r="986" spans="1:6" x14ac:dyDescent="0.35">
      <c r="A986" s="22">
        <v>45909</v>
      </c>
      <c r="B986">
        <v>342.95</v>
      </c>
      <c r="C986">
        <v>342.95</v>
      </c>
      <c r="D986">
        <v>342.95</v>
      </c>
      <c r="E986">
        <v>342.95</v>
      </c>
      <c r="F986" s="23">
        <f t="shared" si="15"/>
        <v>6.7110177404283765E-4</v>
      </c>
    </row>
    <row r="987" spans="1:6" x14ac:dyDescent="0.35">
      <c r="A987" s="22">
        <v>45910</v>
      </c>
      <c r="B987">
        <v>344.45</v>
      </c>
      <c r="C987">
        <v>344.45</v>
      </c>
      <c r="D987">
        <v>344.45</v>
      </c>
      <c r="E987">
        <v>344.45</v>
      </c>
      <c r="F987" s="23">
        <f t="shared" si="15"/>
        <v>4.3738154249890653E-3</v>
      </c>
    </row>
    <row r="988" spans="1:6" x14ac:dyDescent="0.35">
      <c r="A988" s="22">
        <v>45911</v>
      </c>
      <c r="B988">
        <v>344.61</v>
      </c>
      <c r="C988">
        <v>344.61</v>
      </c>
      <c r="D988">
        <v>344.61</v>
      </c>
      <c r="E988">
        <v>344.61</v>
      </c>
      <c r="F988" s="23">
        <f t="shared" si="15"/>
        <v>4.6450863695754105E-4</v>
      </c>
    </row>
    <row r="989" spans="1:6" x14ac:dyDescent="0.35">
      <c r="A989" s="22">
        <v>45912</v>
      </c>
      <c r="B989">
        <v>345.71</v>
      </c>
      <c r="C989">
        <v>345.71</v>
      </c>
      <c r="D989">
        <v>345.71</v>
      </c>
      <c r="E989">
        <v>345.71</v>
      </c>
      <c r="F989" s="23">
        <f t="shared" si="15"/>
        <v>3.1920141609354511E-3</v>
      </c>
    </row>
    <row r="990" spans="1:6" x14ac:dyDescent="0.35">
      <c r="A990" s="22">
        <v>45915</v>
      </c>
      <c r="B990">
        <v>346.01</v>
      </c>
      <c r="C990">
        <v>346.01</v>
      </c>
      <c r="D990">
        <v>346.01</v>
      </c>
      <c r="E990">
        <v>346.01</v>
      </c>
      <c r="F990" s="23">
        <f t="shared" si="15"/>
        <v>8.6777935263663588E-4</v>
      </c>
    </row>
    <row r="991" spans="1:6" x14ac:dyDescent="0.35">
      <c r="A991" s="22">
        <v>45916</v>
      </c>
      <c r="B991">
        <v>348.06</v>
      </c>
      <c r="C991">
        <v>348.06</v>
      </c>
      <c r="D991">
        <v>348.06</v>
      </c>
      <c r="E991">
        <v>348.06</v>
      </c>
      <c r="F991" s="23">
        <f t="shared" si="15"/>
        <v>5.9246842576804468E-3</v>
      </c>
    </row>
    <row r="992" spans="1:6" x14ac:dyDescent="0.35">
      <c r="A992" s="22">
        <v>45917</v>
      </c>
      <c r="B992">
        <v>349.5</v>
      </c>
      <c r="C992">
        <v>349.5</v>
      </c>
      <c r="D992">
        <v>349.5</v>
      </c>
      <c r="E992">
        <v>349.5</v>
      </c>
      <c r="F992" s="23">
        <f t="shared" si="15"/>
        <v>4.1372177210825655E-3</v>
      </c>
    </row>
    <row r="993" spans="1:6" x14ac:dyDescent="0.35">
      <c r="A993" s="22">
        <v>45918</v>
      </c>
      <c r="B993">
        <v>350.75</v>
      </c>
      <c r="C993">
        <v>350.75</v>
      </c>
      <c r="D993">
        <v>350.75</v>
      </c>
      <c r="E993">
        <v>350.75</v>
      </c>
      <c r="F993" s="23">
        <f t="shared" si="15"/>
        <v>3.5765379113018598E-3</v>
      </c>
    </row>
    <row r="994" spans="1:6" x14ac:dyDescent="0.35">
      <c r="A994" s="22">
        <v>45919</v>
      </c>
      <c r="B994">
        <v>350.3</v>
      </c>
      <c r="C994">
        <v>350.3</v>
      </c>
      <c r="D994">
        <v>350.3</v>
      </c>
      <c r="E994">
        <v>350.3</v>
      </c>
      <c r="F994" s="23">
        <f t="shared" si="15"/>
        <v>-1.282965074839597E-3</v>
      </c>
    </row>
    <row r="995" spans="1:6" x14ac:dyDescent="0.35">
      <c r="A995" s="22">
        <v>45922</v>
      </c>
      <c r="B995">
        <v>348.58</v>
      </c>
      <c r="C995">
        <v>348.58</v>
      </c>
      <c r="D995">
        <v>348.58</v>
      </c>
      <c r="E995">
        <v>348.58</v>
      </c>
      <c r="F995" s="23">
        <f t="shared" si="15"/>
        <v>-4.9100770767913993E-3</v>
      </c>
    </row>
    <row r="996" spans="1:6" x14ac:dyDescent="0.35">
      <c r="A996" s="22">
        <v>45923</v>
      </c>
      <c r="B996">
        <v>347.62</v>
      </c>
      <c r="C996">
        <v>347.62</v>
      </c>
      <c r="D996">
        <v>347.62</v>
      </c>
      <c r="E996">
        <v>347.62</v>
      </c>
      <c r="F996" s="23">
        <f t="shared" si="15"/>
        <v>-2.7540306385907959E-3</v>
      </c>
    </row>
    <row r="997" spans="1:6" x14ac:dyDescent="0.35">
      <c r="A997" s="22">
        <v>45924</v>
      </c>
      <c r="B997">
        <v>345.28</v>
      </c>
      <c r="C997">
        <v>345.28</v>
      </c>
      <c r="D997">
        <v>345.28</v>
      </c>
      <c r="E997">
        <v>345.28</v>
      </c>
      <c r="F997" s="23">
        <f t="shared" si="15"/>
        <v>-6.7314884068811684E-3</v>
      </c>
    </row>
    <row r="998" spans="1:6" x14ac:dyDescent="0.35">
      <c r="A998" s="22">
        <v>45925</v>
      </c>
      <c r="B998">
        <v>343.16</v>
      </c>
      <c r="C998">
        <v>343.16</v>
      </c>
      <c r="D998">
        <v>343.16</v>
      </c>
      <c r="E998">
        <v>343.16</v>
      </c>
      <c r="F998" s="23">
        <f t="shared" si="15"/>
        <v>-6.1399443929562904E-3</v>
      </c>
    </row>
    <row r="999" spans="1:6" x14ac:dyDescent="0.35">
      <c r="A999" s="22">
        <v>45926</v>
      </c>
      <c r="B999">
        <v>338.3</v>
      </c>
      <c r="C999">
        <v>338.3</v>
      </c>
      <c r="D999">
        <v>338.3</v>
      </c>
      <c r="E999">
        <v>338.3</v>
      </c>
      <c r="F999" s="23">
        <f t="shared" si="15"/>
        <v>-1.4162489800676107E-2</v>
      </c>
    </row>
    <row r="1000" spans="1:6" x14ac:dyDescent="0.35">
      <c r="A1000" s="22">
        <v>45929</v>
      </c>
      <c r="B1000">
        <v>339.46</v>
      </c>
      <c r="C1000">
        <v>339.46</v>
      </c>
      <c r="D1000">
        <v>339.46</v>
      </c>
      <c r="E1000">
        <v>339.46</v>
      </c>
      <c r="F1000" s="23">
        <f t="shared" si="15"/>
        <v>3.428909252142974E-3</v>
      </c>
    </row>
    <row r="1001" spans="1:6" x14ac:dyDescent="0.35">
      <c r="A1001" s="22">
        <v>45930</v>
      </c>
      <c r="B1001">
        <v>338.57</v>
      </c>
      <c r="C1001">
        <v>338.57</v>
      </c>
      <c r="D1001">
        <v>338.57</v>
      </c>
      <c r="E1001">
        <v>338.57</v>
      </c>
      <c r="F1001" s="23">
        <f t="shared" si="15"/>
        <v>-2.6218111117657056E-3</v>
      </c>
    </row>
    <row r="1002" spans="1:6" x14ac:dyDescent="0.35">
      <c r="A1002" s="22">
        <v>45931</v>
      </c>
      <c r="B1002">
        <v>341.06</v>
      </c>
      <c r="C1002">
        <v>341.06</v>
      </c>
      <c r="D1002">
        <v>341.06</v>
      </c>
      <c r="E1002">
        <v>341.06</v>
      </c>
      <c r="F1002" s="23">
        <f t="shared" si="15"/>
        <v>7.3544614112296099E-3</v>
      </c>
    </row>
    <row r="1003" spans="1:6" x14ac:dyDescent="0.35">
      <c r="A1003" s="22">
        <v>45933</v>
      </c>
      <c r="B1003">
        <v>341.71</v>
      </c>
      <c r="C1003">
        <v>341.71</v>
      </c>
      <c r="D1003">
        <v>341.71</v>
      </c>
      <c r="E1003">
        <v>341.71</v>
      </c>
      <c r="F1003" s="23">
        <f t="shared" si="15"/>
        <v>1.9058230223420432E-3</v>
      </c>
    </row>
    <row r="1004" spans="1:6" x14ac:dyDescent="0.35">
      <c r="A1004" s="22">
        <v>45936</v>
      </c>
      <c r="B1004">
        <v>344.2</v>
      </c>
      <c r="C1004">
        <v>344.2</v>
      </c>
      <c r="D1004">
        <v>344.2</v>
      </c>
      <c r="E1004">
        <v>344.2</v>
      </c>
      <c r="F1004" s="23">
        <f t="shared" si="15"/>
        <v>7.2868806883029736E-3</v>
      </c>
    </row>
    <row r="1005" spans="1:6" x14ac:dyDescent="0.35">
      <c r="A1005" s="22">
        <v>45937</v>
      </c>
      <c r="B1005">
        <v>345</v>
      </c>
      <c r="C1005">
        <v>345</v>
      </c>
      <c r="D1005">
        <v>345</v>
      </c>
      <c r="E1005">
        <v>345</v>
      </c>
      <c r="F1005" s="23">
        <f t="shared" si="15"/>
        <v>2.3242300987798125E-3</v>
      </c>
    </row>
    <row r="1006" spans="1:6" x14ac:dyDescent="0.35">
      <c r="A1006" s="22">
        <v>45938</v>
      </c>
      <c r="B1006">
        <v>343.35</v>
      </c>
      <c r="C1006">
        <v>343.35</v>
      </c>
      <c r="D1006">
        <v>343.35</v>
      </c>
      <c r="E1006">
        <v>343.35</v>
      </c>
      <c r="F1006" s="23">
        <f t="shared" si="15"/>
        <v>-4.7826086956521078E-3</v>
      </c>
    </row>
    <row r="1007" spans="1:6" x14ac:dyDescent="0.35">
      <c r="A1007" s="22">
        <v>45939</v>
      </c>
      <c r="B1007">
        <v>345.08</v>
      </c>
      <c r="C1007">
        <v>345.08</v>
      </c>
      <c r="D1007">
        <v>345.08</v>
      </c>
      <c r="E1007">
        <v>345.08</v>
      </c>
      <c r="F1007" s="23">
        <f t="shared" si="15"/>
        <v>5.0385903596911639E-3</v>
      </c>
    </row>
    <row r="1008" spans="1:6" x14ac:dyDescent="0.35">
      <c r="A1008" s="22">
        <v>45940</v>
      </c>
      <c r="B1008">
        <v>346.26</v>
      </c>
      <c r="C1008">
        <v>346.26</v>
      </c>
      <c r="D1008">
        <v>346.26</v>
      </c>
      <c r="E1008">
        <v>346.26</v>
      </c>
      <c r="F1008" s="23">
        <f t="shared" si="15"/>
        <v>3.419496928248542E-3</v>
      </c>
    </row>
    <row r="1009" spans="1:6" x14ac:dyDescent="0.35">
      <c r="A1009" s="22">
        <v>45943</v>
      </c>
      <c r="B1009">
        <v>345.89</v>
      </c>
      <c r="C1009">
        <v>345.89</v>
      </c>
      <c r="D1009">
        <v>345.89</v>
      </c>
      <c r="E1009">
        <v>345.89</v>
      </c>
      <c r="F1009" s="23">
        <f t="shared" si="15"/>
        <v>-1.0685611967885535E-3</v>
      </c>
    </row>
    <row r="1010" spans="1:6" x14ac:dyDescent="0.35">
      <c r="A1010" s="22">
        <v>45944</v>
      </c>
      <c r="B1010">
        <v>344.73</v>
      </c>
      <c r="C1010">
        <v>344.73</v>
      </c>
      <c r="D1010">
        <v>344.73</v>
      </c>
      <c r="E1010">
        <v>344.73</v>
      </c>
      <c r="F1010" s="23">
        <f t="shared" si="15"/>
        <v>-3.3536673508918102E-3</v>
      </c>
    </row>
    <row r="1011" spans="1:6" x14ac:dyDescent="0.35">
      <c r="A1011" s="22">
        <v>45945</v>
      </c>
      <c r="B1011">
        <v>347.24</v>
      </c>
      <c r="C1011">
        <v>347.24</v>
      </c>
      <c r="D1011">
        <v>347.24</v>
      </c>
      <c r="E1011">
        <v>347.24</v>
      </c>
      <c r="F1011" s="23">
        <f t="shared" si="15"/>
        <v>7.2810605401328306E-3</v>
      </c>
    </row>
    <row r="1012" spans="1:6" x14ac:dyDescent="0.35">
      <c r="A1012" s="22">
        <v>45946</v>
      </c>
      <c r="B1012">
        <v>349.64</v>
      </c>
      <c r="C1012">
        <v>349.64</v>
      </c>
      <c r="D1012">
        <v>349.64</v>
      </c>
      <c r="E1012">
        <v>349.64</v>
      </c>
      <c r="F1012" s="23">
        <f t="shared" si="15"/>
        <v>6.9116461237183997E-3</v>
      </c>
    </row>
    <row r="1013" spans="1:6" x14ac:dyDescent="0.35">
      <c r="A1013" s="22">
        <v>45947</v>
      </c>
      <c r="B1013">
        <v>350.59</v>
      </c>
      <c r="C1013">
        <v>350.59</v>
      </c>
      <c r="D1013">
        <v>350.59</v>
      </c>
      <c r="E1013">
        <v>350.59</v>
      </c>
      <c r="F1013" s="23">
        <f t="shared" si="15"/>
        <v>2.7170804255805649E-3</v>
      </c>
    </row>
    <row r="1014" spans="1:6" x14ac:dyDescent="0.35">
      <c r="A1014" s="22">
        <v>45950</v>
      </c>
      <c r="B1014">
        <v>351.07</v>
      </c>
      <c r="C1014">
        <v>351.07</v>
      </c>
      <c r="D1014">
        <v>351.07</v>
      </c>
      <c r="E1014">
        <v>351.07</v>
      </c>
      <c r="F1014" s="23">
        <f t="shared" si="15"/>
        <v>1.3691206252318042E-3</v>
      </c>
    </row>
    <row r="1015" spans="1:6" x14ac:dyDescent="0.35">
      <c r="A1015" s="22">
        <v>45953</v>
      </c>
      <c r="B1015">
        <v>350.64</v>
      </c>
      <c r="C1015">
        <v>350.64</v>
      </c>
      <c r="D1015">
        <v>350.64</v>
      </c>
      <c r="E1015">
        <v>350.64</v>
      </c>
      <c r="F1015" s="23">
        <f t="shared" si="15"/>
        <v>-1.2248269575868254E-3</v>
      </c>
    </row>
    <row r="1016" spans="1:6" x14ac:dyDescent="0.35">
      <c r="A1016" s="22">
        <v>45954</v>
      </c>
      <c r="B1016">
        <v>350.04</v>
      </c>
      <c r="C1016">
        <v>350.04</v>
      </c>
      <c r="D1016">
        <v>350.04</v>
      </c>
      <c r="E1016">
        <v>350.04</v>
      </c>
      <c r="F1016" s="23">
        <f t="shared" si="15"/>
        <v>-1.7111567419574661E-3</v>
      </c>
    </row>
    <row r="1017" spans="1:6" x14ac:dyDescent="0.35">
      <c r="A1017" s="22">
        <v>45957</v>
      </c>
      <c r="B1017">
        <v>352.32</v>
      </c>
      <c r="C1017">
        <v>352.32</v>
      </c>
      <c r="D1017">
        <v>352.32</v>
      </c>
      <c r="E1017">
        <v>352.32</v>
      </c>
      <c r="F1017" s="23">
        <f t="shared" si="15"/>
        <v>6.5135413095645427E-3</v>
      </c>
    </row>
    <row r="1018" spans="1:6" x14ac:dyDescent="0.35">
      <c r="A1018" s="22">
        <v>45958</v>
      </c>
      <c r="B1018">
        <v>351.67</v>
      </c>
      <c r="C1018">
        <v>351.67</v>
      </c>
      <c r="D1018">
        <v>351.67</v>
      </c>
      <c r="E1018">
        <v>351.67</v>
      </c>
      <c r="F1018" s="23">
        <f t="shared" si="15"/>
        <v>-1.8449137148046585E-3</v>
      </c>
    </row>
    <row r="1019" spans="1:6" x14ac:dyDescent="0.35">
      <c r="A1019" s="22">
        <v>45959</v>
      </c>
      <c r="B1019">
        <v>353.33</v>
      </c>
      <c r="C1019">
        <v>353.33</v>
      </c>
      <c r="D1019">
        <v>353.33</v>
      </c>
      <c r="E1019">
        <v>353.33</v>
      </c>
      <c r="F1019" s="23">
        <f t="shared" si="15"/>
        <v>4.7203344044131372E-3</v>
      </c>
    </row>
    <row r="1020" spans="1:6" x14ac:dyDescent="0.35">
      <c r="A1020" s="22">
        <v>45960</v>
      </c>
      <c r="B1020">
        <v>352.04</v>
      </c>
      <c r="C1020">
        <v>352.04</v>
      </c>
      <c r="D1020">
        <v>352.04</v>
      </c>
      <c r="E1020">
        <v>352.04</v>
      </c>
      <c r="F1020" s="23">
        <f t="shared" si="15"/>
        <v>-3.6509778394134768E-3</v>
      </c>
    </row>
    <row r="1021" spans="1:6" x14ac:dyDescent="0.35">
      <c r="A1021" s="22">
        <v>45961</v>
      </c>
      <c r="B1021">
        <v>349.71</v>
      </c>
      <c r="C1021">
        <v>349.71</v>
      </c>
      <c r="D1021">
        <v>349.71</v>
      </c>
      <c r="E1021">
        <v>349.71</v>
      </c>
      <c r="F1021" s="23">
        <f t="shared" si="15"/>
        <v>-6.6185660720373841E-3</v>
      </c>
    </row>
    <row r="1022" spans="1:6" x14ac:dyDescent="0.35">
      <c r="A1022" s="22">
        <v>45964</v>
      </c>
      <c r="B1022">
        <v>351.23</v>
      </c>
      <c r="C1022">
        <v>351.23</v>
      </c>
      <c r="D1022">
        <v>351.23</v>
      </c>
      <c r="E1022">
        <v>351.23</v>
      </c>
      <c r="F1022" s="23">
        <f t="shared" si="15"/>
        <v>4.3464584941810035E-3</v>
      </c>
    </row>
    <row r="1023" spans="1:6" x14ac:dyDescent="0.35">
      <c r="A1023" s="22">
        <v>45965</v>
      </c>
      <c r="B1023">
        <v>349.28</v>
      </c>
      <c r="C1023">
        <v>349.28</v>
      </c>
      <c r="D1023">
        <v>349.28</v>
      </c>
      <c r="E1023">
        <v>349.28</v>
      </c>
      <c r="F1023" s="23">
        <f t="shared" si="15"/>
        <v>-5.5519175469067143E-3</v>
      </c>
    </row>
    <row r="1024" spans="1:6" x14ac:dyDescent="0.35">
      <c r="A1024" s="22">
        <v>45967</v>
      </c>
      <c r="B1024">
        <v>346.89</v>
      </c>
      <c r="C1024">
        <v>346.89</v>
      </c>
      <c r="D1024">
        <v>346.89</v>
      </c>
      <c r="E1024">
        <v>346.89</v>
      </c>
      <c r="F1024" s="23">
        <f t="shared" si="15"/>
        <v>-6.8426477324782025E-3</v>
      </c>
    </row>
    <row r="1025" spans="1:6" x14ac:dyDescent="0.35">
      <c r="A1025" s="22">
        <v>45968</v>
      </c>
      <c r="B1025">
        <v>346.62</v>
      </c>
      <c r="C1025">
        <v>346.62</v>
      </c>
      <c r="D1025">
        <v>346.62</v>
      </c>
      <c r="E1025">
        <v>346.62</v>
      </c>
      <c r="F1025" s="23">
        <f t="shared" si="15"/>
        <v>-7.7834472022826205E-4</v>
      </c>
    </row>
    <row r="1026" spans="1:6" x14ac:dyDescent="0.35">
      <c r="A1026" s="22">
        <v>45971</v>
      </c>
      <c r="B1026">
        <v>348.19</v>
      </c>
      <c r="C1026">
        <v>348.19</v>
      </c>
      <c r="D1026">
        <v>348.19</v>
      </c>
      <c r="E1026">
        <v>348.19</v>
      </c>
      <c r="F1026" s="23">
        <f t="shared" si="15"/>
        <v>4.5294558882926347E-3</v>
      </c>
    </row>
    <row r="1027" spans="1:6" x14ac:dyDescent="0.35">
      <c r="A1027" s="22">
        <v>45972</v>
      </c>
      <c r="B1027">
        <v>349.41</v>
      </c>
      <c r="C1027">
        <v>349.41</v>
      </c>
      <c r="D1027">
        <v>349.41</v>
      </c>
      <c r="E1027">
        <v>349.41</v>
      </c>
      <c r="F1027" s="23">
        <f t="shared" ref="F1027:F1090" si="16">(B1027-B1026)/B1026</f>
        <v>3.5038341135587678E-3</v>
      </c>
    </row>
    <row r="1028" spans="1:6" x14ac:dyDescent="0.35">
      <c r="A1028" s="22">
        <v>45973</v>
      </c>
      <c r="B1028">
        <v>350.58</v>
      </c>
      <c r="C1028">
        <v>350.58</v>
      </c>
      <c r="D1028">
        <v>350.58</v>
      </c>
      <c r="E1028">
        <v>350.58</v>
      </c>
      <c r="F1028" s="23">
        <f t="shared" si="16"/>
        <v>3.3485017601097822E-3</v>
      </c>
    </row>
    <row r="1029" spans="1:6" x14ac:dyDescent="0.35">
      <c r="A1029" s="22">
        <v>45974</v>
      </c>
      <c r="B1029">
        <v>350.25</v>
      </c>
      <c r="C1029">
        <v>350.25</v>
      </c>
      <c r="D1029">
        <v>350.25</v>
      </c>
      <c r="E1029">
        <v>350.25</v>
      </c>
      <c r="F1029" s="23">
        <f t="shared" si="16"/>
        <v>-9.4129727879509412E-4</v>
      </c>
    </row>
    <row r="1030" spans="1:6" x14ac:dyDescent="0.35">
      <c r="A1030" s="22">
        <v>45975</v>
      </c>
      <c r="B1030">
        <v>350.27</v>
      </c>
      <c r="C1030">
        <v>350.27</v>
      </c>
      <c r="D1030">
        <v>350.27</v>
      </c>
      <c r="E1030">
        <v>350.27</v>
      </c>
      <c r="F1030" s="23">
        <f t="shared" si="16"/>
        <v>5.7102069949983756E-5</v>
      </c>
    </row>
    <row r="1031" spans="1:6" x14ac:dyDescent="0.35">
      <c r="A1031" s="22">
        <v>45978</v>
      </c>
      <c r="B1031">
        <v>352.16</v>
      </c>
      <c r="C1031">
        <v>352.16</v>
      </c>
      <c r="D1031">
        <v>352.16</v>
      </c>
      <c r="E1031">
        <v>352.16</v>
      </c>
      <c r="F1031" s="23">
        <f t="shared" si="16"/>
        <v>5.3958374967883159E-3</v>
      </c>
    </row>
    <row r="1032" spans="1:6" x14ac:dyDescent="0.35">
      <c r="A1032" s="22">
        <v>45979</v>
      </c>
      <c r="B1032">
        <v>349.95</v>
      </c>
      <c r="C1032">
        <v>349.95</v>
      </c>
      <c r="D1032">
        <v>349.95</v>
      </c>
      <c r="E1032">
        <v>349.95</v>
      </c>
      <c r="F1032" s="23">
        <f t="shared" si="16"/>
        <v>-6.27555656519774E-3</v>
      </c>
    </row>
    <row r="1033" spans="1:6" x14ac:dyDescent="0.35">
      <c r="A1033" s="22">
        <v>45980</v>
      </c>
      <c r="B1033">
        <v>351.86</v>
      </c>
      <c r="C1033">
        <v>351.86</v>
      </c>
      <c r="D1033">
        <v>351.86</v>
      </c>
      <c r="E1033">
        <v>351.86</v>
      </c>
      <c r="F1033" s="23">
        <f t="shared" si="16"/>
        <v>5.4579225603658384E-3</v>
      </c>
    </row>
    <row r="1034" spans="1:6" x14ac:dyDescent="0.35">
      <c r="A1034" s="22">
        <v>45981</v>
      </c>
      <c r="B1034">
        <v>353.18</v>
      </c>
      <c r="C1034">
        <v>353.18</v>
      </c>
      <c r="D1034">
        <v>353.18</v>
      </c>
      <c r="E1034">
        <v>353.18</v>
      </c>
      <c r="F1034" s="23">
        <f t="shared" si="16"/>
        <v>3.7514920707099218E-3</v>
      </c>
    </row>
    <row r="1035" spans="1:6" x14ac:dyDescent="0.35">
      <c r="A1035" s="22">
        <v>45982</v>
      </c>
      <c r="B1035">
        <v>350.39</v>
      </c>
      <c r="C1035">
        <v>350.39</v>
      </c>
      <c r="D1035">
        <v>350.39</v>
      </c>
      <c r="E1035">
        <v>350.39</v>
      </c>
      <c r="F1035" s="23">
        <f t="shared" si="16"/>
        <v>-7.8996545670763363E-3</v>
      </c>
    </row>
    <row r="1036" spans="1:6" x14ac:dyDescent="0.35">
      <c r="A1036" s="22">
        <v>45985</v>
      </c>
      <c r="B1036">
        <v>348.79</v>
      </c>
      <c r="C1036">
        <v>348.79</v>
      </c>
      <c r="D1036">
        <v>348.79</v>
      </c>
      <c r="E1036">
        <v>348.79</v>
      </c>
      <c r="F1036" s="23">
        <f t="shared" si="16"/>
        <v>-4.5663403635947545E-3</v>
      </c>
    </row>
    <row r="1037" spans="1:6" x14ac:dyDescent="0.35">
      <c r="A1037" s="22">
        <v>45986</v>
      </c>
      <c r="B1037">
        <v>348.43</v>
      </c>
      <c r="C1037">
        <v>348.43</v>
      </c>
      <c r="D1037">
        <v>348.43</v>
      </c>
      <c r="E1037">
        <v>348.43</v>
      </c>
      <c r="F1037" s="23">
        <f t="shared" si="16"/>
        <v>-1.032139682903792E-3</v>
      </c>
    </row>
    <row r="1038" spans="1:6" x14ac:dyDescent="0.35">
      <c r="A1038" s="22">
        <v>45987</v>
      </c>
      <c r="B1038">
        <v>353.1</v>
      </c>
      <c r="C1038">
        <v>353.1</v>
      </c>
      <c r="D1038">
        <v>353.1</v>
      </c>
      <c r="E1038">
        <v>353.1</v>
      </c>
      <c r="F1038" s="23">
        <f t="shared" si="16"/>
        <v>1.3402979077576604E-2</v>
      </c>
    </row>
    <row r="1039" spans="1:6" x14ac:dyDescent="0.35">
      <c r="A1039" s="22">
        <v>45988</v>
      </c>
      <c r="B1039">
        <v>353.02</v>
      </c>
      <c r="C1039">
        <v>353.02</v>
      </c>
      <c r="D1039">
        <v>353.02</v>
      </c>
      <c r="E1039">
        <v>353.02</v>
      </c>
      <c r="F1039" s="23">
        <f t="shared" si="16"/>
        <v>-2.2656471254613685E-4</v>
      </c>
    </row>
    <row r="1040" spans="1:6" x14ac:dyDescent="0.35">
      <c r="A1040" s="22">
        <v>45989</v>
      </c>
      <c r="B1040">
        <v>352.79</v>
      </c>
      <c r="C1040">
        <v>352.79</v>
      </c>
      <c r="D1040">
        <v>352.79</v>
      </c>
      <c r="E1040">
        <v>352.79</v>
      </c>
      <c r="F1040" s="23">
        <f t="shared" si="16"/>
        <v>-6.5152116027409593E-4</v>
      </c>
    </row>
    <row r="1041" spans="1:6" x14ac:dyDescent="0.35">
      <c r="A1041" s="22">
        <v>45992</v>
      </c>
      <c r="B1041">
        <v>352.15</v>
      </c>
      <c r="C1041">
        <v>352.15</v>
      </c>
      <c r="D1041">
        <v>352.15</v>
      </c>
      <c r="E1041">
        <v>352.15</v>
      </c>
      <c r="F1041" s="23">
        <f t="shared" si="16"/>
        <v>-1.8141103772783898E-3</v>
      </c>
    </row>
    <row r="1042" spans="1:6" x14ac:dyDescent="0.35">
      <c r="A1042" s="22">
        <v>45993</v>
      </c>
      <c r="B1042">
        <v>350.78</v>
      </c>
      <c r="C1042">
        <v>350.78</v>
      </c>
      <c r="D1042">
        <v>350.78</v>
      </c>
      <c r="E1042">
        <v>350.78</v>
      </c>
      <c r="F1042" s="23">
        <f t="shared" si="16"/>
        <v>-3.8903876189124087E-3</v>
      </c>
    </row>
    <row r="1043" spans="1:6" x14ac:dyDescent="0.35">
      <c r="A1043" s="22">
        <v>45994</v>
      </c>
      <c r="B1043">
        <v>349.17</v>
      </c>
      <c r="C1043">
        <v>349.17</v>
      </c>
      <c r="D1043">
        <v>349.17</v>
      </c>
      <c r="E1043">
        <v>349.17</v>
      </c>
      <c r="F1043" s="23">
        <f t="shared" si="16"/>
        <v>-4.5897713666684442E-3</v>
      </c>
    </row>
    <row r="1044" spans="1:6" x14ac:dyDescent="0.35">
      <c r="A1044" s="22">
        <v>45995</v>
      </c>
      <c r="B1044">
        <v>349.59</v>
      </c>
      <c r="C1044">
        <v>349.59</v>
      </c>
      <c r="D1044">
        <v>349.59</v>
      </c>
      <c r="E1044">
        <v>349.59</v>
      </c>
      <c r="F1044" s="23">
        <f t="shared" si="16"/>
        <v>1.2028524787351693E-3</v>
      </c>
    </row>
    <row r="1045" spans="1:6" x14ac:dyDescent="0.35">
      <c r="A1045" s="22">
        <v>45996</v>
      </c>
      <c r="B1045">
        <v>351.03</v>
      </c>
      <c r="C1045">
        <v>351.03</v>
      </c>
      <c r="D1045">
        <v>351.03</v>
      </c>
      <c r="E1045">
        <v>351.03</v>
      </c>
      <c r="F1045" s="23">
        <f t="shared" si="16"/>
        <v>4.1191109585514401E-3</v>
      </c>
    </row>
    <row r="1046" spans="1:6" x14ac:dyDescent="0.35">
      <c r="A1046" s="22">
        <v>45999</v>
      </c>
      <c r="B1046">
        <v>347.01</v>
      </c>
      <c r="C1046">
        <v>347.01</v>
      </c>
      <c r="D1046">
        <v>347.01</v>
      </c>
      <c r="E1046">
        <v>347.01</v>
      </c>
      <c r="F1046" s="23">
        <f t="shared" si="16"/>
        <v>-1.1452012648491531E-2</v>
      </c>
    </row>
    <row r="1047" spans="1:6" x14ac:dyDescent="0.35">
      <c r="A1047" s="22">
        <v>46000</v>
      </c>
      <c r="B1047">
        <v>346.86</v>
      </c>
      <c r="C1047">
        <v>346.86</v>
      </c>
      <c r="D1047">
        <v>346.86</v>
      </c>
      <c r="E1047">
        <v>346.86</v>
      </c>
      <c r="F1047" s="23">
        <f t="shared" si="16"/>
        <v>-4.3226419987890051E-4</v>
      </c>
    </row>
    <row r="1048" spans="1:6" x14ac:dyDescent="0.35">
      <c r="A1048" s="22">
        <v>46001</v>
      </c>
      <c r="B1048">
        <v>344.77</v>
      </c>
      <c r="C1048">
        <v>344.77</v>
      </c>
      <c r="D1048">
        <v>344.77</v>
      </c>
      <c r="E1048">
        <v>344.77</v>
      </c>
      <c r="F1048" s="23">
        <f t="shared" si="16"/>
        <v>-6.0254857867728532E-3</v>
      </c>
    </row>
    <row r="1049" spans="1:6" x14ac:dyDescent="0.35">
      <c r="A1049" s="22">
        <v>46002</v>
      </c>
      <c r="B1049">
        <v>347.13</v>
      </c>
      <c r="C1049">
        <v>347.13</v>
      </c>
      <c r="D1049">
        <v>347.13</v>
      </c>
      <c r="E1049">
        <v>347.13</v>
      </c>
      <c r="F1049" s="23">
        <f t="shared" si="16"/>
        <v>6.8451431389042368E-3</v>
      </c>
    </row>
    <row r="1050" spans="1:6" x14ac:dyDescent="0.35">
      <c r="A1050" s="22">
        <v>46020</v>
      </c>
      <c r="B1050">
        <v>347.97</v>
      </c>
      <c r="C1050">
        <v>347.97</v>
      </c>
      <c r="D1050">
        <v>347.97</v>
      </c>
      <c r="E1050">
        <v>347.97</v>
      </c>
      <c r="F1050" s="23">
        <f t="shared" si="16"/>
        <v>2.4198427102239272E-3</v>
      </c>
    </row>
    <row r="1051" spans="1:6" x14ac:dyDescent="0.35">
      <c r="A1051" s="22">
        <v>46021</v>
      </c>
      <c r="B1051">
        <v>346.86</v>
      </c>
      <c r="C1051">
        <v>346.86</v>
      </c>
      <c r="D1051">
        <v>346.86</v>
      </c>
      <c r="E1051">
        <v>346.86</v>
      </c>
      <c r="F1051" s="23">
        <f t="shared" si="16"/>
        <v>-3.1899301663936936E-3</v>
      </c>
    </row>
    <row r="1052" spans="1:6" x14ac:dyDescent="0.35">
      <c r="A1052" s="22">
        <v>46022</v>
      </c>
      <c r="B1052">
        <v>349.42</v>
      </c>
      <c r="C1052">
        <v>349.42</v>
      </c>
      <c r="D1052">
        <v>349.42</v>
      </c>
      <c r="E1052">
        <v>349.42</v>
      </c>
      <c r="F1052" s="23">
        <f t="shared" si="16"/>
        <v>7.3804993369082691E-3</v>
      </c>
    </row>
    <row r="1053" spans="1:6" x14ac:dyDescent="0.35">
      <c r="A1053" s="22">
        <v>46023</v>
      </c>
      <c r="B1053">
        <v>349.6</v>
      </c>
      <c r="C1053">
        <v>349.6</v>
      </c>
      <c r="D1053">
        <v>349.6</v>
      </c>
      <c r="E1053">
        <v>349.6</v>
      </c>
      <c r="F1053" s="23">
        <f t="shared" si="16"/>
        <v>5.1513937381949182E-4</v>
      </c>
    </row>
    <row r="1054" spans="1:6" x14ac:dyDescent="0.35">
      <c r="A1054" s="22">
        <v>46024</v>
      </c>
      <c r="B1054">
        <v>352.39</v>
      </c>
      <c r="C1054">
        <v>352.39</v>
      </c>
      <c r="D1054">
        <v>352.39</v>
      </c>
      <c r="E1054">
        <v>352.39</v>
      </c>
      <c r="F1054" s="23">
        <f t="shared" si="16"/>
        <v>7.980549199084563E-3</v>
      </c>
    </row>
    <row r="1055" spans="1:6" x14ac:dyDescent="0.35">
      <c r="A1055" s="22">
        <v>46027</v>
      </c>
      <c r="B1055">
        <v>351.77</v>
      </c>
      <c r="C1055">
        <v>351.77</v>
      </c>
      <c r="D1055">
        <v>351.77</v>
      </c>
      <c r="E1055">
        <v>351.77</v>
      </c>
      <c r="F1055" s="23">
        <f t="shared" si="16"/>
        <v>-1.7594142853089036E-3</v>
      </c>
    </row>
    <row r="1056" spans="1:6" x14ac:dyDescent="0.35">
      <c r="A1056" s="22">
        <v>46028</v>
      </c>
      <c r="B1056">
        <v>351.46</v>
      </c>
      <c r="C1056">
        <v>351.46</v>
      </c>
      <c r="D1056">
        <v>351.46</v>
      </c>
      <c r="E1056">
        <v>351.46</v>
      </c>
      <c r="F1056" s="23">
        <f t="shared" si="16"/>
        <v>-8.8125763993519141E-4</v>
      </c>
    </row>
    <row r="1057" spans="1:6" x14ac:dyDescent="0.35">
      <c r="A1057" s="22">
        <v>46029</v>
      </c>
      <c r="B1057">
        <v>351.88</v>
      </c>
      <c r="C1057">
        <v>351.88</v>
      </c>
      <c r="D1057">
        <v>351.88</v>
      </c>
      <c r="E1057">
        <v>351.88</v>
      </c>
      <c r="F1057" s="23">
        <f t="shared" si="16"/>
        <v>1.1950150799522447E-3</v>
      </c>
    </row>
    <row r="1058" spans="1:6" x14ac:dyDescent="0.35">
      <c r="A1058" s="22">
        <v>46030</v>
      </c>
      <c r="B1058">
        <v>347.78</v>
      </c>
      <c r="C1058">
        <v>347.78</v>
      </c>
      <c r="D1058">
        <v>347.78</v>
      </c>
      <c r="E1058">
        <v>347.78</v>
      </c>
      <c r="F1058" s="23">
        <f t="shared" si="16"/>
        <v>-1.1651699442991994E-2</v>
      </c>
    </row>
    <row r="1059" spans="1:6" x14ac:dyDescent="0.35">
      <c r="A1059" s="22">
        <v>46031</v>
      </c>
      <c r="B1059">
        <v>344.11</v>
      </c>
      <c r="C1059">
        <v>344.11</v>
      </c>
      <c r="D1059">
        <v>344.11</v>
      </c>
      <c r="E1059">
        <v>344.11</v>
      </c>
      <c r="F1059" s="23">
        <f t="shared" si="16"/>
        <v>-1.0552648225889813E-2</v>
      </c>
    </row>
    <row r="1060" spans="1:6" x14ac:dyDescent="0.35">
      <c r="A1060" s="22">
        <v>46034</v>
      </c>
      <c r="B1060">
        <v>343.94</v>
      </c>
      <c r="C1060">
        <v>343.94</v>
      </c>
      <c r="D1060">
        <v>343.94</v>
      </c>
      <c r="E1060">
        <v>343.94</v>
      </c>
      <c r="F1060" s="23">
        <f t="shared" si="16"/>
        <v>-4.9402807241874958E-4</v>
      </c>
    </row>
    <row r="1061" spans="1:6" x14ac:dyDescent="0.35">
      <c r="A1061" s="22">
        <v>46035</v>
      </c>
      <c r="B1061">
        <v>343.52</v>
      </c>
      <c r="C1061">
        <v>343.52</v>
      </c>
      <c r="D1061">
        <v>343.52</v>
      </c>
      <c r="E1061">
        <v>343.52</v>
      </c>
      <c r="F1061" s="23">
        <f t="shared" si="16"/>
        <v>-1.2211432226551606E-3</v>
      </c>
    </row>
    <row r="1062" spans="1:6" x14ac:dyDescent="0.35">
      <c r="A1062" s="22">
        <v>46036</v>
      </c>
      <c r="B1062">
        <v>343.37</v>
      </c>
      <c r="C1062">
        <v>343.37</v>
      </c>
      <c r="D1062">
        <v>343.37</v>
      </c>
      <c r="E1062">
        <v>343.37</v>
      </c>
      <c r="F1062" s="23">
        <f t="shared" si="16"/>
        <v>-4.3665579878894177E-4</v>
      </c>
    </row>
    <row r="1063" spans="1:6" x14ac:dyDescent="0.35">
      <c r="A1063" s="22">
        <v>46038</v>
      </c>
      <c r="B1063">
        <v>343.37</v>
      </c>
      <c r="C1063">
        <v>343.37</v>
      </c>
      <c r="D1063">
        <v>343.37</v>
      </c>
      <c r="E1063">
        <v>343.37</v>
      </c>
      <c r="F1063" s="23">
        <f t="shared" si="16"/>
        <v>0</v>
      </c>
    </row>
    <row r="1064" spans="1:6" x14ac:dyDescent="0.35">
      <c r="A1064" s="22">
        <v>46041</v>
      </c>
      <c r="B1064">
        <v>341.95</v>
      </c>
      <c r="C1064">
        <v>341.95</v>
      </c>
      <c r="D1064">
        <v>341.95</v>
      </c>
      <c r="E1064">
        <v>341.95</v>
      </c>
      <c r="F1064" s="23">
        <f t="shared" si="16"/>
        <v>-4.1354806768209686E-3</v>
      </c>
    </row>
    <row r="1065" spans="1:6" x14ac:dyDescent="0.35">
      <c r="A1065" s="22">
        <v>46042</v>
      </c>
      <c r="B1065">
        <v>336.38</v>
      </c>
      <c r="C1065">
        <v>336.38</v>
      </c>
      <c r="D1065">
        <v>336.38</v>
      </c>
      <c r="E1065">
        <v>336.38</v>
      </c>
      <c r="F1065" s="23">
        <f t="shared" si="16"/>
        <v>-1.6288931130282184E-2</v>
      </c>
    </row>
    <row r="1066" spans="1:6" x14ac:dyDescent="0.35">
      <c r="A1066" s="22">
        <v>46043</v>
      </c>
      <c r="B1066">
        <v>334.67</v>
      </c>
      <c r="C1066">
        <v>334.67</v>
      </c>
      <c r="D1066">
        <v>334.67</v>
      </c>
      <c r="E1066">
        <v>334.67</v>
      </c>
      <c r="F1066" s="23">
        <f t="shared" si="16"/>
        <v>-5.0835364766037804E-3</v>
      </c>
    </row>
    <row r="1067" spans="1:6" x14ac:dyDescent="0.35">
      <c r="A1067" s="22">
        <v>46044</v>
      </c>
      <c r="B1067">
        <v>336.5</v>
      </c>
      <c r="C1067">
        <v>336.5</v>
      </c>
      <c r="D1067">
        <v>336.5</v>
      </c>
      <c r="E1067">
        <v>336.5</v>
      </c>
      <c r="F1067" s="23">
        <f t="shared" si="16"/>
        <v>5.468073027161036E-3</v>
      </c>
    </row>
    <row r="1068" spans="1:6" x14ac:dyDescent="0.35">
      <c r="A1068" s="22">
        <v>46045</v>
      </c>
      <c r="B1068">
        <v>332.69</v>
      </c>
      <c r="C1068">
        <v>332.69</v>
      </c>
      <c r="D1068">
        <v>332.69</v>
      </c>
      <c r="E1068">
        <v>332.69</v>
      </c>
      <c r="F1068" s="23">
        <f t="shared" si="16"/>
        <v>-1.1322436849925713E-2</v>
      </c>
    </row>
    <row r="1069" spans="1:6" x14ac:dyDescent="0.35">
      <c r="A1069" s="22">
        <v>46049</v>
      </c>
      <c r="B1069">
        <v>333.99</v>
      </c>
      <c r="C1069">
        <v>333.99</v>
      </c>
      <c r="D1069">
        <v>333.99</v>
      </c>
      <c r="E1069">
        <v>333.99</v>
      </c>
      <c r="F1069" s="23">
        <f t="shared" si="16"/>
        <v>3.9075415552015736E-3</v>
      </c>
    </row>
    <row r="1070" spans="1:6" x14ac:dyDescent="0.35">
      <c r="A1070" s="22">
        <v>46050</v>
      </c>
      <c r="B1070">
        <v>337.82</v>
      </c>
      <c r="C1070">
        <v>337.82</v>
      </c>
      <c r="D1070">
        <v>337.82</v>
      </c>
      <c r="E1070">
        <v>337.82</v>
      </c>
      <c r="F1070" s="23">
        <f t="shared" si="16"/>
        <v>1.1467409203868332E-2</v>
      </c>
    </row>
    <row r="1071" spans="1:6" x14ac:dyDescent="0.35">
      <c r="A1071" s="22">
        <v>46051</v>
      </c>
      <c r="B1071">
        <v>338.2</v>
      </c>
      <c r="C1071">
        <v>338.2</v>
      </c>
      <c r="D1071">
        <v>338.2</v>
      </c>
      <c r="E1071">
        <v>338.2</v>
      </c>
      <c r="F1071" s="23">
        <f t="shared" si="16"/>
        <v>1.1248593925759147E-3</v>
      </c>
    </row>
    <row r="1072" spans="1:6" x14ac:dyDescent="0.35">
      <c r="A1072" s="22">
        <v>46052</v>
      </c>
      <c r="B1072">
        <v>338.21</v>
      </c>
      <c r="C1072">
        <v>338.21</v>
      </c>
      <c r="D1072">
        <v>338.21</v>
      </c>
      <c r="E1072">
        <v>338.21</v>
      </c>
      <c r="F1072" s="23">
        <f t="shared" si="16"/>
        <v>2.956830277939357E-5</v>
      </c>
    </row>
    <row r="1073" spans="1:6" x14ac:dyDescent="0.35">
      <c r="A1073" s="22">
        <v>46055</v>
      </c>
      <c r="B1073">
        <v>335.2</v>
      </c>
      <c r="C1073">
        <v>335.2</v>
      </c>
      <c r="D1073">
        <v>335.2</v>
      </c>
      <c r="E1073">
        <v>335.2</v>
      </c>
      <c r="F1073" s="23">
        <f t="shared" si="16"/>
        <v>-8.8997959847431814E-3</v>
      </c>
    </row>
    <row r="1074" spans="1:6" x14ac:dyDescent="0.35">
      <c r="A1074" s="22">
        <v>46056</v>
      </c>
      <c r="B1074">
        <v>343.76</v>
      </c>
      <c r="C1074">
        <v>343.76</v>
      </c>
      <c r="D1074">
        <v>343.76</v>
      </c>
      <c r="E1074">
        <v>343.76</v>
      </c>
      <c r="F1074" s="23">
        <f t="shared" si="16"/>
        <v>2.5536992840095474E-2</v>
      </c>
    </row>
    <row r="1075" spans="1:6" x14ac:dyDescent="0.35">
      <c r="A1075" s="22">
        <v>46057</v>
      </c>
      <c r="B1075">
        <v>344.65</v>
      </c>
      <c r="C1075">
        <v>344.65</v>
      </c>
      <c r="D1075">
        <v>344.65</v>
      </c>
      <c r="E1075">
        <v>344.65</v>
      </c>
      <c r="F1075" s="23">
        <f t="shared" si="16"/>
        <v>2.5890155922736395E-3</v>
      </c>
    </row>
    <row r="1076" spans="1:6" x14ac:dyDescent="0.35">
      <c r="A1076" s="22">
        <v>46058</v>
      </c>
      <c r="B1076">
        <v>343.58</v>
      </c>
      <c r="C1076">
        <v>343.58</v>
      </c>
      <c r="D1076">
        <v>343.58</v>
      </c>
      <c r="E1076">
        <v>343.58</v>
      </c>
      <c r="F1076" s="23">
        <f t="shared" si="16"/>
        <v>-3.1045988684172154E-3</v>
      </c>
    </row>
    <row r="1077" spans="1:6" x14ac:dyDescent="0.35">
      <c r="A1077" s="22">
        <v>46059</v>
      </c>
      <c r="B1077">
        <v>343.23</v>
      </c>
      <c r="C1077">
        <v>343.23</v>
      </c>
      <c r="D1077">
        <v>343.23</v>
      </c>
      <c r="E1077">
        <v>343.23</v>
      </c>
      <c r="F1077" s="23">
        <f t="shared" si="16"/>
        <v>-1.0186856045170437E-3</v>
      </c>
    </row>
    <row r="1078" spans="1:6" x14ac:dyDescent="0.35">
      <c r="A1078" s="22">
        <v>46062</v>
      </c>
      <c r="B1078">
        <v>347.13</v>
      </c>
      <c r="C1078">
        <v>347.13</v>
      </c>
      <c r="D1078">
        <v>347.13</v>
      </c>
      <c r="E1078">
        <v>347.13</v>
      </c>
      <c r="F1078" s="23">
        <f t="shared" si="16"/>
        <v>1.1362643125600843E-2</v>
      </c>
    </row>
    <row r="1079" spans="1:6" x14ac:dyDescent="0.35">
      <c r="A1079" s="22">
        <v>46063</v>
      </c>
      <c r="B1079">
        <v>348.02</v>
      </c>
      <c r="C1079">
        <v>348.02</v>
      </c>
      <c r="D1079">
        <v>348.02</v>
      </c>
      <c r="E1079">
        <v>348.02</v>
      </c>
      <c r="F1079" s="23">
        <f t="shared" si="16"/>
        <v>2.5638809667847388E-3</v>
      </c>
    </row>
    <row r="1080" spans="1:6" x14ac:dyDescent="0.35">
      <c r="A1080" s="22">
        <v>46064</v>
      </c>
      <c r="B1080">
        <v>348.76</v>
      </c>
      <c r="C1080">
        <v>348.76</v>
      </c>
      <c r="D1080">
        <v>348.76</v>
      </c>
      <c r="E1080">
        <v>348.76</v>
      </c>
      <c r="F1080" s="23">
        <f t="shared" si="16"/>
        <v>2.1263145796218872E-3</v>
      </c>
    </row>
    <row r="1081" spans="1:6" x14ac:dyDescent="0.35">
      <c r="A1081" s="22">
        <v>46065</v>
      </c>
      <c r="B1081">
        <v>347.32</v>
      </c>
      <c r="C1081">
        <v>347.32</v>
      </c>
      <c r="D1081">
        <v>347.32</v>
      </c>
      <c r="E1081">
        <v>347.32</v>
      </c>
      <c r="F1081" s="23">
        <f t="shared" si="16"/>
        <v>-4.1289138662690614E-3</v>
      </c>
    </row>
    <row r="1082" spans="1:6" x14ac:dyDescent="0.35">
      <c r="A1082" s="22">
        <v>46069</v>
      </c>
      <c r="B1082">
        <v>345.06</v>
      </c>
      <c r="C1082">
        <v>345.06</v>
      </c>
      <c r="D1082">
        <v>345.06</v>
      </c>
      <c r="E1082">
        <v>345.06</v>
      </c>
      <c r="F1082" s="23">
        <f t="shared" si="16"/>
        <v>-6.5069676379131379E-3</v>
      </c>
    </row>
    <row r="1083" spans="1:6" x14ac:dyDescent="0.35">
      <c r="A1083" s="22">
        <v>46070</v>
      </c>
      <c r="B1083">
        <v>345.91</v>
      </c>
      <c r="C1083">
        <v>345.91</v>
      </c>
      <c r="D1083">
        <v>345.91</v>
      </c>
      <c r="E1083">
        <v>345.91</v>
      </c>
      <c r="F1083" s="23">
        <f t="shared" si="16"/>
        <v>2.4633397090361754E-3</v>
      </c>
    </row>
    <row r="1084" spans="1:6" x14ac:dyDescent="0.35">
      <c r="A1084" s="22">
        <v>46071</v>
      </c>
      <c r="B1084">
        <v>347.13</v>
      </c>
      <c r="C1084">
        <v>347.13</v>
      </c>
      <c r="D1084">
        <v>347.13</v>
      </c>
      <c r="E1084">
        <v>347.13</v>
      </c>
      <c r="F1084" s="23">
        <f t="shared" si="16"/>
        <v>3.5269289699631995E-3</v>
      </c>
    </row>
    <row r="1085" spans="1:6" x14ac:dyDescent="0.35">
      <c r="A1085" s="22">
        <v>46072</v>
      </c>
      <c r="B1085">
        <v>341.88</v>
      </c>
      <c r="C1085">
        <v>341.88</v>
      </c>
      <c r="D1085">
        <v>341.88</v>
      </c>
      <c r="E1085">
        <v>341.88</v>
      </c>
      <c r="F1085" s="23">
        <f t="shared" si="16"/>
        <v>-1.5124016938898971E-2</v>
      </c>
    </row>
    <row r="1086" spans="1:6" x14ac:dyDescent="0.35">
      <c r="A1086" s="22">
        <v>46073</v>
      </c>
      <c r="B1086">
        <v>343.33</v>
      </c>
      <c r="C1086">
        <v>343.33</v>
      </c>
      <c r="D1086">
        <v>343.33</v>
      </c>
      <c r="E1086">
        <v>343.33</v>
      </c>
      <c r="F1086" s="23">
        <f t="shared" si="16"/>
        <v>4.2412542412542083E-3</v>
      </c>
    </row>
    <row r="1087" spans="1:6" x14ac:dyDescent="0.35">
      <c r="A1087" s="22">
        <v>46076</v>
      </c>
      <c r="B1087">
        <v>344.84</v>
      </c>
      <c r="C1087">
        <v>344.84</v>
      </c>
      <c r="D1087">
        <v>344.84</v>
      </c>
      <c r="E1087">
        <v>344.84</v>
      </c>
      <c r="F1087" s="23">
        <f t="shared" si="16"/>
        <v>4.3981009524364052E-3</v>
      </c>
    </row>
    <row r="1088" spans="1:6" x14ac:dyDescent="0.35">
      <c r="A1088" s="22">
        <v>46077</v>
      </c>
      <c r="B1088">
        <v>341.4</v>
      </c>
      <c r="C1088">
        <v>341.4</v>
      </c>
      <c r="D1088">
        <v>341.4</v>
      </c>
      <c r="E1088">
        <v>341.4</v>
      </c>
      <c r="F1088" s="23">
        <f t="shared" si="16"/>
        <v>-9.9756408769284249E-3</v>
      </c>
    </row>
    <row r="1089" spans="1:6" x14ac:dyDescent="0.35">
      <c r="A1089" s="22">
        <v>46078</v>
      </c>
      <c r="B1089">
        <v>343.12</v>
      </c>
      <c r="C1089">
        <v>343.12</v>
      </c>
      <c r="D1089">
        <v>343.12</v>
      </c>
      <c r="E1089">
        <v>343.12</v>
      </c>
      <c r="F1089" s="23">
        <f t="shared" si="16"/>
        <v>5.0380785002929916E-3</v>
      </c>
    </row>
    <row r="1090" spans="1:6" x14ac:dyDescent="0.35">
      <c r="A1090" s="22">
        <v>46079</v>
      </c>
      <c r="B1090">
        <v>344.1</v>
      </c>
      <c r="C1090">
        <v>344.1</v>
      </c>
      <c r="D1090">
        <v>344.1</v>
      </c>
      <c r="E1090">
        <v>344.1</v>
      </c>
      <c r="F1090" s="23">
        <f t="shared" si="16"/>
        <v>2.8561436232222492E-3</v>
      </c>
    </row>
    <row r="1091" spans="1:6" x14ac:dyDescent="0.35">
      <c r="A1091" s="22">
        <v>46080</v>
      </c>
      <c r="B1091">
        <v>339.67</v>
      </c>
      <c r="C1091">
        <v>339.67</v>
      </c>
      <c r="D1091">
        <v>339.67</v>
      </c>
      <c r="E1091">
        <v>339.67</v>
      </c>
      <c r="F1091" s="23">
        <f t="shared" ref="F1091:F1154" si="17">(B1091-B1090)/B1090</f>
        <v>-1.2874164487067732E-2</v>
      </c>
    </row>
    <row r="1092" spans="1:6" x14ac:dyDescent="0.35">
      <c r="A1092" s="22">
        <v>46083</v>
      </c>
      <c r="B1092">
        <v>335.41</v>
      </c>
      <c r="C1092">
        <v>335.41</v>
      </c>
      <c r="D1092">
        <v>335.41</v>
      </c>
      <c r="E1092">
        <v>335.41</v>
      </c>
      <c r="F1092" s="23">
        <f t="shared" si="17"/>
        <v>-1.2541584479053172E-2</v>
      </c>
    </row>
    <row r="1093" spans="1:6" x14ac:dyDescent="0.35">
      <c r="A1093" s="22">
        <v>46085</v>
      </c>
      <c r="B1093">
        <v>330.1</v>
      </c>
      <c r="C1093">
        <v>330.1</v>
      </c>
      <c r="D1093">
        <v>330.1</v>
      </c>
      <c r="E1093">
        <v>330.1</v>
      </c>
      <c r="F1093" s="23">
        <f t="shared" si="17"/>
        <v>-1.5831370561402467E-2</v>
      </c>
    </row>
    <row r="1094" spans="1:6" x14ac:dyDescent="0.35">
      <c r="A1094" s="22">
        <v>46086</v>
      </c>
      <c r="B1094">
        <v>333.62</v>
      </c>
      <c r="C1094">
        <v>333.62</v>
      </c>
      <c r="D1094">
        <v>333.62</v>
      </c>
      <c r="E1094">
        <v>333.62</v>
      </c>
      <c r="F1094" s="23">
        <f t="shared" si="17"/>
        <v>1.066343532262945E-2</v>
      </c>
    </row>
    <row r="1095" spans="1:6" x14ac:dyDescent="0.35">
      <c r="A1095" s="22">
        <v>46087</v>
      </c>
      <c r="B1095">
        <v>329.99</v>
      </c>
      <c r="C1095">
        <v>329.99</v>
      </c>
      <c r="D1095">
        <v>329.99</v>
      </c>
      <c r="E1095">
        <v>329.99</v>
      </c>
      <c r="F1095" s="23">
        <f t="shared" si="17"/>
        <v>-1.0880642647323288E-2</v>
      </c>
    </row>
    <row r="1096" spans="1:6" x14ac:dyDescent="0.35">
      <c r="A1096" s="22">
        <v>46090</v>
      </c>
      <c r="B1096">
        <v>324.38</v>
      </c>
      <c r="C1096">
        <v>324.38</v>
      </c>
      <c r="D1096">
        <v>324.38</v>
      </c>
      <c r="E1096">
        <v>324.38</v>
      </c>
      <c r="F1096" s="23">
        <f t="shared" si="17"/>
        <v>-1.7000515167126317E-2</v>
      </c>
    </row>
    <row r="1097" spans="1:6" x14ac:dyDescent="0.35">
      <c r="A1097" s="22">
        <v>46091</v>
      </c>
      <c r="B1097">
        <v>327.97</v>
      </c>
      <c r="C1097">
        <v>327.97</v>
      </c>
      <c r="D1097">
        <v>327.97</v>
      </c>
      <c r="E1097">
        <v>327.97</v>
      </c>
      <c r="F1097" s="23">
        <f t="shared" si="17"/>
        <v>1.1067266785868524E-2</v>
      </c>
    </row>
    <row r="1098" spans="1:6" x14ac:dyDescent="0.35">
      <c r="A1098" s="22">
        <v>46092</v>
      </c>
      <c r="B1098">
        <v>322.57</v>
      </c>
      <c r="C1098">
        <v>322.57</v>
      </c>
      <c r="D1098">
        <v>322.57</v>
      </c>
      <c r="E1098">
        <v>322.57</v>
      </c>
      <c r="F1098" s="23">
        <f t="shared" si="17"/>
        <v>-1.646492057200364E-2</v>
      </c>
    </row>
    <row r="1099" spans="1:6" x14ac:dyDescent="0.35">
      <c r="A1099" s="22">
        <v>46093</v>
      </c>
      <c r="B1099">
        <v>319.26</v>
      </c>
      <c r="C1099">
        <v>319.26</v>
      </c>
      <c r="D1099">
        <v>319.26</v>
      </c>
      <c r="E1099">
        <v>319.26</v>
      </c>
      <c r="F1099" s="23">
        <f t="shared" si="17"/>
        <v>-1.0261338624174604E-2</v>
      </c>
    </row>
    <row r="1100" spans="1:6" x14ac:dyDescent="0.35">
      <c r="A1100" s="22">
        <v>46094</v>
      </c>
      <c r="B1100">
        <v>312.33</v>
      </c>
      <c r="C1100">
        <v>312.33</v>
      </c>
      <c r="D1100">
        <v>312.33</v>
      </c>
      <c r="E1100">
        <v>312.33</v>
      </c>
      <c r="F1100" s="23">
        <f t="shared" si="17"/>
        <v>-2.1706446156737478E-2</v>
      </c>
    </row>
    <row r="1101" spans="1:6" x14ac:dyDescent="0.35">
      <c r="A1101" s="22">
        <v>46097</v>
      </c>
      <c r="B1101">
        <v>314.70999999999998</v>
      </c>
      <c r="C1101">
        <v>314.70999999999998</v>
      </c>
      <c r="D1101">
        <v>314.70999999999998</v>
      </c>
      <c r="E1101">
        <v>314.70999999999998</v>
      </c>
      <c r="F1101" s="23">
        <f t="shared" si="17"/>
        <v>7.6201453590753225E-3</v>
      </c>
    </row>
    <row r="1102" spans="1:6" x14ac:dyDescent="0.35">
      <c r="A1102" s="22">
        <v>46098</v>
      </c>
      <c r="B1102">
        <v>317.58</v>
      </c>
      <c r="C1102">
        <v>317.58</v>
      </c>
      <c r="D1102">
        <v>317.58</v>
      </c>
      <c r="E1102">
        <v>317.58</v>
      </c>
      <c r="F1102" s="23">
        <f t="shared" si="17"/>
        <v>9.1195068475739723E-3</v>
      </c>
    </row>
    <row r="1103" spans="1:6" x14ac:dyDescent="0.35">
      <c r="A1103" s="22">
        <v>46099</v>
      </c>
      <c r="B1103">
        <v>321.33999999999997</v>
      </c>
      <c r="C1103">
        <v>321.33999999999997</v>
      </c>
      <c r="D1103">
        <v>321.33999999999997</v>
      </c>
      <c r="E1103">
        <v>321.33999999999997</v>
      </c>
      <c r="F1103" s="23">
        <f t="shared" si="17"/>
        <v>1.1839536494741454E-2</v>
      </c>
    </row>
    <row r="1104" spans="1:6" x14ac:dyDescent="0.35">
      <c r="A1104" s="22">
        <v>46100</v>
      </c>
      <c r="B1104">
        <v>311.12</v>
      </c>
      <c r="C1104">
        <v>311.12</v>
      </c>
      <c r="D1104">
        <v>311.12</v>
      </c>
      <c r="E1104">
        <v>311.12</v>
      </c>
      <c r="F1104" s="23">
        <f t="shared" si="17"/>
        <v>-3.180431941246023E-2</v>
      </c>
    </row>
    <row r="1105" spans="1:6" x14ac:dyDescent="0.35">
      <c r="A1105" s="22">
        <v>46101</v>
      </c>
      <c r="B1105">
        <v>312.02999999999997</v>
      </c>
      <c r="C1105">
        <v>312.02999999999997</v>
      </c>
      <c r="D1105">
        <v>312.02999999999997</v>
      </c>
      <c r="E1105">
        <v>312.02999999999997</v>
      </c>
      <c r="F1105" s="23">
        <f t="shared" si="17"/>
        <v>2.9249164309590129E-3</v>
      </c>
    </row>
    <row r="1106" spans="1:6" x14ac:dyDescent="0.35">
      <c r="A1106" s="22">
        <v>46104</v>
      </c>
      <c r="B1106">
        <v>303.13</v>
      </c>
      <c r="C1106">
        <v>303.13</v>
      </c>
      <c r="D1106">
        <v>303.13</v>
      </c>
      <c r="E1106">
        <v>303.13</v>
      </c>
      <c r="F1106" s="23">
        <f t="shared" si="17"/>
        <v>-2.8522898439252566E-2</v>
      </c>
    </row>
    <row r="1107" spans="1:6" x14ac:dyDescent="0.35">
      <c r="A1107" s="22">
        <v>46105</v>
      </c>
      <c r="B1107">
        <v>309.64</v>
      </c>
      <c r="C1107">
        <v>309.64</v>
      </c>
      <c r="D1107">
        <v>309.64</v>
      </c>
      <c r="E1107">
        <v>309.64</v>
      </c>
      <c r="F1107" s="23">
        <f t="shared" si="17"/>
        <v>2.1475934417576586E-2</v>
      </c>
    </row>
    <row r="1108" spans="1:6" x14ac:dyDescent="0.35">
      <c r="A1108" s="22">
        <v>46106</v>
      </c>
      <c r="B1108">
        <v>315.32</v>
      </c>
      <c r="C1108">
        <v>315.32</v>
      </c>
      <c r="D1108">
        <v>315.32</v>
      </c>
      <c r="E1108">
        <v>315.32</v>
      </c>
      <c r="F1108" s="23">
        <f t="shared" si="17"/>
        <v>1.8343883219222347E-2</v>
      </c>
    </row>
    <row r="1109" spans="1:6" x14ac:dyDescent="0.35">
      <c r="A1109" s="22">
        <v>46108</v>
      </c>
      <c r="B1109">
        <v>308.33</v>
      </c>
      <c r="C1109">
        <v>308.33</v>
      </c>
      <c r="D1109">
        <v>308.33</v>
      </c>
      <c r="E1109">
        <v>308.33</v>
      </c>
      <c r="F1109" s="23">
        <f t="shared" si="17"/>
        <v>-2.2167956361791225E-2</v>
      </c>
    </row>
    <row r="1110" spans="1:6" x14ac:dyDescent="0.35">
      <c r="A1110" s="22">
        <v>46111</v>
      </c>
      <c r="B1110">
        <v>301.29000000000002</v>
      </c>
      <c r="C1110">
        <v>301.29000000000002</v>
      </c>
      <c r="D1110">
        <v>301.29000000000002</v>
      </c>
      <c r="E1110">
        <v>301.29000000000002</v>
      </c>
      <c r="F1110" s="23">
        <f t="shared" si="17"/>
        <v>-2.283267927220823E-2</v>
      </c>
    </row>
    <row r="1111" spans="1:6" x14ac:dyDescent="0.35">
      <c r="A1111" s="22">
        <v>46112</v>
      </c>
      <c r="B1111">
        <v>301.27999999999997</v>
      </c>
      <c r="C1111">
        <v>301.27999999999997</v>
      </c>
      <c r="D1111">
        <v>301.27999999999997</v>
      </c>
      <c r="E1111">
        <v>301.27999999999997</v>
      </c>
      <c r="F1111" s="23">
        <f t="shared" si="17"/>
        <v>-3.3190613694605691E-5</v>
      </c>
    </row>
    <row r="1112" spans="1:6" x14ac:dyDescent="0.35">
      <c r="A1112" s="22">
        <v>46113</v>
      </c>
      <c r="B1112">
        <v>307.02999999999997</v>
      </c>
      <c r="C1112">
        <v>307.02999999999997</v>
      </c>
      <c r="D1112">
        <v>307.02999999999997</v>
      </c>
      <c r="E1112">
        <v>307.02999999999997</v>
      </c>
      <c r="F1112" s="23">
        <f t="shared" si="17"/>
        <v>1.9085236325013279E-2</v>
      </c>
    </row>
    <row r="1113" spans="1:6" x14ac:dyDescent="0.35">
      <c r="A1113" s="22">
        <v>46114</v>
      </c>
      <c r="B1113">
        <v>307.39999999999998</v>
      </c>
      <c r="C1113">
        <v>307.39999999999998</v>
      </c>
      <c r="D1113">
        <v>307.39999999999998</v>
      </c>
      <c r="E1113">
        <v>307.39999999999998</v>
      </c>
      <c r="F1113" s="23">
        <f t="shared" si="17"/>
        <v>1.205093964759159E-3</v>
      </c>
    </row>
    <row r="1114" spans="1:6" x14ac:dyDescent="0.35">
      <c r="A1114" s="22">
        <v>46118</v>
      </c>
      <c r="B1114">
        <v>311.39999999999998</v>
      </c>
      <c r="C1114">
        <v>311.39999999999998</v>
      </c>
      <c r="D1114">
        <v>311.39999999999998</v>
      </c>
      <c r="E1114">
        <v>311.39999999999998</v>
      </c>
      <c r="F1114" s="23">
        <f t="shared" si="17"/>
        <v>1.3012361743656475E-2</v>
      </c>
    </row>
    <row r="1115" spans="1:6" x14ac:dyDescent="0.35">
      <c r="A1115" s="22">
        <v>46119</v>
      </c>
      <c r="B1115">
        <v>312.5</v>
      </c>
      <c r="C1115">
        <v>312.5</v>
      </c>
      <c r="D1115">
        <v>312.5</v>
      </c>
      <c r="E1115">
        <v>312.5</v>
      </c>
      <c r="F1115" s="23">
        <f t="shared" si="17"/>
        <v>3.5324341682723918E-3</v>
      </c>
    </row>
    <row r="1116" spans="1:6" x14ac:dyDescent="0.35">
      <c r="A1116" s="22">
        <v>46120</v>
      </c>
      <c r="B1116">
        <v>324.8</v>
      </c>
      <c r="C1116">
        <v>324.8</v>
      </c>
      <c r="D1116">
        <v>324.8</v>
      </c>
      <c r="E1116">
        <v>324.8</v>
      </c>
      <c r="F1116" s="23">
        <f t="shared" si="17"/>
        <v>3.9360000000000034E-2</v>
      </c>
    </row>
    <row r="1117" spans="1:6" x14ac:dyDescent="0.35">
      <c r="A1117" s="22">
        <v>46121</v>
      </c>
      <c r="B1117">
        <v>322.33999999999997</v>
      </c>
      <c r="C1117">
        <v>322.33999999999997</v>
      </c>
      <c r="D1117">
        <v>322.33999999999997</v>
      </c>
      <c r="E1117">
        <v>322.33999999999997</v>
      </c>
      <c r="F1117" s="23">
        <f t="shared" si="17"/>
        <v>-7.5738916256158752E-3</v>
      </c>
    </row>
    <row r="1118" spans="1:6" x14ac:dyDescent="0.35">
      <c r="A1118" s="22">
        <v>46122</v>
      </c>
      <c r="B1118">
        <v>326.86</v>
      </c>
      <c r="C1118">
        <v>326.86</v>
      </c>
      <c r="D1118">
        <v>326.86</v>
      </c>
      <c r="E1118">
        <v>326.86</v>
      </c>
      <c r="F1118" s="23">
        <f t="shared" si="17"/>
        <v>1.402246075572389E-2</v>
      </c>
    </row>
    <row r="1119" spans="1:6" x14ac:dyDescent="0.35">
      <c r="A1119" s="22">
        <v>46125</v>
      </c>
      <c r="B1119">
        <v>324.13</v>
      </c>
      <c r="C1119">
        <v>324.13</v>
      </c>
      <c r="D1119">
        <v>324.13</v>
      </c>
      <c r="E1119">
        <v>324.13</v>
      </c>
      <c r="F1119" s="23">
        <f t="shared" si="17"/>
        <v>-8.3521997185339834E-3</v>
      </c>
    </row>
    <row r="1120" spans="1:6" x14ac:dyDescent="0.35">
      <c r="A1120" s="22">
        <v>46127</v>
      </c>
      <c r="B1120">
        <v>330.27</v>
      </c>
      <c r="C1120">
        <v>330.27</v>
      </c>
      <c r="D1120">
        <v>330.27</v>
      </c>
      <c r="E1120">
        <v>330.27</v>
      </c>
      <c r="F1120" s="23">
        <f t="shared" si="17"/>
        <v>1.8943016690833883E-2</v>
      </c>
    </row>
    <row r="1121" spans="1:6" x14ac:dyDescent="0.35">
      <c r="A1121" s="22">
        <v>46128</v>
      </c>
      <c r="B1121">
        <v>331.26</v>
      </c>
      <c r="C1121">
        <v>331.26</v>
      </c>
      <c r="D1121">
        <v>331.26</v>
      </c>
      <c r="E1121">
        <v>331.26</v>
      </c>
      <c r="F1121" s="23">
        <f t="shared" si="17"/>
        <v>2.9975474611681628E-3</v>
      </c>
    </row>
    <row r="1122" spans="1:6" x14ac:dyDescent="0.35">
      <c r="A1122" s="22">
        <v>46129</v>
      </c>
      <c r="B1122">
        <v>333.79</v>
      </c>
      <c r="C1122">
        <v>333.79</v>
      </c>
      <c r="D1122">
        <v>333.79</v>
      </c>
      <c r="E1122">
        <v>333.79</v>
      </c>
      <c r="F1122" s="23">
        <f t="shared" si="17"/>
        <v>7.6375052828594747E-3</v>
      </c>
    </row>
    <row r="1123" spans="1:6" x14ac:dyDescent="0.35">
      <c r="A1123" s="22">
        <v>46132</v>
      </c>
      <c r="B1123">
        <v>334.46</v>
      </c>
      <c r="C1123">
        <v>334.46</v>
      </c>
      <c r="D1123">
        <v>334.46</v>
      </c>
      <c r="E1123">
        <v>334.46</v>
      </c>
      <c r="F1123" s="23">
        <f t="shared" si="17"/>
        <v>2.0072500674075287E-3</v>
      </c>
    </row>
    <row r="1124" spans="1:6" x14ac:dyDescent="0.35">
      <c r="A1124" s="22">
        <v>46133</v>
      </c>
      <c r="B1124">
        <v>337.06</v>
      </c>
      <c r="C1124">
        <v>337.06</v>
      </c>
      <c r="D1124">
        <v>337.06</v>
      </c>
      <c r="E1124">
        <v>337.06</v>
      </c>
      <c r="F1124" s="23">
        <f t="shared" si="17"/>
        <v>7.7737248101417897E-3</v>
      </c>
    </row>
    <row r="1125" spans="1:6" x14ac:dyDescent="0.35">
      <c r="A1125" s="22">
        <v>46134</v>
      </c>
      <c r="B1125">
        <v>335.63</v>
      </c>
      <c r="C1125">
        <v>335.63</v>
      </c>
      <c r="D1125">
        <v>335.63</v>
      </c>
      <c r="E1125">
        <v>335.63</v>
      </c>
      <c r="F1125" s="23">
        <f t="shared" si="17"/>
        <v>-4.2425680887675987E-3</v>
      </c>
    </row>
    <row r="1126" spans="1:6" x14ac:dyDescent="0.35">
      <c r="A1126" s="22">
        <v>46135</v>
      </c>
      <c r="B1126">
        <v>332.72</v>
      </c>
      <c r="C1126">
        <v>332.72</v>
      </c>
      <c r="D1126">
        <v>332.72</v>
      </c>
      <c r="E1126">
        <v>332.72</v>
      </c>
      <c r="F1126" s="23">
        <f t="shared" si="17"/>
        <v>-8.6702618955396358E-3</v>
      </c>
    </row>
    <row r="1127" spans="1:6" x14ac:dyDescent="0.35">
      <c r="A1127" s="22">
        <v>46136</v>
      </c>
      <c r="B1127">
        <v>329.27</v>
      </c>
      <c r="C1127">
        <v>329.27</v>
      </c>
      <c r="D1127">
        <v>329.27</v>
      </c>
      <c r="E1127">
        <v>329.27</v>
      </c>
      <c r="F1127" s="23">
        <f t="shared" si="17"/>
        <v>-1.0369079105554355E-2</v>
      </c>
    </row>
    <row r="1128" spans="1:6" x14ac:dyDescent="0.35">
      <c r="A1128" s="22">
        <v>46139</v>
      </c>
      <c r="B1128">
        <v>332.24</v>
      </c>
      <c r="C1128">
        <v>332.24</v>
      </c>
      <c r="D1128">
        <v>332.24</v>
      </c>
      <c r="E1128">
        <v>332.24</v>
      </c>
      <c r="F1128" s="23">
        <f t="shared" si="17"/>
        <v>9.0199532298722244E-3</v>
      </c>
    </row>
    <row r="1129" spans="1:6" x14ac:dyDescent="0.35">
      <c r="A1129" s="22">
        <v>46140</v>
      </c>
      <c r="B1129">
        <v>331.05</v>
      </c>
      <c r="C1129">
        <v>331.05</v>
      </c>
      <c r="D1129">
        <v>331.05</v>
      </c>
      <c r="E1129">
        <v>331.05</v>
      </c>
      <c r="F1129" s="23">
        <f t="shared" si="17"/>
        <v>-3.5817481338791166E-3</v>
      </c>
    </row>
    <row r="1130" spans="1:6" x14ac:dyDescent="0.35">
      <c r="A1130" s="22">
        <v>46141</v>
      </c>
      <c r="B1130">
        <v>332.54</v>
      </c>
      <c r="C1130">
        <v>332.54</v>
      </c>
      <c r="D1130">
        <v>332.54</v>
      </c>
      <c r="E1130">
        <v>332.54</v>
      </c>
      <c r="F1130" s="23">
        <f t="shared" si="17"/>
        <v>4.5008306902280899E-3</v>
      </c>
    </row>
    <row r="1131" spans="1:6" x14ac:dyDescent="0.35">
      <c r="A1131" s="22">
        <v>46142</v>
      </c>
      <c r="B1131">
        <v>329.62</v>
      </c>
      <c r="C1131">
        <v>329.62</v>
      </c>
      <c r="D1131">
        <v>329.62</v>
      </c>
      <c r="E1131">
        <v>329.62</v>
      </c>
      <c r="F1131" s="23">
        <f t="shared" si="17"/>
        <v>-8.7808985385217295E-3</v>
      </c>
    </row>
    <row r="1132" spans="1:6" x14ac:dyDescent="0.35">
      <c r="A1132" s="22">
        <v>46146</v>
      </c>
      <c r="B1132">
        <v>331.38</v>
      </c>
      <c r="C1132">
        <v>331.38</v>
      </c>
      <c r="D1132">
        <v>331.38</v>
      </c>
      <c r="E1132">
        <v>331.38</v>
      </c>
      <c r="F1132" s="23">
        <f t="shared" si="17"/>
        <v>5.3394818275589798E-3</v>
      </c>
    </row>
    <row r="1133" spans="1:6" x14ac:dyDescent="0.35">
      <c r="A1133" s="22">
        <v>46147</v>
      </c>
      <c r="B1133">
        <v>331.14</v>
      </c>
      <c r="C1133">
        <v>331.14</v>
      </c>
      <c r="D1133">
        <v>331.14</v>
      </c>
      <c r="E1133">
        <v>331.14</v>
      </c>
      <c r="F1133" s="23">
        <f t="shared" si="17"/>
        <v>-7.2424407025170232E-4</v>
      </c>
    </row>
    <row r="1134" spans="1:6" x14ac:dyDescent="0.35">
      <c r="A1134" s="22">
        <v>46148</v>
      </c>
      <c r="B1134">
        <v>335.92</v>
      </c>
      <c r="C1134">
        <v>335.92</v>
      </c>
      <c r="D1134">
        <v>335.92</v>
      </c>
      <c r="E1134">
        <v>335.92</v>
      </c>
      <c r="F1134" s="23">
        <f t="shared" si="17"/>
        <v>1.4434982182762667E-2</v>
      </c>
    </row>
    <row r="1135" spans="1:6" x14ac:dyDescent="0.35">
      <c r="A1135" s="22">
        <v>46149</v>
      </c>
      <c r="B1135">
        <v>337.16</v>
      </c>
      <c r="C1135">
        <v>337.16</v>
      </c>
      <c r="D1135">
        <v>337.16</v>
      </c>
      <c r="E1135">
        <v>337.16</v>
      </c>
      <c r="F1135" s="23">
        <f t="shared" si="17"/>
        <v>3.6913550845439659E-3</v>
      </c>
    </row>
    <row r="1136" spans="1:6" x14ac:dyDescent="0.35">
      <c r="A1136" s="22">
        <v>46150</v>
      </c>
      <c r="B1136">
        <v>335.68</v>
      </c>
      <c r="C1136">
        <v>335.68</v>
      </c>
      <c r="D1136">
        <v>335.68</v>
      </c>
      <c r="E1136">
        <v>335.68</v>
      </c>
      <c r="F1136" s="23">
        <f t="shared" si="17"/>
        <v>-4.3896073081030312E-3</v>
      </c>
    </row>
    <row r="1137" spans="1:6" x14ac:dyDescent="0.35">
      <c r="A1137" s="22">
        <v>46153</v>
      </c>
      <c r="B1137">
        <v>331.54</v>
      </c>
      <c r="C1137">
        <v>331.54</v>
      </c>
      <c r="D1137">
        <v>331.54</v>
      </c>
      <c r="E1137">
        <v>331.54</v>
      </c>
      <c r="F1137" s="23">
        <f t="shared" si="17"/>
        <v>-1.2333174451858872E-2</v>
      </c>
    </row>
    <row r="1138" spans="1:6" x14ac:dyDescent="0.35">
      <c r="A1138" s="22">
        <v>46154</v>
      </c>
      <c r="B1138">
        <v>324.44</v>
      </c>
      <c r="C1138">
        <v>324.44</v>
      </c>
      <c r="D1138">
        <v>324.44</v>
      </c>
      <c r="E1138">
        <v>324.44</v>
      </c>
      <c r="F1138" s="23">
        <f t="shared" si="17"/>
        <v>-2.1415213850515841E-2</v>
      </c>
    </row>
    <row r="1139" spans="1:6" x14ac:dyDescent="0.35">
      <c r="A1139" s="22">
        <v>46155</v>
      </c>
      <c r="B1139">
        <v>324.56</v>
      </c>
      <c r="C1139">
        <v>324.56</v>
      </c>
      <c r="D1139">
        <v>324.56</v>
      </c>
      <c r="E1139">
        <v>324.56</v>
      </c>
      <c r="F1139" s="23">
        <f t="shared" si="17"/>
        <v>3.6986808038467681E-4</v>
      </c>
    </row>
    <row r="1140" spans="1:6" x14ac:dyDescent="0.35">
      <c r="A1140" s="22">
        <v>46156</v>
      </c>
      <c r="B1140">
        <v>328.34</v>
      </c>
      <c r="C1140">
        <v>328.34</v>
      </c>
      <c r="D1140">
        <v>328.34</v>
      </c>
      <c r="E1140">
        <v>328.34</v>
      </c>
      <c r="F1140" s="23">
        <f t="shared" si="17"/>
        <v>1.1646536849888997E-2</v>
      </c>
    </row>
    <row r="1141" spans="1:6" x14ac:dyDescent="0.35">
      <c r="A1141" s="22">
        <v>46157</v>
      </c>
      <c r="B1141">
        <v>328.11</v>
      </c>
      <c r="C1141">
        <v>328.11</v>
      </c>
      <c r="D1141">
        <v>328.11</v>
      </c>
      <c r="E1141">
        <v>328.11</v>
      </c>
      <c r="F1141" s="23">
        <f t="shared" si="17"/>
        <v>-7.0049339099701943E-4</v>
      </c>
    </row>
    <row r="1142" spans="1:6" x14ac:dyDescent="0.35">
      <c r="A1142" s="22">
        <v>46160</v>
      </c>
      <c r="B1142">
        <v>327.75</v>
      </c>
      <c r="C1142">
        <v>327.75</v>
      </c>
      <c r="D1142">
        <v>327.75</v>
      </c>
      <c r="E1142">
        <v>327.75</v>
      </c>
      <c r="F1142" s="23">
        <f t="shared" si="17"/>
        <v>-1.097193014537849E-3</v>
      </c>
    </row>
    <row r="1143" spans="1:6" x14ac:dyDescent="0.35">
      <c r="A1143" s="22">
        <v>46161</v>
      </c>
      <c r="B1143">
        <v>328.5</v>
      </c>
      <c r="C1143">
        <v>328.5</v>
      </c>
      <c r="D1143">
        <v>328.5</v>
      </c>
      <c r="E1143">
        <v>328.5</v>
      </c>
      <c r="F1143" s="23">
        <f t="shared" si="17"/>
        <v>2.2883295194508009E-3</v>
      </c>
    </row>
    <row r="1144" spans="1:6" x14ac:dyDescent="0.35">
      <c r="A1144" s="22">
        <v>46162</v>
      </c>
      <c r="B1144">
        <v>329.32</v>
      </c>
      <c r="C1144">
        <v>329.32</v>
      </c>
      <c r="D1144">
        <v>329.32</v>
      </c>
      <c r="E1144">
        <v>329.32</v>
      </c>
      <c r="F1144" s="23">
        <f t="shared" si="17"/>
        <v>2.4961948249619275E-3</v>
      </c>
    </row>
    <row r="1145" spans="1:6" x14ac:dyDescent="0.35">
      <c r="A1145" s="22">
        <v>46163</v>
      </c>
      <c r="B1145">
        <v>329.63</v>
      </c>
      <c r="C1145">
        <v>329.63</v>
      </c>
      <c r="D1145">
        <v>329.63</v>
      </c>
      <c r="E1145">
        <v>329.63</v>
      </c>
      <c r="F1145" s="23">
        <f t="shared" si="17"/>
        <v>9.4133365723309329E-4</v>
      </c>
    </row>
    <row r="1146" spans="1:6" x14ac:dyDescent="0.35">
      <c r="A1146" s="22">
        <v>46164</v>
      </c>
      <c r="B1146">
        <v>330.4</v>
      </c>
      <c r="C1146">
        <v>330.4</v>
      </c>
      <c r="D1146">
        <v>330.4</v>
      </c>
      <c r="E1146">
        <v>329.63</v>
      </c>
      <c r="F1146" s="23">
        <f t="shared" si="17"/>
        <v>2.3359524315140667E-3</v>
      </c>
    </row>
    <row r="1147" spans="1:6" x14ac:dyDescent="0.35">
      <c r="A1147" s="22">
        <v>46167</v>
      </c>
      <c r="B1147">
        <v>333.52</v>
      </c>
      <c r="C1147">
        <v>333.52</v>
      </c>
      <c r="D1147">
        <v>333.52</v>
      </c>
      <c r="E1147">
        <v>333.52</v>
      </c>
      <c r="F1147" s="23">
        <f t="shared" si="17"/>
        <v>9.4430992736077631E-3</v>
      </c>
    </row>
    <row r="1148" spans="1:6" x14ac:dyDescent="0.35">
      <c r="A1148" s="22">
        <v>46168</v>
      </c>
      <c r="B1148">
        <v>332.35</v>
      </c>
      <c r="C1148">
        <v>332.35</v>
      </c>
      <c r="D1148">
        <v>332.35</v>
      </c>
      <c r="E1148">
        <v>332.35</v>
      </c>
      <c r="F1148" s="23">
        <f t="shared" si="17"/>
        <v>-3.5080355001198102E-3</v>
      </c>
    </row>
    <row r="1149" spans="1:6" x14ac:dyDescent="0.35">
      <c r="A1149" s="22">
        <v>46169</v>
      </c>
      <c r="B1149">
        <v>333.04</v>
      </c>
      <c r="C1149">
        <v>333.04</v>
      </c>
      <c r="D1149">
        <v>333.04</v>
      </c>
      <c r="E1149">
        <v>333.04</v>
      </c>
      <c r="F1149" s="23">
        <f t="shared" si="17"/>
        <v>2.0761245674740417E-3</v>
      </c>
    </row>
    <row r="1150" spans="1:6" x14ac:dyDescent="0.35">
      <c r="A1150" s="22">
        <v>46171</v>
      </c>
      <c r="B1150">
        <v>328.34</v>
      </c>
      <c r="C1150">
        <v>328.34</v>
      </c>
      <c r="D1150">
        <v>328.34</v>
      </c>
      <c r="E1150">
        <v>328.34</v>
      </c>
      <c r="F1150" s="23">
        <f t="shared" si="17"/>
        <v>-1.4112418928657354E-2</v>
      </c>
    </row>
    <row r="1151" spans="1:6" x14ac:dyDescent="0.35">
      <c r="A1151" s="22">
        <v>46174</v>
      </c>
      <c r="B1151">
        <v>324.89</v>
      </c>
      <c r="C1151">
        <v>324.89</v>
      </c>
      <c r="D1151">
        <v>324.89</v>
      </c>
      <c r="E1151">
        <v>324.89</v>
      </c>
      <c r="F1151" s="23">
        <f t="shared" si="17"/>
        <v>-1.0507400864957023E-2</v>
      </c>
    </row>
    <row r="1152" spans="1:6" x14ac:dyDescent="0.35">
      <c r="A1152" s="22">
        <v>46175</v>
      </c>
      <c r="B1152">
        <v>326.04000000000002</v>
      </c>
      <c r="C1152">
        <v>326.04000000000002</v>
      </c>
      <c r="D1152">
        <v>326.04000000000002</v>
      </c>
      <c r="E1152">
        <v>326.04000000000002</v>
      </c>
      <c r="F1152" s="23">
        <f t="shared" si="17"/>
        <v>3.5396595770877349E-3</v>
      </c>
    </row>
    <row r="1153" spans="1:6" x14ac:dyDescent="0.35">
      <c r="A1153" s="22">
        <v>46176</v>
      </c>
      <c r="B1153">
        <v>324.76</v>
      </c>
      <c r="C1153">
        <v>324.76</v>
      </c>
      <c r="D1153">
        <v>324.76</v>
      </c>
      <c r="E1153">
        <v>324.76</v>
      </c>
      <c r="F1153" s="23">
        <f t="shared" si="17"/>
        <v>-3.9258986627408584E-3</v>
      </c>
    </row>
    <row r="1154" spans="1:6" x14ac:dyDescent="0.35">
      <c r="A1154" s="22">
        <v>46177</v>
      </c>
      <c r="B1154">
        <v>325.32</v>
      </c>
      <c r="C1154">
        <v>325.32</v>
      </c>
      <c r="D1154">
        <v>325.32</v>
      </c>
      <c r="E1154">
        <v>325.32</v>
      </c>
      <c r="F1154" s="23">
        <f t="shared" si="17"/>
        <v>1.7243502894445199E-3</v>
      </c>
    </row>
    <row r="1155" spans="1:6" x14ac:dyDescent="0.35">
      <c r="A1155" s="22">
        <v>46178</v>
      </c>
      <c r="B1155">
        <v>325.24</v>
      </c>
      <c r="C1155">
        <v>325.24</v>
      </c>
      <c r="D1155">
        <v>325.24</v>
      </c>
      <c r="E1155">
        <v>325.24</v>
      </c>
      <c r="F1155" s="23">
        <f t="shared" ref="F1155:F1217" si="18">(B1155-B1154)/B1154</f>
        <v>-2.4591171769329918E-4</v>
      </c>
    </row>
    <row r="1156" spans="1:6" x14ac:dyDescent="0.35">
      <c r="A1156" s="22">
        <v>46181</v>
      </c>
      <c r="B1156">
        <v>321.35000000000002</v>
      </c>
      <c r="C1156">
        <v>321.35000000000002</v>
      </c>
      <c r="D1156">
        <v>321.35000000000002</v>
      </c>
      <c r="E1156">
        <v>321.35000000000002</v>
      </c>
      <c r="F1156" s="23">
        <f t="shared" si="18"/>
        <v>-1.1960398474972286E-2</v>
      </c>
    </row>
    <row r="1157" spans="1:6" x14ac:dyDescent="0.35">
      <c r="A1157" s="22">
        <v>46182</v>
      </c>
      <c r="B1157">
        <v>324.17</v>
      </c>
      <c r="C1157">
        <v>324.17</v>
      </c>
      <c r="D1157">
        <v>324.17</v>
      </c>
      <c r="E1157">
        <v>324.17</v>
      </c>
      <c r="F1157" s="23">
        <f t="shared" si="18"/>
        <v>8.7754784502878259E-3</v>
      </c>
    </row>
    <row r="1158" spans="1:6" x14ac:dyDescent="0.35">
      <c r="A1158" s="22">
        <v>46183</v>
      </c>
      <c r="B1158">
        <v>322.98</v>
      </c>
      <c r="C1158">
        <v>322.98</v>
      </c>
      <c r="D1158">
        <v>322.98</v>
      </c>
      <c r="E1158">
        <v>322.98</v>
      </c>
      <c r="F1158" s="23">
        <f t="shared" si="18"/>
        <v>-3.6709134096307421E-3</v>
      </c>
    </row>
    <row r="1159" spans="1:6" x14ac:dyDescent="0.35">
      <c r="A1159" s="22">
        <v>46184</v>
      </c>
      <c r="B1159">
        <v>321.52</v>
      </c>
      <c r="C1159">
        <v>321.52</v>
      </c>
      <c r="D1159">
        <v>321.52</v>
      </c>
      <c r="E1159">
        <v>321.52</v>
      </c>
      <c r="F1159" s="23">
        <f t="shared" si="18"/>
        <v>-4.5204037401697823E-3</v>
      </c>
    </row>
    <row r="1160" spans="1:6" x14ac:dyDescent="0.35">
      <c r="A1160" s="22">
        <v>46185</v>
      </c>
      <c r="B1160">
        <v>327.96</v>
      </c>
      <c r="C1160">
        <v>327.96</v>
      </c>
      <c r="D1160">
        <v>327.96</v>
      </c>
      <c r="E1160">
        <v>327.96</v>
      </c>
      <c r="F1160" s="23">
        <f t="shared" si="18"/>
        <v>2.0029858173675037E-2</v>
      </c>
    </row>
    <row r="1161" spans="1:6" x14ac:dyDescent="0.35">
      <c r="A1161" s="22">
        <v>46188</v>
      </c>
      <c r="B1161">
        <v>332.96</v>
      </c>
      <c r="C1161">
        <v>332.96</v>
      </c>
      <c r="D1161">
        <v>332.96</v>
      </c>
      <c r="E1161">
        <v>332.96</v>
      </c>
      <c r="F1161" s="23">
        <f t="shared" si="18"/>
        <v>1.5245761678253446E-2</v>
      </c>
    </row>
    <row r="1162" spans="1:6" x14ac:dyDescent="0.35">
      <c r="A1162" s="22">
        <v>46189</v>
      </c>
      <c r="B1162">
        <v>333.97</v>
      </c>
      <c r="C1162">
        <v>333.97</v>
      </c>
      <c r="D1162">
        <v>333.97</v>
      </c>
      <c r="E1162">
        <v>333.97</v>
      </c>
      <c r="F1162" s="23">
        <f t="shared" si="18"/>
        <v>3.0333974050938484E-3</v>
      </c>
    </row>
    <row r="1163" spans="1:6" x14ac:dyDescent="0.35">
      <c r="A1163" s="22">
        <v>46190</v>
      </c>
      <c r="B1163">
        <v>336.45</v>
      </c>
      <c r="C1163">
        <v>336.45</v>
      </c>
      <c r="D1163">
        <v>336.45</v>
      </c>
      <c r="E1163">
        <v>336.45</v>
      </c>
      <c r="F1163" s="23">
        <f t="shared" si="18"/>
        <v>7.4258166901217506E-3</v>
      </c>
    </row>
    <row r="1164" spans="1:6" x14ac:dyDescent="0.35">
      <c r="A1164" s="22">
        <v>46191</v>
      </c>
      <c r="B1164">
        <v>338.04</v>
      </c>
      <c r="C1164">
        <v>338.04</v>
      </c>
      <c r="D1164">
        <v>338.04</v>
      </c>
      <c r="E1164">
        <v>338.04</v>
      </c>
      <c r="F1164" s="23">
        <f t="shared" si="18"/>
        <v>4.7258136424432511E-3</v>
      </c>
    </row>
    <row r="1165" spans="1:6" x14ac:dyDescent="0.35">
      <c r="A1165" s="22">
        <v>46192</v>
      </c>
      <c r="B1165">
        <v>337.5</v>
      </c>
      <c r="C1165">
        <v>337.5</v>
      </c>
      <c r="D1165">
        <v>337.5</v>
      </c>
      <c r="E1165">
        <v>337.5</v>
      </c>
      <c r="F1165" s="23">
        <f t="shared" si="18"/>
        <v>-1.5974440894569294E-3</v>
      </c>
    </row>
    <row r="1166" spans="1:6" x14ac:dyDescent="0.35">
      <c r="A1166" s="22">
        <v>46195</v>
      </c>
      <c r="B1166">
        <v>338.85</v>
      </c>
      <c r="C1166">
        <v>338.85</v>
      </c>
      <c r="D1166">
        <v>338.85</v>
      </c>
      <c r="E1166">
        <v>338.85</v>
      </c>
      <c r="F1166" s="23">
        <f t="shared" si="18"/>
        <v>4.0000000000000677E-3</v>
      </c>
    </row>
    <row r="1167" spans="1:6" x14ac:dyDescent="0.35">
      <c r="A1167" s="22">
        <v>46196</v>
      </c>
      <c r="B1167">
        <v>335.75</v>
      </c>
      <c r="C1167">
        <v>335.75</v>
      </c>
      <c r="D1167">
        <v>335.75</v>
      </c>
      <c r="E1167">
        <v>335.75</v>
      </c>
      <c r="F1167" s="23">
        <f t="shared" si="18"/>
        <v>-9.1485908218976609E-3</v>
      </c>
    </row>
    <row r="1168" spans="1:6" x14ac:dyDescent="0.35">
      <c r="A1168" s="22">
        <v>46197</v>
      </c>
      <c r="B1168">
        <v>337.62</v>
      </c>
      <c r="C1168">
        <v>337.62</v>
      </c>
      <c r="D1168">
        <v>337.62</v>
      </c>
      <c r="E1168">
        <v>337.62</v>
      </c>
      <c r="F1168" s="23">
        <f t="shared" si="18"/>
        <v>5.5696202531645709E-3</v>
      </c>
    </row>
    <row r="1169" spans="1:6" x14ac:dyDescent="0.35">
      <c r="A1169" s="22">
        <v>46198</v>
      </c>
      <c r="B1169">
        <v>338.42</v>
      </c>
      <c r="C1169">
        <v>338.42</v>
      </c>
      <c r="D1169">
        <v>338.42</v>
      </c>
      <c r="E1169">
        <v>338.42</v>
      </c>
      <c r="F1169" s="23">
        <f t="shared" si="18"/>
        <v>2.3695278715716232E-3</v>
      </c>
    </row>
    <row r="1170" spans="1:6" x14ac:dyDescent="0.35">
      <c r="A1170" s="22">
        <v>46202</v>
      </c>
      <c r="B1170">
        <v>336.52</v>
      </c>
      <c r="C1170">
        <v>336.52</v>
      </c>
      <c r="D1170">
        <v>336.52</v>
      </c>
      <c r="E1170">
        <v>336.52</v>
      </c>
      <c r="F1170" s="23">
        <f t="shared" si="18"/>
        <v>-5.614325394480332E-3</v>
      </c>
    </row>
    <row r="1171" spans="1:6" x14ac:dyDescent="0.35">
      <c r="A1171" s="22">
        <v>46203</v>
      </c>
      <c r="B1171">
        <v>336.71</v>
      </c>
      <c r="C1171">
        <v>336.71</v>
      </c>
      <c r="D1171">
        <v>336.71</v>
      </c>
      <c r="E1171">
        <v>336.71</v>
      </c>
      <c r="F1171" s="23">
        <f t="shared" si="18"/>
        <v>5.6460240104599349E-4</v>
      </c>
    </row>
    <row r="1172" spans="1:6" x14ac:dyDescent="0.35">
      <c r="A1172" s="22">
        <v>46204</v>
      </c>
      <c r="B1172">
        <v>338.88</v>
      </c>
      <c r="C1172">
        <v>338.88</v>
      </c>
      <c r="D1172">
        <v>338.88</v>
      </c>
      <c r="E1172">
        <v>338.88</v>
      </c>
      <c r="F1172" s="23">
        <f t="shared" si="18"/>
        <v>6.4447150366784946E-3</v>
      </c>
    </row>
    <row r="1173" spans="1:6" x14ac:dyDescent="0.35">
      <c r="A1173" s="22">
        <v>46205</v>
      </c>
      <c r="B1173">
        <v>341.24</v>
      </c>
      <c r="C1173">
        <v>341.24</v>
      </c>
      <c r="D1173">
        <v>341.24</v>
      </c>
      <c r="E1173">
        <v>341.24</v>
      </c>
      <c r="F1173" s="23">
        <f t="shared" si="18"/>
        <v>6.9641170915958851E-3</v>
      </c>
    </row>
    <row r="1174" spans="1:6" x14ac:dyDescent="0.35">
      <c r="A1174" s="22">
        <v>46206</v>
      </c>
      <c r="B1174">
        <v>341.59</v>
      </c>
      <c r="C1174">
        <v>341.59</v>
      </c>
      <c r="D1174">
        <v>341.59</v>
      </c>
      <c r="E1174">
        <v>341.59</v>
      </c>
      <c r="F1174" s="23">
        <f t="shared" si="18"/>
        <v>1.0256710819363671E-3</v>
      </c>
    </row>
    <row r="1175" spans="1:6" x14ac:dyDescent="0.35">
      <c r="A1175" s="22">
        <v>46209</v>
      </c>
      <c r="B1175">
        <v>343.41</v>
      </c>
      <c r="C1175">
        <v>343.41</v>
      </c>
      <c r="D1175">
        <v>343.41</v>
      </c>
      <c r="E1175">
        <v>343.41</v>
      </c>
      <c r="F1175" s="23">
        <f t="shared" si="18"/>
        <v>5.3280248250828482E-3</v>
      </c>
    </row>
    <row r="1176" spans="1:6" x14ac:dyDescent="0.35">
      <c r="A1176" s="22">
        <v>46210</v>
      </c>
      <c r="B1176">
        <v>342.72</v>
      </c>
      <c r="C1176">
        <v>342.72</v>
      </c>
      <c r="D1176">
        <v>342.72</v>
      </c>
      <c r="E1176">
        <v>342.72</v>
      </c>
      <c r="F1176" s="23">
        <f t="shared" si="18"/>
        <v>-2.0092600681401174E-3</v>
      </c>
    </row>
    <row r="1177" spans="1:6" x14ac:dyDescent="0.35">
      <c r="A1177" s="22">
        <v>46211</v>
      </c>
      <c r="B1177">
        <v>336.26</v>
      </c>
      <c r="C1177">
        <v>336.26</v>
      </c>
      <c r="D1177">
        <v>336.26</v>
      </c>
      <c r="E1177">
        <v>336.26</v>
      </c>
      <c r="F1177" s="23">
        <f t="shared" si="18"/>
        <v>-1.8849206349206452E-2</v>
      </c>
    </row>
    <row r="1178" spans="1:6" x14ac:dyDescent="0.35">
      <c r="A1178" s="22">
        <v>46212</v>
      </c>
      <c r="B1178">
        <v>338.54</v>
      </c>
      <c r="C1178">
        <v>338.54</v>
      </c>
      <c r="D1178">
        <v>338.54</v>
      </c>
      <c r="E1178">
        <v>338.54</v>
      </c>
      <c r="F1178" s="23">
        <f t="shared" si="18"/>
        <v>6.7804674953905594E-3</v>
      </c>
    </row>
    <row r="1179" spans="1:6" x14ac:dyDescent="0.35">
      <c r="A1179" s="22">
        <v>46213</v>
      </c>
      <c r="B1179">
        <v>342.17</v>
      </c>
      <c r="C1179">
        <v>342.17</v>
      </c>
      <c r="D1179">
        <v>342.17</v>
      </c>
      <c r="E1179">
        <v>342.17</v>
      </c>
      <c r="F1179" s="23">
        <f t="shared" si="18"/>
        <v>1.0722514326224361E-2</v>
      </c>
    </row>
    <row r="1180" spans="1:6" x14ac:dyDescent="0.35">
      <c r="A1180" s="22">
        <v>46216</v>
      </c>
      <c r="B1180">
        <v>341.85</v>
      </c>
      <c r="C1180">
        <v>341.85</v>
      </c>
      <c r="D1180">
        <v>341.85</v>
      </c>
      <c r="E1180">
        <v>341.85</v>
      </c>
      <c r="F1180" s="23">
        <f t="shared" si="18"/>
        <v>-9.3520764532248053E-4</v>
      </c>
    </row>
    <row r="1181" spans="1:6" x14ac:dyDescent="0.35">
      <c r="A1181" s="22">
        <v>46217</v>
      </c>
      <c r="B1181">
        <v>339.72</v>
      </c>
      <c r="C1181">
        <v>339.72</v>
      </c>
      <c r="D1181">
        <v>339.72</v>
      </c>
      <c r="E1181">
        <v>339.72</v>
      </c>
      <c r="F1181" s="23">
        <f t="shared" si="18"/>
        <v>-6.230802983764795E-3</v>
      </c>
    </row>
    <row r="1182" spans="1:6" x14ac:dyDescent="0.35">
      <c r="A1182" s="22">
        <v>46218</v>
      </c>
      <c r="B1182">
        <v>341.32</v>
      </c>
      <c r="C1182">
        <v>341.32</v>
      </c>
      <c r="D1182">
        <v>341.32</v>
      </c>
      <c r="E1182">
        <v>341.32</v>
      </c>
      <c r="F1182" s="23">
        <f t="shared" si="18"/>
        <v>4.7097609796301829E-3</v>
      </c>
    </row>
    <row r="1183" spans="1:6" x14ac:dyDescent="0.35">
      <c r="A1183" s="22">
        <v>46219</v>
      </c>
      <c r="B1183">
        <v>340.39</v>
      </c>
      <c r="C1183">
        <v>340.39</v>
      </c>
      <c r="D1183">
        <v>340.39</v>
      </c>
      <c r="E1183">
        <v>340.39</v>
      </c>
      <c r="F1183" s="23">
        <f t="shared" si="18"/>
        <v>-2.7247158092113173E-3</v>
      </c>
    </row>
    <row r="1184" spans="1:6" x14ac:dyDescent="0.35">
      <c r="A1184" s="22">
        <v>46220</v>
      </c>
      <c r="B1184">
        <v>342.03</v>
      </c>
      <c r="C1184">
        <v>342.03</v>
      </c>
      <c r="D1184">
        <v>342.03</v>
      </c>
      <c r="E1184">
        <v>342.03</v>
      </c>
      <c r="F1184" s="23">
        <f t="shared" si="18"/>
        <v>4.8180028790504609E-3</v>
      </c>
    </row>
    <row r="1185" spans="1:6" x14ac:dyDescent="0.35">
      <c r="A1185" s="22">
        <v>46223</v>
      </c>
      <c r="B1185">
        <v>341.79</v>
      </c>
      <c r="C1185">
        <v>341.79</v>
      </c>
      <c r="D1185">
        <v>341.79</v>
      </c>
      <c r="E1185">
        <v>341.79</v>
      </c>
      <c r="F1185" s="23">
        <f t="shared" si="18"/>
        <v>-7.0169283396179357E-4</v>
      </c>
    </row>
    <row r="1186" spans="1:6" x14ac:dyDescent="0.35">
      <c r="A1186" s="22">
        <v>46224</v>
      </c>
      <c r="B1186">
        <v>342.01</v>
      </c>
      <c r="C1186">
        <v>342.01</v>
      </c>
      <c r="D1186">
        <v>342.01</v>
      </c>
      <c r="E1186">
        <v>342.01</v>
      </c>
      <c r="F1186" s="23">
        <f t="shared" si="18"/>
        <v>6.4367008982114872E-4</v>
      </c>
    </row>
    <row r="1187" spans="1:6" x14ac:dyDescent="0.35">
      <c r="A1187" s="22">
        <v>46225</v>
      </c>
      <c r="B1187">
        <v>339.36</v>
      </c>
      <c r="C1187">
        <v>339.36</v>
      </c>
      <c r="D1187">
        <v>339.36</v>
      </c>
      <c r="E1187">
        <v>339.36</v>
      </c>
      <c r="F1187" s="23">
        <f t="shared" si="18"/>
        <v>-7.7483114528814285E-3</v>
      </c>
    </row>
    <row r="1188" spans="1:6" x14ac:dyDescent="0.35">
      <c r="A1188" s="22">
        <v>46226</v>
      </c>
      <c r="B1188">
        <v>337.33</v>
      </c>
      <c r="C1188">
        <v>337.33</v>
      </c>
      <c r="D1188">
        <v>337.33</v>
      </c>
      <c r="E1188">
        <v>337.33</v>
      </c>
      <c r="F1188" s="23">
        <f t="shared" si="18"/>
        <v>-5.981848184818569E-3</v>
      </c>
    </row>
    <row r="1189" spans="1:6" x14ac:dyDescent="0.35">
      <c r="A1189" s="22">
        <v>46227</v>
      </c>
      <c r="B1189">
        <v>335.9</v>
      </c>
      <c r="C1189">
        <v>335.9</v>
      </c>
      <c r="D1189">
        <v>335.9</v>
      </c>
      <c r="E1189">
        <v>335.9</v>
      </c>
      <c r="F1189" s="23">
        <f t="shared" si="18"/>
        <v>-4.2391723238372125E-3</v>
      </c>
    </row>
    <row r="1190" spans="1:6" x14ac:dyDescent="0.35">
      <c r="A1190" s="22">
        <v>46230</v>
      </c>
      <c r="B1190">
        <v>340.2</v>
      </c>
      <c r="C1190">
        <v>340.2</v>
      </c>
      <c r="D1190">
        <v>340.2</v>
      </c>
      <c r="E1190">
        <v>340.2</v>
      </c>
      <c r="F1190" s="23">
        <f t="shared" si="18"/>
        <v>1.2801428996725251E-2</v>
      </c>
    </row>
    <row r="1191" spans="1:6" x14ac:dyDescent="0.35">
      <c r="A1191" s="22">
        <v>46231</v>
      </c>
      <c r="B1191">
        <v>339.68</v>
      </c>
      <c r="C1191">
        <v>339.68</v>
      </c>
      <c r="D1191">
        <v>339.68</v>
      </c>
      <c r="E1191">
        <v>339.68</v>
      </c>
      <c r="F1191" s="23">
        <f t="shared" si="18"/>
        <v>-1.5285126396236974E-3</v>
      </c>
    </row>
    <row r="1192" spans="1:6" x14ac:dyDescent="0.35">
      <c r="A1192" s="22">
        <v>46232</v>
      </c>
      <c r="B1192">
        <v>342.97</v>
      </c>
      <c r="C1192">
        <v>342.97</v>
      </c>
      <c r="D1192">
        <v>342.97</v>
      </c>
      <c r="E1192">
        <v>342.97</v>
      </c>
      <c r="F1192" s="23">
        <f t="shared" si="18"/>
        <v>9.6855864342911581E-3</v>
      </c>
    </row>
    <row r="1193" spans="1:6" x14ac:dyDescent="0.35">
      <c r="A1193" s="22">
        <v>46233</v>
      </c>
      <c r="B1193">
        <v>343.49</v>
      </c>
      <c r="C1193">
        <v>343.49</v>
      </c>
      <c r="D1193">
        <v>343.49</v>
      </c>
      <c r="E1193">
        <v>343.49</v>
      </c>
      <c r="F1193" s="23">
        <f t="shared" si="18"/>
        <v>1.5161675948333142E-3</v>
      </c>
    </row>
    <row r="1194" spans="1:6" x14ac:dyDescent="0.35">
      <c r="A1194" s="22">
        <v>46234</v>
      </c>
      <c r="B1194">
        <v>345.12</v>
      </c>
      <c r="C1194">
        <v>345.12</v>
      </c>
      <c r="D1194">
        <v>345.12</v>
      </c>
      <c r="E1194">
        <v>345.12</v>
      </c>
      <c r="F1194" s="23">
        <f t="shared" si="18"/>
        <v>4.7454074354420662E-3</v>
      </c>
    </row>
    <row r="1195" spans="1:6" x14ac:dyDescent="0.35">
      <c r="A1195" s="22">
        <v>46237</v>
      </c>
      <c r="B1195">
        <v>350.54</v>
      </c>
      <c r="C1195">
        <v>350.54</v>
      </c>
      <c r="D1195">
        <v>350.54</v>
      </c>
      <c r="E1195">
        <v>350.54</v>
      </c>
      <c r="F1195" s="23">
        <f t="shared" si="18"/>
        <v>1.5704682429299999E-2</v>
      </c>
    </row>
    <row r="1196" spans="1:6" x14ac:dyDescent="0.35">
      <c r="A1196" s="22">
        <v>46238</v>
      </c>
      <c r="B1196">
        <v>348.89</v>
      </c>
      <c r="C1196">
        <v>348.89</v>
      </c>
      <c r="D1196">
        <v>348.89</v>
      </c>
      <c r="E1196">
        <v>348.89</v>
      </c>
      <c r="F1196" s="23">
        <f t="shared" si="18"/>
        <v>-4.7070234495351004E-3</v>
      </c>
    </row>
    <row r="1197" spans="1:6" x14ac:dyDescent="0.35">
      <c r="A1197" s="22">
        <v>46239</v>
      </c>
      <c r="B1197">
        <v>349.57</v>
      </c>
      <c r="C1197">
        <v>349.57</v>
      </c>
      <c r="D1197">
        <v>349.57</v>
      </c>
      <c r="E1197">
        <v>349.57</v>
      </c>
      <c r="F1197" s="23">
        <f t="shared" si="18"/>
        <v>1.9490383788586857E-3</v>
      </c>
    </row>
    <row r="1198" spans="1:6" x14ac:dyDescent="0.35">
      <c r="A1198" s="22">
        <v>46240</v>
      </c>
      <c r="B1198">
        <v>349.92</v>
      </c>
      <c r="C1198">
        <v>349.92</v>
      </c>
      <c r="D1198">
        <v>349.92</v>
      </c>
      <c r="E1198">
        <v>349.92</v>
      </c>
      <c r="F1198" s="23">
        <f t="shared" si="18"/>
        <v>1.0012300826730634E-3</v>
      </c>
    </row>
    <row r="1199" spans="1:6" x14ac:dyDescent="0.35">
      <c r="A1199" s="22">
        <v>46241</v>
      </c>
      <c r="B1199">
        <v>348.59</v>
      </c>
      <c r="C1199">
        <v>348.59</v>
      </c>
      <c r="D1199">
        <v>348.59</v>
      </c>
      <c r="E1199">
        <v>348.59</v>
      </c>
      <c r="F1199" s="23">
        <f t="shared" si="18"/>
        <v>-3.8008687700046891E-3</v>
      </c>
    </row>
    <row r="1200" spans="1:6" x14ac:dyDescent="0.35">
      <c r="A1200" s="22">
        <v>46244</v>
      </c>
      <c r="B1200">
        <v>349.86</v>
      </c>
      <c r="C1200">
        <v>349.86</v>
      </c>
      <c r="D1200">
        <v>349.86</v>
      </c>
      <c r="E1200">
        <v>349.86</v>
      </c>
      <c r="F1200" s="23">
        <f t="shared" si="18"/>
        <v>3.6432485154480588E-3</v>
      </c>
    </row>
    <row r="1201" spans="1:6" x14ac:dyDescent="0.35">
      <c r="A1201" s="22">
        <v>46245</v>
      </c>
      <c r="B1201">
        <v>349.29</v>
      </c>
      <c r="C1201">
        <v>349.29</v>
      </c>
      <c r="D1201">
        <v>349.29</v>
      </c>
      <c r="E1201">
        <v>349.29</v>
      </c>
      <c r="F1201" s="23">
        <f t="shared" si="18"/>
        <v>-1.6292231178185364E-3</v>
      </c>
    </row>
    <row r="1202" spans="1:6" x14ac:dyDescent="0.35">
      <c r="A1202" s="22">
        <v>46246</v>
      </c>
      <c r="B1202">
        <v>348.48</v>
      </c>
      <c r="C1202">
        <v>348.48</v>
      </c>
      <c r="D1202">
        <v>348.48</v>
      </c>
      <c r="E1202">
        <v>348.48</v>
      </c>
      <c r="F1202" s="23">
        <f t="shared" si="18"/>
        <v>-2.3189899510435517E-3</v>
      </c>
    </row>
    <row r="1203" spans="1:6" x14ac:dyDescent="0.35">
      <c r="A1203" s="22">
        <v>46247</v>
      </c>
      <c r="B1203">
        <v>348.87</v>
      </c>
      <c r="C1203">
        <v>348.87</v>
      </c>
      <c r="D1203">
        <v>348.87</v>
      </c>
      <c r="E1203">
        <v>348.87</v>
      </c>
      <c r="F1203" s="23">
        <f t="shared" si="18"/>
        <v>1.1191460055096027E-3</v>
      </c>
    </row>
    <row r="1204" spans="1:6" x14ac:dyDescent="0.35">
      <c r="A1204" s="22">
        <v>46248</v>
      </c>
      <c r="B1204">
        <v>348.19</v>
      </c>
      <c r="C1204">
        <v>348.19</v>
      </c>
      <c r="D1204">
        <v>348.19</v>
      </c>
      <c r="E1204">
        <v>348.19</v>
      </c>
      <c r="F1204" s="23">
        <f t="shared" si="18"/>
        <v>-1.9491501132227098E-3</v>
      </c>
    </row>
    <row r="1205" spans="1:6" x14ac:dyDescent="0.35">
      <c r="A1205" s="22">
        <v>46251</v>
      </c>
      <c r="B1205">
        <v>348.14</v>
      </c>
      <c r="C1205">
        <v>348.14</v>
      </c>
      <c r="D1205">
        <v>348.14</v>
      </c>
      <c r="E1205">
        <v>348.14</v>
      </c>
      <c r="F1205" s="23">
        <f t="shared" si="18"/>
        <v>-1.4359975875243795E-4</v>
      </c>
    </row>
    <row r="1206" spans="1:6" x14ac:dyDescent="0.35">
      <c r="A1206" s="22">
        <v>46252</v>
      </c>
      <c r="B1206">
        <v>347.15</v>
      </c>
      <c r="C1206">
        <v>347.15</v>
      </c>
      <c r="D1206">
        <v>347.15</v>
      </c>
      <c r="E1206">
        <v>347.15</v>
      </c>
      <c r="F1206" s="23">
        <f t="shared" si="18"/>
        <v>-2.8436835755730715E-3</v>
      </c>
    </row>
    <row r="1207" spans="1:6" x14ac:dyDescent="0.35">
      <c r="A1207" s="22">
        <v>46253</v>
      </c>
      <c r="B1207">
        <v>346.08</v>
      </c>
      <c r="C1207">
        <v>346.08</v>
      </c>
      <c r="D1207">
        <v>346.08</v>
      </c>
      <c r="E1207">
        <v>346.08</v>
      </c>
      <c r="F1207" s="23">
        <f t="shared" si="18"/>
        <v>-3.08224110615006E-3</v>
      </c>
    </row>
    <row r="1208" spans="1:6" x14ac:dyDescent="0.35">
      <c r="A1208" s="22">
        <v>46254</v>
      </c>
      <c r="B1208">
        <v>348.44</v>
      </c>
      <c r="C1208">
        <v>348.44</v>
      </c>
      <c r="D1208">
        <v>348.44</v>
      </c>
      <c r="E1208">
        <v>346.08</v>
      </c>
      <c r="F1208" s="23">
        <f t="shared" si="18"/>
        <v>6.8192325473879272E-3</v>
      </c>
    </row>
    <row r="1209" spans="1:6" x14ac:dyDescent="0.35">
      <c r="A1209" s="22">
        <v>46255</v>
      </c>
      <c r="B1209">
        <v>348.27</v>
      </c>
      <c r="C1209">
        <v>348.27</v>
      </c>
      <c r="D1209">
        <v>348.27</v>
      </c>
      <c r="E1209">
        <v>348.27</v>
      </c>
      <c r="F1209" s="23">
        <f t="shared" si="18"/>
        <v>-4.8788887613366986E-4</v>
      </c>
    </row>
    <row r="1210" spans="1:6" x14ac:dyDescent="0.35">
      <c r="A1210" s="22">
        <v>46258</v>
      </c>
      <c r="B1210">
        <v>347.55</v>
      </c>
      <c r="C1210">
        <v>347.55</v>
      </c>
      <c r="D1210">
        <v>347.55</v>
      </c>
      <c r="E1210">
        <v>347.55</v>
      </c>
      <c r="F1210" s="23">
        <f t="shared" si="18"/>
        <v>-2.0673615298474474E-3</v>
      </c>
    </row>
    <row r="1211" spans="1:6" x14ac:dyDescent="0.35">
      <c r="A1211" s="22">
        <v>46259</v>
      </c>
      <c r="B1211">
        <v>349.85</v>
      </c>
      <c r="C1211">
        <v>349.85</v>
      </c>
      <c r="D1211">
        <v>349.85</v>
      </c>
      <c r="E1211">
        <v>349.85</v>
      </c>
      <c r="F1211" s="23">
        <f t="shared" si="18"/>
        <v>6.6177528413178281E-3</v>
      </c>
    </row>
    <row r="1212" spans="1:6" x14ac:dyDescent="0.35">
      <c r="A1212" s="22">
        <v>46260</v>
      </c>
      <c r="B1212">
        <v>348.52</v>
      </c>
      <c r="C1212">
        <v>348.52</v>
      </c>
      <c r="D1212">
        <v>348.52</v>
      </c>
      <c r="E1212">
        <v>348.52</v>
      </c>
      <c r="F1212" s="23">
        <f t="shared" si="18"/>
        <v>-3.8016292696871254E-3</v>
      </c>
    </row>
    <row r="1213" spans="1:6" x14ac:dyDescent="0.35">
      <c r="A1213" s="22">
        <v>46261</v>
      </c>
      <c r="B1213">
        <v>347.33</v>
      </c>
      <c r="C1213">
        <v>347.33</v>
      </c>
      <c r="D1213">
        <v>347.33</v>
      </c>
      <c r="E1213">
        <v>347.33</v>
      </c>
      <c r="F1213" s="23">
        <f t="shared" si="18"/>
        <v>-3.4144381957993738E-3</v>
      </c>
    </row>
    <row r="1214" spans="1:6" x14ac:dyDescent="0.35">
      <c r="A1214" s="22">
        <v>46262</v>
      </c>
      <c r="B1214">
        <v>347.48</v>
      </c>
      <c r="C1214">
        <v>347.48</v>
      </c>
      <c r="D1214">
        <v>347.48</v>
      </c>
      <c r="E1214">
        <v>347.48</v>
      </c>
      <c r="F1214" s="23">
        <f t="shared" si="18"/>
        <v>4.3186594880958773E-4</v>
      </c>
    </row>
    <row r="1215" spans="1:6" x14ac:dyDescent="0.35">
      <c r="A1215" s="22">
        <v>46265</v>
      </c>
      <c r="B1215">
        <v>348.35</v>
      </c>
      <c r="C1215">
        <v>348.35</v>
      </c>
      <c r="D1215">
        <v>348.35</v>
      </c>
      <c r="E1215">
        <v>348.35</v>
      </c>
      <c r="F1215" s="23">
        <f t="shared" si="18"/>
        <v>2.5037412225164166E-3</v>
      </c>
    </row>
    <row r="1216" spans="1:6" x14ac:dyDescent="0.35">
      <c r="A1216" s="22">
        <v>46267</v>
      </c>
      <c r="B1216">
        <v>343.43</v>
      </c>
      <c r="C1216">
        <v>343.43</v>
      </c>
      <c r="D1216">
        <v>343.43</v>
      </c>
      <c r="E1216">
        <v>343.43</v>
      </c>
      <c r="F1216" s="23">
        <f t="shared" si="18"/>
        <v>-1.4123726137505427E-2</v>
      </c>
    </row>
    <row r="1217" spans="1:6" x14ac:dyDescent="0.35">
      <c r="A1217" s="22">
        <v>46268</v>
      </c>
      <c r="B1217">
        <v>343.5</v>
      </c>
      <c r="C1217">
        <v>343.5</v>
      </c>
      <c r="D1217">
        <v>343.5</v>
      </c>
      <c r="E1217">
        <v>343.5</v>
      </c>
      <c r="F1217" s="23">
        <f t="shared" si="18"/>
        <v>2.0382610721251252E-4</v>
      </c>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7"/>
  <sheetViews>
    <sheetView topLeftCell="G1200" zoomScaleNormal="100" workbookViewId="0">
      <selection activeCell="F3" sqref="F3"/>
    </sheetView>
  </sheetViews>
  <sheetFormatPr defaultColWidth="8.54296875" defaultRowHeight="14.5" x14ac:dyDescent="0.35"/>
  <cols>
    <col min="1" max="1" width="9.36328125" customWidth="1"/>
  </cols>
  <sheetData>
    <row r="1" spans="1:6" x14ac:dyDescent="0.35">
      <c r="A1" t="s">
        <v>33</v>
      </c>
      <c r="B1" t="s">
        <v>34</v>
      </c>
      <c r="C1" t="s">
        <v>35</v>
      </c>
      <c r="D1" t="s">
        <v>36</v>
      </c>
      <c r="E1" t="s">
        <v>37</v>
      </c>
      <c r="F1" t="s">
        <v>39</v>
      </c>
    </row>
    <row r="2" spans="1:6" x14ac:dyDescent="0.35">
      <c r="A2" s="22">
        <v>44445</v>
      </c>
      <c r="B2">
        <v>936.88099999999997</v>
      </c>
      <c r="C2">
        <v>936.88099999999997</v>
      </c>
      <c r="D2">
        <v>936.88099999999997</v>
      </c>
      <c r="E2">
        <v>936.88099999999997</v>
      </c>
    </row>
    <row r="3" spans="1:6" x14ac:dyDescent="0.35">
      <c r="A3" s="22">
        <v>44446</v>
      </c>
      <c r="B3">
        <v>933.77099999999996</v>
      </c>
      <c r="C3">
        <v>933.77099999999996</v>
      </c>
      <c r="D3">
        <v>933.77099999999996</v>
      </c>
      <c r="E3">
        <v>933.77099999999996</v>
      </c>
      <c r="F3" s="23">
        <f t="shared" ref="F3:F66" si="0">(B3-B2)/B2</f>
        <v>-3.3195251051094149E-3</v>
      </c>
    </row>
    <row r="4" spans="1:6" x14ac:dyDescent="0.35">
      <c r="A4" s="22">
        <v>44447</v>
      </c>
      <c r="B4">
        <v>937.67</v>
      </c>
      <c r="C4">
        <v>937.67</v>
      </c>
      <c r="D4">
        <v>937.67</v>
      </c>
      <c r="E4">
        <v>937.67</v>
      </c>
      <c r="F4" s="23">
        <f t="shared" si="0"/>
        <v>4.1755419690695057E-3</v>
      </c>
    </row>
    <row r="5" spans="1:6" x14ac:dyDescent="0.35">
      <c r="A5" s="22">
        <v>44448</v>
      </c>
      <c r="B5">
        <v>938.904</v>
      </c>
      <c r="C5">
        <v>938.904</v>
      </c>
      <c r="D5">
        <v>938.904</v>
      </c>
      <c r="E5">
        <v>938.904</v>
      </c>
      <c r="F5" s="23">
        <f t="shared" si="0"/>
        <v>1.3160280269178253E-3</v>
      </c>
    </row>
    <row r="6" spans="1:6" x14ac:dyDescent="0.35">
      <c r="A6" s="22">
        <v>44452</v>
      </c>
      <c r="B6">
        <v>939.96699999999998</v>
      </c>
      <c r="C6">
        <v>939.96699999999998</v>
      </c>
      <c r="D6">
        <v>939.96699999999998</v>
      </c>
      <c r="E6">
        <v>939.96699999999998</v>
      </c>
      <c r="F6" s="23">
        <f t="shared" si="0"/>
        <v>1.1321711271865794E-3</v>
      </c>
    </row>
    <row r="7" spans="1:6" x14ac:dyDescent="0.35">
      <c r="A7" s="22">
        <v>44453</v>
      </c>
      <c r="B7">
        <v>945.27800000000002</v>
      </c>
      <c r="C7">
        <v>945.27800000000002</v>
      </c>
      <c r="D7">
        <v>945.27800000000002</v>
      </c>
      <c r="E7">
        <v>945.27800000000002</v>
      </c>
      <c r="F7" s="23">
        <f t="shared" si="0"/>
        <v>5.6501983580275004E-3</v>
      </c>
    </row>
    <row r="8" spans="1:6" x14ac:dyDescent="0.35">
      <c r="A8" s="22">
        <v>44454</v>
      </c>
      <c r="B8">
        <v>960.47400000000005</v>
      </c>
      <c r="C8">
        <v>960.47400000000005</v>
      </c>
      <c r="D8">
        <v>960.47400000000005</v>
      </c>
      <c r="E8">
        <v>960.47400000000005</v>
      </c>
      <c r="F8" s="23">
        <f t="shared" si="0"/>
        <v>1.6075694134423973E-2</v>
      </c>
    </row>
    <row r="9" spans="1:6" x14ac:dyDescent="0.35">
      <c r="A9" s="22">
        <v>44455</v>
      </c>
      <c r="B9">
        <v>969.08500000000004</v>
      </c>
      <c r="C9">
        <v>969.08500000000004</v>
      </c>
      <c r="D9">
        <v>969.08500000000004</v>
      </c>
      <c r="E9">
        <v>969.08500000000004</v>
      </c>
      <c r="F9" s="23">
        <f t="shared" si="0"/>
        <v>8.9653650176891725E-3</v>
      </c>
    </row>
    <row r="10" spans="1:6" x14ac:dyDescent="0.35">
      <c r="A10" s="22">
        <v>44456</v>
      </c>
      <c r="B10">
        <v>963.42399999999998</v>
      </c>
      <c r="C10">
        <v>963.42399999999998</v>
      </c>
      <c r="D10">
        <v>963.42399999999998</v>
      </c>
      <c r="E10">
        <v>963.42399999999998</v>
      </c>
      <c r="F10" s="23">
        <f t="shared" si="0"/>
        <v>-5.8415928427331537E-3</v>
      </c>
    </row>
    <row r="11" spans="1:6" x14ac:dyDescent="0.35">
      <c r="A11" s="22">
        <v>44459</v>
      </c>
      <c r="B11">
        <v>948.19899999999996</v>
      </c>
      <c r="C11">
        <v>948.19899999999996</v>
      </c>
      <c r="D11">
        <v>948.19899999999996</v>
      </c>
      <c r="E11">
        <v>948.19899999999996</v>
      </c>
      <c r="F11" s="23">
        <f t="shared" si="0"/>
        <v>-1.580301092769126E-2</v>
      </c>
    </row>
    <row r="12" spans="1:6" x14ac:dyDescent="0.35">
      <c r="A12" s="22">
        <v>44460</v>
      </c>
      <c r="B12">
        <v>952.48400000000004</v>
      </c>
      <c r="C12">
        <v>952.48400000000004</v>
      </c>
      <c r="D12">
        <v>952.48400000000004</v>
      </c>
      <c r="E12">
        <v>952.48400000000004</v>
      </c>
      <c r="F12" s="23">
        <f t="shared" si="0"/>
        <v>4.519093565802202E-3</v>
      </c>
    </row>
    <row r="13" spans="1:6" x14ac:dyDescent="0.35">
      <c r="A13" s="22">
        <v>44461</v>
      </c>
      <c r="B13">
        <v>957.15700000000004</v>
      </c>
      <c r="C13">
        <v>957.15700000000004</v>
      </c>
      <c r="D13">
        <v>957.15700000000004</v>
      </c>
      <c r="E13">
        <v>957.15700000000004</v>
      </c>
      <c r="F13" s="23">
        <f t="shared" si="0"/>
        <v>4.9061191579071158E-3</v>
      </c>
    </row>
    <row r="14" spans="1:6" x14ac:dyDescent="0.35">
      <c r="A14" s="22">
        <v>44462</v>
      </c>
      <c r="B14">
        <v>971.83299999999997</v>
      </c>
      <c r="C14">
        <v>971.83299999999997</v>
      </c>
      <c r="D14">
        <v>971.83299999999997</v>
      </c>
      <c r="E14">
        <v>971.83299999999997</v>
      </c>
      <c r="F14" s="23">
        <f t="shared" si="0"/>
        <v>1.533290776748217E-2</v>
      </c>
    </row>
    <row r="15" spans="1:6" x14ac:dyDescent="0.35">
      <c r="A15" s="22">
        <v>44463</v>
      </c>
      <c r="B15">
        <v>966.12800000000004</v>
      </c>
      <c r="C15">
        <v>966.12800000000004</v>
      </c>
      <c r="D15">
        <v>966.12800000000004</v>
      </c>
      <c r="E15">
        <v>966.12800000000004</v>
      </c>
      <c r="F15" s="23">
        <f t="shared" si="0"/>
        <v>-5.8703501527525076E-3</v>
      </c>
    </row>
    <row r="16" spans="1:6" x14ac:dyDescent="0.35">
      <c r="A16" s="22">
        <v>44466</v>
      </c>
      <c r="B16">
        <v>968.96600000000001</v>
      </c>
      <c r="C16">
        <v>968.96600000000001</v>
      </c>
      <c r="D16">
        <v>968.96600000000001</v>
      </c>
      <c r="E16">
        <v>968.96600000000001</v>
      </c>
      <c r="F16" s="23">
        <f t="shared" si="0"/>
        <v>2.9374989649404277E-3</v>
      </c>
    </row>
    <row r="17" spans="1:6" x14ac:dyDescent="0.35">
      <c r="A17" s="22">
        <v>44467</v>
      </c>
      <c r="B17">
        <v>973.70699999999999</v>
      </c>
      <c r="C17">
        <v>973.70699999999999</v>
      </c>
      <c r="D17">
        <v>973.70699999999999</v>
      </c>
      <c r="E17">
        <v>973.70699999999999</v>
      </c>
      <c r="F17" s="23">
        <f t="shared" si="0"/>
        <v>4.8928445373728133E-3</v>
      </c>
    </row>
    <row r="18" spans="1:6" x14ac:dyDescent="0.35">
      <c r="A18" s="22">
        <v>44468</v>
      </c>
      <c r="B18">
        <v>986.00900000000001</v>
      </c>
      <c r="C18">
        <v>986.00900000000001</v>
      </c>
      <c r="D18">
        <v>986.00900000000001</v>
      </c>
      <c r="E18">
        <v>986.00900000000001</v>
      </c>
      <c r="F18" s="23">
        <f t="shared" si="0"/>
        <v>1.2634190778129377E-2</v>
      </c>
    </row>
    <row r="19" spans="1:6" x14ac:dyDescent="0.35">
      <c r="A19" s="22">
        <v>44469</v>
      </c>
      <c r="B19">
        <v>981.98900000000003</v>
      </c>
      <c r="C19">
        <v>981.98900000000003</v>
      </c>
      <c r="D19">
        <v>981.98900000000003</v>
      </c>
      <c r="E19">
        <v>981.98900000000003</v>
      </c>
      <c r="F19" s="23">
        <f t="shared" si="0"/>
        <v>-4.0770418931267175E-3</v>
      </c>
    </row>
    <row r="20" spans="1:6" x14ac:dyDescent="0.35">
      <c r="A20" s="22">
        <v>44470</v>
      </c>
      <c r="B20">
        <v>979.44600000000003</v>
      </c>
      <c r="C20">
        <v>979.44600000000003</v>
      </c>
      <c r="D20">
        <v>979.44600000000003</v>
      </c>
      <c r="E20">
        <v>979.44600000000003</v>
      </c>
      <c r="F20" s="23">
        <f t="shared" si="0"/>
        <v>-2.5896420428334799E-3</v>
      </c>
    </row>
    <row r="21" spans="1:6" x14ac:dyDescent="0.35">
      <c r="A21" s="22">
        <v>44473</v>
      </c>
      <c r="B21">
        <v>991.02700000000004</v>
      </c>
      <c r="C21">
        <v>991.02700000000004</v>
      </c>
      <c r="D21">
        <v>991.02700000000004</v>
      </c>
      <c r="E21">
        <v>991.02700000000004</v>
      </c>
      <c r="F21" s="23">
        <f t="shared" si="0"/>
        <v>1.1824031135968718E-2</v>
      </c>
    </row>
    <row r="22" spans="1:6" x14ac:dyDescent="0.35">
      <c r="A22" s="22">
        <v>44474</v>
      </c>
      <c r="B22">
        <v>997.94100000000003</v>
      </c>
      <c r="C22">
        <v>997.94100000000003</v>
      </c>
      <c r="D22">
        <v>997.94100000000003</v>
      </c>
      <c r="E22">
        <v>997.94100000000003</v>
      </c>
      <c r="F22" s="23">
        <f t="shared" si="0"/>
        <v>6.9766010411421555E-3</v>
      </c>
    </row>
    <row r="23" spans="1:6" x14ac:dyDescent="0.35">
      <c r="A23" s="22">
        <v>44475</v>
      </c>
      <c r="B23">
        <v>985.14800000000002</v>
      </c>
      <c r="C23">
        <v>985.14800000000002</v>
      </c>
      <c r="D23">
        <v>985.14800000000002</v>
      </c>
      <c r="E23">
        <v>985.14800000000002</v>
      </c>
      <c r="F23" s="23">
        <f t="shared" si="0"/>
        <v>-1.281939513458211E-2</v>
      </c>
    </row>
    <row r="24" spans="1:6" x14ac:dyDescent="0.35">
      <c r="A24" s="22">
        <v>44476</v>
      </c>
      <c r="B24">
        <v>992.93700000000001</v>
      </c>
      <c r="C24">
        <v>992.93700000000001</v>
      </c>
      <c r="D24">
        <v>992.93700000000001</v>
      </c>
      <c r="E24">
        <v>992.93700000000001</v>
      </c>
      <c r="F24" s="23">
        <f t="shared" si="0"/>
        <v>7.9064262425544048E-3</v>
      </c>
    </row>
    <row r="25" spans="1:6" x14ac:dyDescent="0.35">
      <c r="A25" s="22">
        <v>44477</v>
      </c>
      <c r="B25">
        <v>994.81299999999999</v>
      </c>
      <c r="C25">
        <v>994.81299999999999</v>
      </c>
      <c r="D25">
        <v>994.81299999999999</v>
      </c>
      <c r="E25">
        <v>994.81299999999999</v>
      </c>
      <c r="F25" s="23">
        <f t="shared" si="0"/>
        <v>1.8893444397781293E-3</v>
      </c>
    </row>
    <row r="26" spans="1:6" x14ac:dyDescent="0.35">
      <c r="A26" s="22">
        <v>44480</v>
      </c>
      <c r="B26" s="24">
        <v>1007.7</v>
      </c>
      <c r="C26" s="24">
        <v>1007.7</v>
      </c>
      <c r="D26" s="24">
        <v>1007.7</v>
      </c>
      <c r="E26" s="24">
        <v>1007.7</v>
      </c>
      <c r="F26" s="23">
        <f t="shared" si="0"/>
        <v>1.2954193401171937E-2</v>
      </c>
    </row>
    <row r="27" spans="1:6" x14ac:dyDescent="0.35">
      <c r="A27" s="22">
        <v>44481</v>
      </c>
      <c r="B27" s="24">
        <v>1010.051</v>
      </c>
      <c r="C27" s="24">
        <v>1010.051</v>
      </c>
      <c r="D27" s="24">
        <v>1010.051</v>
      </c>
      <c r="E27" s="24">
        <v>1010.051</v>
      </c>
      <c r="F27" s="23">
        <f t="shared" si="0"/>
        <v>2.3330356256822458E-3</v>
      </c>
    </row>
    <row r="28" spans="1:6" x14ac:dyDescent="0.35">
      <c r="A28" s="22">
        <v>44482</v>
      </c>
      <c r="B28" s="24">
        <v>1021.039</v>
      </c>
      <c r="C28" s="24">
        <v>1021.039</v>
      </c>
      <c r="D28" s="24">
        <v>1021.039</v>
      </c>
      <c r="E28" s="24">
        <v>1021.039</v>
      </c>
      <c r="F28" s="23">
        <f t="shared" si="0"/>
        <v>1.0878658602387348E-2</v>
      </c>
    </row>
    <row r="29" spans="1:6" x14ac:dyDescent="0.35">
      <c r="A29" s="22">
        <v>44483</v>
      </c>
      <c r="B29" s="24">
        <v>1032.8040000000001</v>
      </c>
      <c r="C29" s="24">
        <v>1032.8040000000001</v>
      </c>
      <c r="D29" s="24">
        <v>1032.8040000000001</v>
      </c>
      <c r="E29" s="24">
        <v>1032.8040000000001</v>
      </c>
      <c r="F29" s="23">
        <f t="shared" si="0"/>
        <v>1.1522576512748387E-2</v>
      </c>
    </row>
    <row r="30" spans="1:6" x14ac:dyDescent="0.35">
      <c r="A30" s="22">
        <v>44487</v>
      </c>
      <c r="B30" s="24">
        <v>1043.769</v>
      </c>
      <c r="C30" s="24">
        <v>1043.769</v>
      </c>
      <c r="D30" s="24">
        <v>1043.769</v>
      </c>
      <c r="E30" s="24">
        <v>1043.769</v>
      </c>
      <c r="F30" s="23">
        <f t="shared" si="0"/>
        <v>1.0616728827541253E-2</v>
      </c>
    </row>
    <row r="31" spans="1:6" x14ac:dyDescent="0.35">
      <c r="A31" s="22">
        <v>44488</v>
      </c>
      <c r="B31" s="24">
        <v>1033.154</v>
      </c>
      <c r="C31" s="24">
        <v>1033.154</v>
      </c>
      <c r="D31" s="24">
        <v>1033.154</v>
      </c>
      <c r="E31" s="24">
        <v>1033.154</v>
      </c>
      <c r="F31" s="23">
        <f t="shared" si="0"/>
        <v>-1.0169874751980572E-2</v>
      </c>
    </row>
    <row r="32" spans="1:6" x14ac:dyDescent="0.35">
      <c r="A32" s="22">
        <v>44489</v>
      </c>
      <c r="B32" s="24">
        <v>1025.828</v>
      </c>
      <c r="C32" s="24">
        <v>1025.828</v>
      </c>
      <c r="D32" s="24">
        <v>1025.828</v>
      </c>
      <c r="E32" s="24">
        <v>1025.828</v>
      </c>
      <c r="F32" s="23">
        <f t="shared" si="0"/>
        <v>-7.0909080350073867E-3</v>
      </c>
    </row>
    <row r="33" spans="1:6" x14ac:dyDescent="0.35">
      <c r="A33" s="22">
        <v>44490</v>
      </c>
      <c r="B33" s="24">
        <v>1029.412</v>
      </c>
      <c r="C33" s="24">
        <v>1029.412</v>
      </c>
      <c r="D33" s="24">
        <v>1029.412</v>
      </c>
      <c r="E33" s="24">
        <v>1029.412</v>
      </c>
      <c r="F33" s="23">
        <f t="shared" si="0"/>
        <v>3.4937630869893003E-3</v>
      </c>
    </row>
    <row r="34" spans="1:6" x14ac:dyDescent="0.35">
      <c r="A34" s="22">
        <v>44491</v>
      </c>
      <c r="B34" s="24">
        <v>1019.965</v>
      </c>
      <c r="C34" s="24">
        <v>1019.965</v>
      </c>
      <c r="D34" s="24">
        <v>1019.965</v>
      </c>
      <c r="E34" s="24">
        <v>1019.965</v>
      </c>
      <c r="F34" s="23">
        <f t="shared" si="0"/>
        <v>-9.177083616666604E-3</v>
      </c>
    </row>
    <row r="35" spans="1:6" x14ac:dyDescent="0.35">
      <c r="A35" s="22">
        <v>44494</v>
      </c>
      <c r="B35" s="24">
        <v>1021.801</v>
      </c>
      <c r="C35" s="24">
        <v>1021.801</v>
      </c>
      <c r="D35" s="24">
        <v>1021.801</v>
      </c>
      <c r="E35" s="24">
        <v>1021.801</v>
      </c>
      <c r="F35" s="23">
        <f t="shared" si="0"/>
        <v>1.8000617668253447E-3</v>
      </c>
    </row>
    <row r="36" spans="1:6" x14ac:dyDescent="0.35">
      <c r="A36" s="22">
        <v>44495</v>
      </c>
      <c r="B36" s="24">
        <v>1030.671</v>
      </c>
      <c r="C36" s="24">
        <v>1030.671</v>
      </c>
      <c r="D36" s="24">
        <v>1030.671</v>
      </c>
      <c r="E36" s="24">
        <v>1030.671</v>
      </c>
      <c r="F36" s="23">
        <f t="shared" si="0"/>
        <v>8.6807509485702251E-3</v>
      </c>
    </row>
    <row r="37" spans="1:6" x14ac:dyDescent="0.35">
      <c r="A37" s="22">
        <v>44496</v>
      </c>
      <c r="B37" s="24">
        <v>1030.732</v>
      </c>
      <c r="C37" s="24">
        <v>1030.732</v>
      </c>
      <c r="D37" s="24">
        <v>1030.732</v>
      </c>
      <c r="E37" s="24">
        <v>1030.732</v>
      </c>
      <c r="F37" s="23">
        <f t="shared" si="0"/>
        <v>5.9184744695370082E-5</v>
      </c>
    </row>
    <row r="38" spans="1:6" x14ac:dyDescent="0.35">
      <c r="A38" s="22">
        <v>44497</v>
      </c>
      <c r="B38" s="24">
        <v>1003.747</v>
      </c>
      <c r="C38" s="24">
        <v>1003.747</v>
      </c>
      <c r="D38" s="24">
        <v>1003.747</v>
      </c>
      <c r="E38" s="24">
        <v>1003.747</v>
      </c>
      <c r="F38" s="23">
        <f t="shared" si="0"/>
        <v>-2.6180423233197393E-2</v>
      </c>
    </row>
    <row r="39" spans="1:6" x14ac:dyDescent="0.35">
      <c r="A39" s="22">
        <v>44498</v>
      </c>
      <c r="B39">
        <v>996.33600000000001</v>
      </c>
      <c r="C39">
        <v>996.33600000000001</v>
      </c>
      <c r="D39">
        <v>996.33600000000001</v>
      </c>
      <c r="E39">
        <v>996.33600000000001</v>
      </c>
      <c r="F39" s="23">
        <f t="shared" si="0"/>
        <v>-7.383334645084812E-3</v>
      </c>
    </row>
    <row r="40" spans="1:6" x14ac:dyDescent="0.35">
      <c r="A40" s="22">
        <v>44501</v>
      </c>
      <c r="B40" s="24">
        <v>1009.441</v>
      </c>
      <c r="C40" s="24">
        <v>1009.441</v>
      </c>
      <c r="D40" s="24">
        <v>1009.441</v>
      </c>
      <c r="E40" s="24">
        <v>1009.441</v>
      </c>
      <c r="F40" s="23">
        <f t="shared" si="0"/>
        <v>1.3153193300252141E-2</v>
      </c>
    </row>
    <row r="41" spans="1:6" x14ac:dyDescent="0.35">
      <c r="A41" s="22">
        <v>44502</v>
      </c>
      <c r="B41" s="24">
        <v>1011.341</v>
      </c>
      <c r="C41" s="24">
        <v>1011.341</v>
      </c>
      <c r="D41" s="24">
        <v>1011.341</v>
      </c>
      <c r="E41" s="24">
        <v>1011.341</v>
      </c>
      <c r="F41" s="23">
        <f t="shared" si="0"/>
        <v>1.8822298678179083E-3</v>
      </c>
    </row>
    <row r="42" spans="1:6" x14ac:dyDescent="0.35">
      <c r="A42" s="22">
        <v>44503</v>
      </c>
      <c r="B42" s="24">
        <v>1011.437</v>
      </c>
      <c r="C42" s="24">
        <v>1011.437</v>
      </c>
      <c r="D42" s="24">
        <v>1011.437</v>
      </c>
      <c r="E42" s="24">
        <v>1011.437</v>
      </c>
      <c r="F42" s="23">
        <f t="shared" si="0"/>
        <v>9.4923472893913765E-5</v>
      </c>
    </row>
    <row r="43" spans="1:6" x14ac:dyDescent="0.35">
      <c r="A43" s="22">
        <v>44508</v>
      </c>
      <c r="B43" s="24">
        <v>1025.655</v>
      </c>
      <c r="C43" s="24">
        <v>1025.655</v>
      </c>
      <c r="D43" s="24">
        <v>1025.655</v>
      </c>
      <c r="E43" s="24">
        <v>1025.655</v>
      </c>
      <c r="F43" s="23">
        <f t="shared" si="0"/>
        <v>1.4057227489205912E-2</v>
      </c>
    </row>
    <row r="44" spans="1:6" x14ac:dyDescent="0.35">
      <c r="A44" s="22">
        <v>44509</v>
      </c>
      <c r="B44" s="24">
        <v>1028.6420000000001</v>
      </c>
      <c r="C44" s="24">
        <v>1028.6420000000001</v>
      </c>
      <c r="D44" s="24">
        <v>1028.6420000000001</v>
      </c>
      <c r="E44" s="24">
        <v>1028.6420000000001</v>
      </c>
      <c r="F44" s="23">
        <f t="shared" si="0"/>
        <v>2.9122853201125915E-3</v>
      </c>
    </row>
    <row r="45" spans="1:6" x14ac:dyDescent="0.35">
      <c r="A45" s="22">
        <v>44510</v>
      </c>
      <c r="B45" s="24">
        <v>1026.3240000000001</v>
      </c>
      <c r="C45" s="24">
        <v>1026.3240000000001</v>
      </c>
      <c r="D45" s="24">
        <v>1026.3240000000001</v>
      </c>
      <c r="E45" s="24">
        <v>1026.3240000000001</v>
      </c>
      <c r="F45" s="23">
        <f t="shared" si="0"/>
        <v>-2.2534564989568611E-3</v>
      </c>
    </row>
    <row r="46" spans="1:6" x14ac:dyDescent="0.35">
      <c r="A46" s="22">
        <v>44511</v>
      </c>
      <c r="B46" s="24">
        <v>1018.34</v>
      </c>
      <c r="C46" s="24">
        <v>1018.34</v>
      </c>
      <c r="D46" s="24">
        <v>1018.34</v>
      </c>
      <c r="E46" s="24">
        <v>1018.34</v>
      </c>
      <c r="F46" s="23">
        <f t="shared" si="0"/>
        <v>-7.7792198175235467E-3</v>
      </c>
    </row>
    <row r="47" spans="1:6" x14ac:dyDescent="0.35">
      <c r="A47" s="22">
        <v>44512</v>
      </c>
      <c r="B47" s="24">
        <v>1023.43</v>
      </c>
      <c r="C47" s="24">
        <v>1023.43</v>
      </c>
      <c r="D47" s="24">
        <v>1023.43</v>
      </c>
      <c r="E47" s="24">
        <v>1023.43</v>
      </c>
      <c r="F47" s="23">
        <f t="shared" si="0"/>
        <v>4.9983306164934288E-3</v>
      </c>
    </row>
    <row r="48" spans="1:6" x14ac:dyDescent="0.35">
      <c r="A48" s="22">
        <v>44515</v>
      </c>
      <c r="B48" s="24">
        <v>1018.61</v>
      </c>
      <c r="C48" s="24">
        <v>1018.61</v>
      </c>
      <c r="D48" s="24">
        <v>1018.61</v>
      </c>
      <c r="E48" s="24">
        <v>1018.61</v>
      </c>
      <c r="F48" s="23">
        <f t="shared" si="0"/>
        <v>-4.7096528340970431E-3</v>
      </c>
    </row>
    <row r="49" spans="1:6" x14ac:dyDescent="0.35">
      <c r="A49" s="22">
        <v>44516</v>
      </c>
      <c r="B49" s="24">
        <v>1010.562</v>
      </c>
      <c r="C49" s="24">
        <v>1010.562</v>
      </c>
      <c r="D49" s="24">
        <v>1010.562</v>
      </c>
      <c r="E49" s="24">
        <v>1010.562</v>
      </c>
      <c r="F49" s="23">
        <f t="shared" si="0"/>
        <v>-7.9009630771345284E-3</v>
      </c>
    </row>
    <row r="50" spans="1:6" x14ac:dyDescent="0.35">
      <c r="A50" s="22">
        <v>44517</v>
      </c>
      <c r="B50" s="24">
        <v>1008.638</v>
      </c>
      <c r="C50" s="24">
        <v>1008.638</v>
      </c>
      <c r="D50" s="24">
        <v>1008.638</v>
      </c>
      <c r="E50" s="24">
        <v>1008.638</v>
      </c>
      <c r="F50" s="23">
        <f t="shared" si="0"/>
        <v>-1.9038911021787661E-3</v>
      </c>
    </row>
    <row r="51" spans="1:6" x14ac:dyDescent="0.35">
      <c r="A51" s="22">
        <v>44518</v>
      </c>
      <c r="B51">
        <v>998.95899999999995</v>
      </c>
      <c r="C51">
        <v>998.95899999999995</v>
      </c>
      <c r="D51">
        <v>998.95899999999995</v>
      </c>
      <c r="E51">
        <v>998.95899999999995</v>
      </c>
      <c r="F51" s="23">
        <f t="shared" si="0"/>
        <v>-9.5961088120813283E-3</v>
      </c>
    </row>
    <row r="52" spans="1:6" x14ac:dyDescent="0.35">
      <c r="A52" s="22">
        <v>44522</v>
      </c>
      <c r="B52">
        <v>975.05499999999995</v>
      </c>
      <c r="C52">
        <v>975.05499999999995</v>
      </c>
      <c r="D52">
        <v>975.05499999999995</v>
      </c>
      <c r="E52">
        <v>975.05499999999995</v>
      </c>
      <c r="F52" s="23">
        <f t="shared" si="0"/>
        <v>-2.3928909995305111E-2</v>
      </c>
    </row>
    <row r="53" spans="1:6" x14ac:dyDescent="0.35">
      <c r="A53" s="22">
        <v>44523</v>
      </c>
      <c r="B53">
        <v>986.63199999999995</v>
      </c>
      <c r="C53">
        <v>986.63199999999995</v>
      </c>
      <c r="D53">
        <v>986.63199999999995</v>
      </c>
      <c r="E53">
        <v>986.63199999999995</v>
      </c>
      <c r="F53" s="23">
        <f t="shared" si="0"/>
        <v>1.1873176384921875E-2</v>
      </c>
    </row>
    <row r="54" spans="1:6" x14ac:dyDescent="0.35">
      <c r="A54" s="22">
        <v>44524</v>
      </c>
      <c r="B54">
        <v>986.57899999999995</v>
      </c>
      <c r="C54">
        <v>986.57899999999995</v>
      </c>
      <c r="D54">
        <v>986.57899999999995</v>
      </c>
      <c r="E54">
        <v>986.57899999999995</v>
      </c>
      <c r="F54" s="23">
        <f t="shared" si="0"/>
        <v>-5.3718103609042959E-5</v>
      </c>
    </row>
    <row r="55" spans="1:6" x14ac:dyDescent="0.35">
      <c r="A55" s="22">
        <v>44525</v>
      </c>
      <c r="B55">
        <v>990.54200000000003</v>
      </c>
      <c r="C55">
        <v>990.54200000000003</v>
      </c>
      <c r="D55">
        <v>990.54200000000003</v>
      </c>
      <c r="E55">
        <v>990.54200000000003</v>
      </c>
      <c r="F55" s="23">
        <f t="shared" si="0"/>
        <v>4.0169109620213682E-3</v>
      </c>
    </row>
    <row r="56" spans="1:6" x14ac:dyDescent="0.35">
      <c r="A56" s="22">
        <v>44526</v>
      </c>
      <c r="B56">
        <v>961.60299999999995</v>
      </c>
      <c r="C56">
        <v>961.60299999999995</v>
      </c>
      <c r="D56">
        <v>961.60299999999995</v>
      </c>
      <c r="E56">
        <v>961.60299999999995</v>
      </c>
      <c r="F56" s="23">
        <f t="shared" si="0"/>
        <v>-2.921531848220477E-2</v>
      </c>
    </row>
    <row r="57" spans="1:6" x14ac:dyDescent="0.35">
      <c r="A57" s="22">
        <v>44529</v>
      </c>
      <c r="B57">
        <v>955.60199999999998</v>
      </c>
      <c r="C57">
        <v>955.60199999999998</v>
      </c>
      <c r="D57">
        <v>955.60199999999998</v>
      </c>
      <c r="E57">
        <v>955.60199999999998</v>
      </c>
      <c r="F57" s="23">
        <f t="shared" si="0"/>
        <v>-6.2406211295097632E-3</v>
      </c>
    </row>
    <row r="58" spans="1:6" x14ac:dyDescent="0.35">
      <c r="A58" s="22">
        <v>44530</v>
      </c>
      <c r="B58">
        <v>955.60699999999997</v>
      </c>
      <c r="C58">
        <v>955.60699999999997</v>
      </c>
      <c r="D58">
        <v>955.60699999999997</v>
      </c>
      <c r="E58">
        <v>955.60699999999997</v>
      </c>
      <c r="F58" s="23">
        <f t="shared" si="0"/>
        <v>5.2323038252279218E-6</v>
      </c>
    </row>
    <row r="59" spans="1:6" x14ac:dyDescent="0.35">
      <c r="A59" s="22">
        <v>44531</v>
      </c>
      <c r="B59">
        <v>966.125</v>
      </c>
      <c r="C59">
        <v>966.125</v>
      </c>
      <c r="D59">
        <v>966.125</v>
      </c>
      <c r="E59">
        <v>966.125</v>
      </c>
      <c r="F59" s="23">
        <f t="shared" si="0"/>
        <v>1.1006616736796643E-2</v>
      </c>
    </row>
    <row r="60" spans="1:6" x14ac:dyDescent="0.35">
      <c r="A60" s="22">
        <v>44532</v>
      </c>
      <c r="B60">
        <v>974.85799999999995</v>
      </c>
      <c r="C60">
        <v>974.85799999999995</v>
      </c>
      <c r="D60">
        <v>974.85799999999995</v>
      </c>
      <c r="E60">
        <v>974.85799999999995</v>
      </c>
      <c r="F60" s="23">
        <f t="shared" si="0"/>
        <v>9.0392030016819228E-3</v>
      </c>
    </row>
    <row r="61" spans="1:6" x14ac:dyDescent="0.35">
      <c r="A61" s="22">
        <v>44533</v>
      </c>
      <c r="B61">
        <v>969.61599999999999</v>
      </c>
      <c r="C61">
        <v>969.61599999999999</v>
      </c>
      <c r="D61">
        <v>969.61599999999999</v>
      </c>
      <c r="E61">
        <v>969.61599999999999</v>
      </c>
      <c r="F61" s="23">
        <f t="shared" si="0"/>
        <v>-5.3771933963715352E-3</v>
      </c>
    </row>
    <row r="62" spans="1:6" x14ac:dyDescent="0.35">
      <c r="A62" s="22">
        <v>44536</v>
      </c>
      <c r="B62">
        <v>957.85299999999995</v>
      </c>
      <c r="C62">
        <v>957.85299999999995</v>
      </c>
      <c r="D62">
        <v>957.85299999999995</v>
      </c>
      <c r="E62">
        <v>957.85299999999995</v>
      </c>
      <c r="F62" s="23">
        <f t="shared" si="0"/>
        <v>-1.2131606739162755E-2</v>
      </c>
    </row>
    <row r="63" spans="1:6" x14ac:dyDescent="0.35">
      <c r="A63" s="22">
        <v>44537</v>
      </c>
      <c r="B63">
        <v>971.40499999999997</v>
      </c>
      <c r="C63">
        <v>971.40499999999997</v>
      </c>
      <c r="D63">
        <v>971.40499999999997</v>
      </c>
      <c r="E63">
        <v>971.40499999999997</v>
      </c>
      <c r="F63" s="23">
        <f t="shared" si="0"/>
        <v>1.4148308769717297E-2</v>
      </c>
    </row>
    <row r="64" spans="1:6" x14ac:dyDescent="0.35">
      <c r="A64" s="22">
        <v>44538</v>
      </c>
      <c r="B64">
        <v>986.79100000000005</v>
      </c>
      <c r="C64">
        <v>986.79100000000005</v>
      </c>
      <c r="D64">
        <v>986.79100000000005</v>
      </c>
      <c r="E64">
        <v>986.79100000000005</v>
      </c>
      <c r="F64" s="23">
        <f t="shared" si="0"/>
        <v>1.5838913738348146E-2</v>
      </c>
    </row>
    <row r="65" spans="1:6" x14ac:dyDescent="0.35">
      <c r="A65" s="22">
        <v>44539</v>
      </c>
      <c r="B65">
        <v>991.89400000000001</v>
      </c>
      <c r="C65">
        <v>991.89400000000001</v>
      </c>
      <c r="D65">
        <v>991.89400000000001</v>
      </c>
      <c r="E65">
        <v>991.89400000000001</v>
      </c>
      <c r="F65" s="23">
        <f t="shared" si="0"/>
        <v>5.1713078047934688E-3</v>
      </c>
    </row>
    <row r="66" spans="1:6" x14ac:dyDescent="0.35">
      <c r="A66" s="22">
        <v>44540</v>
      </c>
      <c r="B66">
        <v>993.15099999999995</v>
      </c>
      <c r="C66">
        <v>993.15099999999995</v>
      </c>
      <c r="D66">
        <v>993.15099999999995</v>
      </c>
      <c r="E66">
        <v>993.15099999999995</v>
      </c>
      <c r="F66" s="23">
        <f t="shared" si="0"/>
        <v>1.2672725109739026E-3</v>
      </c>
    </row>
    <row r="67" spans="1:6" x14ac:dyDescent="0.35">
      <c r="A67" s="22">
        <v>44543</v>
      </c>
      <c r="B67">
        <v>988.56600000000003</v>
      </c>
      <c r="C67">
        <v>988.56600000000003</v>
      </c>
      <c r="D67">
        <v>988.56600000000003</v>
      </c>
      <c r="E67">
        <v>988.56600000000003</v>
      </c>
      <c r="F67" s="23">
        <f t="shared" ref="F67:F130" si="1">(B67-B66)/B66</f>
        <v>-4.6166192250724439E-3</v>
      </c>
    </row>
    <row r="68" spans="1:6" x14ac:dyDescent="0.35">
      <c r="A68" s="22">
        <v>44544</v>
      </c>
      <c r="B68">
        <v>989.54600000000005</v>
      </c>
      <c r="C68">
        <v>989.54600000000005</v>
      </c>
      <c r="D68">
        <v>989.54600000000005</v>
      </c>
      <c r="E68">
        <v>989.54600000000005</v>
      </c>
      <c r="F68" s="23">
        <f t="shared" si="1"/>
        <v>9.9133492351549429E-4</v>
      </c>
    </row>
    <row r="69" spans="1:6" x14ac:dyDescent="0.35">
      <c r="A69" s="22">
        <v>44545</v>
      </c>
      <c r="B69">
        <v>982.76099999999997</v>
      </c>
      <c r="C69">
        <v>982.76099999999997</v>
      </c>
      <c r="D69">
        <v>982.76099999999997</v>
      </c>
      <c r="E69">
        <v>982.76099999999997</v>
      </c>
      <c r="F69" s="23">
        <f t="shared" si="1"/>
        <v>-6.8566797298964186E-3</v>
      </c>
    </row>
    <row r="70" spans="1:6" x14ac:dyDescent="0.35">
      <c r="A70" s="22">
        <v>44546</v>
      </c>
      <c r="B70">
        <v>979.85900000000004</v>
      </c>
      <c r="C70">
        <v>979.85900000000004</v>
      </c>
      <c r="D70">
        <v>979.85900000000004</v>
      </c>
      <c r="E70">
        <v>979.85900000000004</v>
      </c>
      <c r="F70" s="23">
        <f t="shared" si="1"/>
        <v>-2.9529051315629437E-3</v>
      </c>
    </row>
    <row r="71" spans="1:6" x14ac:dyDescent="0.35">
      <c r="A71" s="22">
        <v>44547</v>
      </c>
      <c r="B71">
        <v>961.68499999999995</v>
      </c>
      <c r="C71">
        <v>961.68499999999995</v>
      </c>
      <c r="D71">
        <v>961.68499999999995</v>
      </c>
      <c r="E71">
        <v>961.68499999999995</v>
      </c>
      <c r="F71" s="23">
        <f t="shared" si="1"/>
        <v>-1.8547566537634591E-2</v>
      </c>
    </row>
    <row r="72" spans="1:6" x14ac:dyDescent="0.35">
      <c r="A72" s="22">
        <v>44550</v>
      </c>
      <c r="B72">
        <v>934.98199999999997</v>
      </c>
      <c r="C72">
        <v>934.98199999999997</v>
      </c>
      <c r="D72">
        <v>934.98199999999997</v>
      </c>
      <c r="E72">
        <v>934.98199999999997</v>
      </c>
      <c r="F72" s="23">
        <f t="shared" si="1"/>
        <v>-2.7766888326219059E-2</v>
      </c>
    </row>
    <row r="73" spans="1:6" x14ac:dyDescent="0.35">
      <c r="A73" s="22">
        <v>44551</v>
      </c>
      <c r="B73">
        <v>944.346</v>
      </c>
      <c r="C73">
        <v>944.346</v>
      </c>
      <c r="D73">
        <v>944.346</v>
      </c>
      <c r="E73">
        <v>944.346</v>
      </c>
      <c r="F73" s="23">
        <f t="shared" si="1"/>
        <v>1.0015166067368178E-2</v>
      </c>
    </row>
    <row r="74" spans="1:6" x14ac:dyDescent="0.35">
      <c r="A74" s="22">
        <v>44552</v>
      </c>
      <c r="B74">
        <v>957.29</v>
      </c>
      <c r="C74">
        <v>957.29</v>
      </c>
      <c r="D74">
        <v>957.29</v>
      </c>
      <c r="E74">
        <v>957.29</v>
      </c>
      <c r="F74" s="23">
        <f t="shared" si="1"/>
        <v>1.3706840501256912E-2</v>
      </c>
    </row>
    <row r="75" spans="1:6" x14ac:dyDescent="0.35">
      <c r="A75" s="22">
        <v>44553</v>
      </c>
      <c r="B75">
        <v>965.58399999999995</v>
      </c>
      <c r="C75">
        <v>965.58399999999995</v>
      </c>
      <c r="D75">
        <v>965.58399999999995</v>
      </c>
      <c r="E75">
        <v>965.58399999999995</v>
      </c>
      <c r="F75" s="23">
        <f t="shared" si="1"/>
        <v>8.6640411996364557E-3</v>
      </c>
    </row>
    <row r="76" spans="1:6" x14ac:dyDescent="0.35">
      <c r="A76" s="22">
        <v>44554</v>
      </c>
      <c r="B76">
        <v>957.15800000000002</v>
      </c>
      <c r="C76">
        <v>957.15800000000002</v>
      </c>
      <c r="D76">
        <v>957.15800000000002</v>
      </c>
      <c r="E76">
        <v>957.15800000000002</v>
      </c>
      <c r="F76" s="23">
        <f t="shared" si="1"/>
        <v>-8.7263252083712353E-3</v>
      </c>
    </row>
    <row r="77" spans="1:6" x14ac:dyDescent="0.35">
      <c r="A77" s="22">
        <v>44557</v>
      </c>
      <c r="B77">
        <v>960.44399999999996</v>
      </c>
      <c r="C77">
        <v>960.44399999999996</v>
      </c>
      <c r="D77">
        <v>960.44399999999996</v>
      </c>
      <c r="E77">
        <v>960.44399999999996</v>
      </c>
      <c r="F77" s="23">
        <f t="shared" si="1"/>
        <v>3.4330800139579301E-3</v>
      </c>
    </row>
    <row r="78" spans="1:6" x14ac:dyDescent="0.35">
      <c r="A78" s="22">
        <v>44558</v>
      </c>
      <c r="B78">
        <v>970.87199999999996</v>
      </c>
      <c r="C78">
        <v>970.87199999999996</v>
      </c>
      <c r="D78">
        <v>970.87199999999996</v>
      </c>
      <c r="E78">
        <v>970.87199999999996</v>
      </c>
      <c r="F78" s="23">
        <f t="shared" si="1"/>
        <v>1.085747841623249E-2</v>
      </c>
    </row>
    <row r="79" spans="1:6" x14ac:dyDescent="0.35">
      <c r="A79" s="22">
        <v>44559</v>
      </c>
      <c r="B79">
        <v>968.625</v>
      </c>
      <c r="C79">
        <v>968.625</v>
      </c>
      <c r="D79">
        <v>968.625</v>
      </c>
      <c r="E79">
        <v>968.625</v>
      </c>
      <c r="F79" s="23">
        <f t="shared" si="1"/>
        <v>-2.3144142585221918E-3</v>
      </c>
    </row>
    <row r="80" spans="1:6" x14ac:dyDescent="0.35">
      <c r="A80" s="22">
        <v>44560</v>
      </c>
      <c r="B80">
        <v>967.61900000000003</v>
      </c>
      <c r="C80">
        <v>967.61900000000003</v>
      </c>
      <c r="D80">
        <v>967.61900000000003</v>
      </c>
      <c r="E80">
        <v>967.61900000000003</v>
      </c>
      <c r="F80" s="23">
        <f t="shared" si="1"/>
        <v>-1.0385856239514485E-3</v>
      </c>
    </row>
    <row r="81" spans="1:6" x14ac:dyDescent="0.35">
      <c r="A81" s="22">
        <v>44561</v>
      </c>
      <c r="B81">
        <v>974.89099999999996</v>
      </c>
      <c r="C81">
        <v>974.89099999999996</v>
      </c>
      <c r="D81">
        <v>974.89099999999996</v>
      </c>
      <c r="E81">
        <v>974.89099999999996</v>
      </c>
      <c r="F81" s="23">
        <f t="shared" si="1"/>
        <v>7.5153547005587266E-3</v>
      </c>
    </row>
    <row r="82" spans="1:6" x14ac:dyDescent="0.35">
      <c r="A82" s="22">
        <v>44564</v>
      </c>
      <c r="B82">
        <v>989.78099999999995</v>
      </c>
      <c r="C82">
        <v>989.78099999999995</v>
      </c>
      <c r="D82">
        <v>989.78099999999995</v>
      </c>
      <c r="E82">
        <v>989.78099999999995</v>
      </c>
      <c r="F82" s="23">
        <f t="shared" si="1"/>
        <v>1.5273502371034286E-2</v>
      </c>
    </row>
    <row r="83" spans="1:6" x14ac:dyDescent="0.35">
      <c r="A83" s="22">
        <v>44565</v>
      </c>
      <c r="B83" s="24">
        <v>1000.006</v>
      </c>
      <c r="C83" s="24">
        <v>1000.006</v>
      </c>
      <c r="D83" s="24">
        <v>1000.006</v>
      </c>
      <c r="E83" s="24">
        <v>1000.006</v>
      </c>
      <c r="F83" s="23">
        <f t="shared" si="1"/>
        <v>1.0330568075160085E-2</v>
      </c>
    </row>
    <row r="84" spans="1:6" x14ac:dyDescent="0.35">
      <c r="A84" s="22">
        <v>44566</v>
      </c>
      <c r="B84" s="24">
        <v>1006.349</v>
      </c>
      <c r="C84" s="24">
        <v>1006.349</v>
      </c>
      <c r="D84" s="24">
        <v>1006.349</v>
      </c>
      <c r="E84" s="24">
        <v>1006.349</v>
      </c>
      <c r="F84" s="23">
        <f t="shared" si="1"/>
        <v>6.3429619422284214E-3</v>
      </c>
    </row>
    <row r="85" spans="1:6" x14ac:dyDescent="0.35">
      <c r="A85" s="22">
        <v>44567</v>
      </c>
      <c r="B85" s="24">
        <v>1001.944</v>
      </c>
      <c r="C85" s="24">
        <v>1001.944</v>
      </c>
      <c r="D85" s="24">
        <v>1001.944</v>
      </c>
      <c r="E85" s="24">
        <v>1001.944</v>
      </c>
      <c r="F85" s="23">
        <f t="shared" si="1"/>
        <v>-4.3772090994278192E-3</v>
      </c>
    </row>
    <row r="86" spans="1:6" x14ac:dyDescent="0.35">
      <c r="A86" s="22">
        <v>44568</v>
      </c>
      <c r="B86" s="24">
        <v>1003.623</v>
      </c>
      <c r="C86" s="24">
        <v>1003.623</v>
      </c>
      <c r="D86" s="24">
        <v>1003.623</v>
      </c>
      <c r="E86" s="24">
        <v>1003.623</v>
      </c>
      <c r="F86" s="23">
        <f t="shared" si="1"/>
        <v>1.6757423568583547E-3</v>
      </c>
    </row>
    <row r="87" spans="1:6" x14ac:dyDescent="0.35">
      <c r="A87" s="22">
        <v>44571</v>
      </c>
      <c r="B87" s="24">
        <v>1018.43</v>
      </c>
      <c r="C87" s="24">
        <v>1018.43</v>
      </c>
      <c r="D87" s="24">
        <v>1018.43</v>
      </c>
      <c r="E87" s="24">
        <v>1018.43</v>
      </c>
      <c r="F87" s="23">
        <f t="shared" si="1"/>
        <v>1.4753547895972793E-2</v>
      </c>
    </row>
    <row r="88" spans="1:6" x14ac:dyDescent="0.35">
      <c r="A88" s="22">
        <v>44572</v>
      </c>
      <c r="B88" s="24">
        <v>1019.775</v>
      </c>
      <c r="C88" s="24">
        <v>1019.775</v>
      </c>
      <c r="D88" s="24">
        <v>1019.775</v>
      </c>
      <c r="E88" s="24">
        <v>1019.775</v>
      </c>
      <c r="F88" s="23">
        <f t="shared" si="1"/>
        <v>1.3206602319256377E-3</v>
      </c>
    </row>
    <row r="89" spans="1:6" x14ac:dyDescent="0.35">
      <c r="A89" s="22">
        <v>44573</v>
      </c>
      <c r="B89" s="24">
        <v>1029.1289999999999</v>
      </c>
      <c r="C89" s="24">
        <v>1029.1289999999999</v>
      </c>
      <c r="D89" s="24">
        <v>1029.1289999999999</v>
      </c>
      <c r="E89" s="24">
        <v>1029.1289999999999</v>
      </c>
      <c r="F89" s="23">
        <f t="shared" si="1"/>
        <v>9.1726116055011429E-3</v>
      </c>
    </row>
    <row r="90" spans="1:6" x14ac:dyDescent="0.35">
      <c r="A90" s="22">
        <v>44574</v>
      </c>
      <c r="B90" s="24">
        <v>1035.6880000000001</v>
      </c>
      <c r="C90" s="24">
        <v>1035.6880000000001</v>
      </c>
      <c r="D90" s="24">
        <v>1035.6880000000001</v>
      </c>
      <c r="E90" s="24">
        <v>1035.6880000000001</v>
      </c>
      <c r="F90" s="23">
        <f t="shared" si="1"/>
        <v>6.3733506683809286E-3</v>
      </c>
    </row>
    <row r="91" spans="1:6" x14ac:dyDescent="0.35">
      <c r="A91" s="22">
        <v>44575</v>
      </c>
      <c r="B91" s="24">
        <v>1038.0719999999999</v>
      </c>
      <c r="C91" s="24">
        <v>1038.0719999999999</v>
      </c>
      <c r="D91" s="24">
        <v>1038.0719999999999</v>
      </c>
      <c r="E91" s="24">
        <v>1038.0719999999999</v>
      </c>
      <c r="F91" s="23">
        <f t="shared" si="1"/>
        <v>2.3018515228522365E-3</v>
      </c>
    </row>
    <row r="92" spans="1:6" x14ac:dyDescent="0.35">
      <c r="A92" s="22">
        <v>44578</v>
      </c>
      <c r="B92" s="24">
        <v>1041.5029999999999</v>
      </c>
      <c r="C92" s="24">
        <v>1041.5029999999999</v>
      </c>
      <c r="D92" s="24">
        <v>1041.5029999999999</v>
      </c>
      <c r="E92" s="24">
        <v>1041.5029999999999</v>
      </c>
      <c r="F92" s="23">
        <f t="shared" si="1"/>
        <v>3.3051657303154697E-3</v>
      </c>
    </row>
    <row r="93" spans="1:6" x14ac:dyDescent="0.35">
      <c r="A93" s="22">
        <v>44579</v>
      </c>
      <c r="B93" s="24">
        <v>1029.7249999999999</v>
      </c>
      <c r="C93" s="24">
        <v>1029.7249999999999</v>
      </c>
      <c r="D93" s="24">
        <v>1029.7249999999999</v>
      </c>
      <c r="E93" s="24">
        <v>1029.7249999999999</v>
      </c>
      <c r="F93" s="23">
        <f t="shared" si="1"/>
        <v>-1.1308656816158976E-2</v>
      </c>
    </row>
    <row r="94" spans="1:6" x14ac:dyDescent="0.35">
      <c r="A94" s="22">
        <v>44580</v>
      </c>
      <c r="B94" s="24">
        <v>1030.6379999999999</v>
      </c>
      <c r="C94" s="24">
        <v>1030.6379999999999</v>
      </c>
      <c r="D94" s="24">
        <v>1030.6379999999999</v>
      </c>
      <c r="E94" s="24">
        <v>1030.6379999999999</v>
      </c>
      <c r="F94" s="23">
        <f t="shared" si="1"/>
        <v>8.8664449246159019E-4</v>
      </c>
    </row>
    <row r="95" spans="1:6" x14ac:dyDescent="0.35">
      <c r="A95" s="22">
        <v>44581</v>
      </c>
      <c r="B95" s="24">
        <v>1026.1990000000001</v>
      </c>
      <c r="C95" s="24">
        <v>1026.1990000000001</v>
      </c>
      <c r="D95" s="24">
        <v>1026.1990000000001</v>
      </c>
      <c r="E95" s="24">
        <v>1026.1990000000001</v>
      </c>
      <c r="F95" s="23">
        <f t="shared" si="1"/>
        <v>-4.3070408814732727E-3</v>
      </c>
    </row>
    <row r="96" spans="1:6" x14ac:dyDescent="0.35">
      <c r="A96" s="22">
        <v>44582</v>
      </c>
      <c r="B96" s="24">
        <v>1009.177</v>
      </c>
      <c r="C96" s="24">
        <v>1009.177</v>
      </c>
      <c r="D96" s="24">
        <v>1009.177</v>
      </c>
      <c r="E96" s="24">
        <v>1009.177</v>
      </c>
      <c r="F96" s="23">
        <f t="shared" si="1"/>
        <v>-1.6587426025556493E-2</v>
      </c>
    </row>
    <row r="97" spans="1:6" x14ac:dyDescent="0.35">
      <c r="A97" s="22">
        <v>44585</v>
      </c>
      <c r="B97">
        <v>987.63800000000003</v>
      </c>
      <c r="C97">
        <v>987.63800000000003</v>
      </c>
      <c r="D97">
        <v>987.63800000000003</v>
      </c>
      <c r="E97">
        <v>987.63800000000003</v>
      </c>
      <c r="F97" s="23">
        <f t="shared" si="1"/>
        <v>-2.1343134058742903E-2</v>
      </c>
    </row>
    <row r="98" spans="1:6" x14ac:dyDescent="0.35">
      <c r="A98" s="22">
        <v>44586</v>
      </c>
      <c r="B98" s="24">
        <v>1005.099</v>
      </c>
      <c r="C98" s="24">
        <v>1005.099</v>
      </c>
      <c r="D98" s="24">
        <v>1005.099</v>
      </c>
      <c r="E98" s="24">
        <v>1005.099</v>
      </c>
      <c r="F98" s="23">
        <f t="shared" si="1"/>
        <v>1.7679554654640679E-2</v>
      </c>
    </row>
    <row r="99" spans="1:6" x14ac:dyDescent="0.35">
      <c r="A99" s="22">
        <v>44588</v>
      </c>
      <c r="B99" s="24">
        <v>1003.573</v>
      </c>
      <c r="C99" s="24">
        <v>1003.573</v>
      </c>
      <c r="D99" s="24">
        <v>1003.573</v>
      </c>
      <c r="E99" s="24">
        <v>1003.573</v>
      </c>
      <c r="F99" s="23">
        <f t="shared" si="1"/>
        <v>-1.5182584004163444E-3</v>
      </c>
    </row>
    <row r="100" spans="1:6" x14ac:dyDescent="0.35">
      <c r="A100" s="22">
        <v>44589</v>
      </c>
      <c r="B100" s="24">
        <v>1005.095</v>
      </c>
      <c r="C100" s="24">
        <v>1005.095</v>
      </c>
      <c r="D100" s="24">
        <v>1005.095</v>
      </c>
      <c r="E100" s="24">
        <v>1005.095</v>
      </c>
      <c r="F100" s="23">
        <f t="shared" si="1"/>
        <v>1.5165812551753068E-3</v>
      </c>
    </row>
    <row r="101" spans="1:6" x14ac:dyDescent="0.35">
      <c r="A101" s="22">
        <v>44592</v>
      </c>
      <c r="B101" s="24">
        <v>1020.008</v>
      </c>
      <c r="C101" s="24">
        <v>1020.008</v>
      </c>
      <c r="D101" s="24">
        <v>1020.008</v>
      </c>
      <c r="E101" s="24">
        <v>1020.008</v>
      </c>
      <c r="F101" s="23">
        <f t="shared" si="1"/>
        <v>1.4837403429526573E-2</v>
      </c>
    </row>
    <row r="102" spans="1:6" x14ac:dyDescent="0.35">
      <c r="A102" s="22">
        <v>44593</v>
      </c>
      <c r="B102" s="24">
        <v>1025.539</v>
      </c>
      <c r="C102" s="24">
        <v>1025.539</v>
      </c>
      <c r="D102" s="24">
        <v>1025.539</v>
      </c>
      <c r="E102" s="24">
        <v>1025.539</v>
      </c>
      <c r="F102" s="23">
        <f t="shared" si="1"/>
        <v>5.4225064901451256E-3</v>
      </c>
    </row>
    <row r="103" spans="1:6" x14ac:dyDescent="0.35">
      <c r="A103" s="22">
        <v>44594</v>
      </c>
      <c r="B103" s="24">
        <v>1034.374</v>
      </c>
      <c r="C103" s="24">
        <v>1034.374</v>
      </c>
      <c r="D103" s="24">
        <v>1034.374</v>
      </c>
      <c r="E103" s="24">
        <v>1034.374</v>
      </c>
      <c r="F103" s="23">
        <f t="shared" si="1"/>
        <v>8.6149819753320311E-3</v>
      </c>
    </row>
    <row r="104" spans="1:6" x14ac:dyDescent="0.35">
      <c r="A104" s="22">
        <v>44595</v>
      </c>
      <c r="B104" s="24">
        <v>1026.5070000000001</v>
      </c>
      <c r="C104" s="24">
        <v>1026.5070000000001</v>
      </c>
      <c r="D104" s="24">
        <v>1026.5070000000001</v>
      </c>
      <c r="E104" s="24">
        <v>1026.5070000000001</v>
      </c>
      <c r="F104" s="23">
        <f t="shared" si="1"/>
        <v>-7.6055662651999777E-3</v>
      </c>
    </row>
    <row r="105" spans="1:6" x14ac:dyDescent="0.35">
      <c r="A105" s="22">
        <v>44596</v>
      </c>
      <c r="B105" s="24">
        <v>1019.437</v>
      </c>
      <c r="C105" s="24">
        <v>1019.437</v>
      </c>
      <c r="D105" s="24">
        <v>1019.437</v>
      </c>
      <c r="E105" s="24">
        <v>1019.437</v>
      </c>
      <c r="F105" s="23">
        <f t="shared" si="1"/>
        <v>-6.8874347666407045E-3</v>
      </c>
    </row>
    <row r="106" spans="1:6" x14ac:dyDescent="0.35">
      <c r="A106" s="22">
        <v>44599</v>
      </c>
      <c r="B106" s="24">
        <v>1009.225</v>
      </c>
      <c r="C106" s="24">
        <v>1009.225</v>
      </c>
      <c r="D106" s="24">
        <v>1009.225</v>
      </c>
      <c r="E106" s="24">
        <v>1009.225</v>
      </c>
      <c r="F106" s="23">
        <f t="shared" si="1"/>
        <v>-1.0017293859257599E-2</v>
      </c>
    </row>
    <row r="107" spans="1:6" x14ac:dyDescent="0.35">
      <c r="A107" s="22">
        <v>44600</v>
      </c>
      <c r="B107" s="24">
        <v>1007.514</v>
      </c>
      <c r="C107" s="24">
        <v>1007.514</v>
      </c>
      <c r="D107" s="24">
        <v>1007.514</v>
      </c>
      <c r="E107" s="24">
        <v>1007.514</v>
      </c>
      <c r="F107" s="23">
        <f t="shared" si="1"/>
        <v>-1.6953603012212467E-3</v>
      </c>
    </row>
    <row r="108" spans="1:6" x14ac:dyDescent="0.35">
      <c r="A108" s="22">
        <v>44601</v>
      </c>
      <c r="B108" s="24">
        <v>1018.542</v>
      </c>
      <c r="C108" s="24">
        <v>1018.542</v>
      </c>
      <c r="D108" s="24">
        <v>1018.542</v>
      </c>
      <c r="E108" s="24">
        <v>1018.542</v>
      </c>
      <c r="F108" s="23">
        <f t="shared" si="1"/>
        <v>1.0945753607394061E-2</v>
      </c>
    </row>
    <row r="109" spans="1:6" x14ac:dyDescent="0.35">
      <c r="A109" s="22">
        <v>44602</v>
      </c>
      <c r="B109" s="24">
        <v>1025.077</v>
      </c>
      <c r="C109" s="24">
        <v>1025.077</v>
      </c>
      <c r="D109" s="24">
        <v>1025.077</v>
      </c>
      <c r="E109" s="24">
        <v>1025.077</v>
      </c>
      <c r="F109" s="23">
        <f t="shared" si="1"/>
        <v>6.4160338994366144E-3</v>
      </c>
    </row>
    <row r="110" spans="1:6" x14ac:dyDescent="0.35">
      <c r="A110" s="22">
        <v>44603</v>
      </c>
      <c r="B110" s="24">
        <v>1013.7569999999999</v>
      </c>
      <c r="C110" s="24">
        <v>1013.7569999999999</v>
      </c>
      <c r="D110" s="24">
        <v>1013.7569999999999</v>
      </c>
      <c r="E110" s="24">
        <v>1013.7569999999999</v>
      </c>
      <c r="F110" s="23">
        <f t="shared" si="1"/>
        <v>-1.1043072861843597E-2</v>
      </c>
    </row>
    <row r="111" spans="1:6" x14ac:dyDescent="0.35">
      <c r="A111" s="22">
        <v>44606</v>
      </c>
      <c r="B111">
        <v>979.577</v>
      </c>
      <c r="C111">
        <v>979.577</v>
      </c>
      <c r="D111">
        <v>979.577</v>
      </c>
      <c r="E111">
        <v>979.577</v>
      </c>
      <c r="F111" s="23">
        <f t="shared" si="1"/>
        <v>-3.3716166694779864E-2</v>
      </c>
    </row>
    <row r="112" spans="1:6" x14ac:dyDescent="0.35">
      <c r="A112" s="22">
        <v>44607</v>
      </c>
      <c r="B112" s="24">
        <v>1004.316</v>
      </c>
      <c r="C112" s="24">
        <v>1004.316</v>
      </c>
      <c r="D112" s="24">
        <v>1004.316</v>
      </c>
      <c r="E112" s="24">
        <v>1004.316</v>
      </c>
      <c r="F112" s="23">
        <f t="shared" si="1"/>
        <v>2.5254778337996945E-2</v>
      </c>
    </row>
    <row r="113" spans="1:6" x14ac:dyDescent="0.35">
      <c r="A113" s="22">
        <v>44608</v>
      </c>
      <c r="B113" s="24">
        <v>1000.542</v>
      </c>
      <c r="C113" s="24">
        <v>1000.542</v>
      </c>
      <c r="D113" s="24">
        <v>1000.542</v>
      </c>
      <c r="E113" s="24">
        <v>1000.542</v>
      </c>
      <c r="F113" s="23">
        <f t="shared" si="1"/>
        <v>-3.7577814154110866E-3</v>
      </c>
    </row>
    <row r="114" spans="1:6" x14ac:dyDescent="0.35">
      <c r="A114" s="22">
        <v>44609</v>
      </c>
      <c r="B114">
        <v>996.04399999999998</v>
      </c>
      <c r="C114">
        <v>996.04399999999998</v>
      </c>
      <c r="D114">
        <v>996.04399999999998</v>
      </c>
      <c r="E114">
        <v>996.04399999999998</v>
      </c>
      <c r="F114" s="23">
        <f t="shared" si="1"/>
        <v>-4.4955634046347347E-3</v>
      </c>
    </row>
    <row r="115" spans="1:6" x14ac:dyDescent="0.35">
      <c r="A115" s="22">
        <v>44610</v>
      </c>
      <c r="B115">
        <v>994.67</v>
      </c>
      <c r="C115">
        <v>994.67</v>
      </c>
      <c r="D115">
        <v>994.67</v>
      </c>
      <c r="E115">
        <v>994.67</v>
      </c>
      <c r="F115" s="23">
        <f t="shared" si="1"/>
        <v>-1.3794571324158608E-3</v>
      </c>
    </row>
    <row r="116" spans="1:6" x14ac:dyDescent="0.35">
      <c r="A116" s="22">
        <v>44613</v>
      </c>
      <c r="B116">
        <v>987.85400000000004</v>
      </c>
      <c r="C116">
        <v>987.85400000000004</v>
      </c>
      <c r="D116">
        <v>987.85400000000004</v>
      </c>
      <c r="E116">
        <v>987.85400000000004</v>
      </c>
      <c r="F116" s="23">
        <f t="shared" si="1"/>
        <v>-6.8525239526676359E-3</v>
      </c>
    </row>
    <row r="117" spans="1:6" x14ac:dyDescent="0.35">
      <c r="A117" s="22">
        <v>44614</v>
      </c>
      <c r="B117">
        <v>977.41</v>
      </c>
      <c r="C117">
        <v>977.41</v>
      </c>
      <c r="D117">
        <v>977.41</v>
      </c>
      <c r="E117">
        <v>977.41</v>
      </c>
      <c r="F117" s="23">
        <f t="shared" si="1"/>
        <v>-1.0572412522498338E-2</v>
      </c>
    </row>
    <row r="118" spans="1:6" x14ac:dyDescent="0.35">
      <c r="A118" s="22">
        <v>44615</v>
      </c>
      <c r="B118">
        <v>977.24900000000002</v>
      </c>
      <c r="C118">
        <v>977.24900000000002</v>
      </c>
      <c r="D118">
        <v>977.24900000000002</v>
      </c>
      <c r="E118">
        <v>977.24900000000002</v>
      </c>
      <c r="F118" s="23">
        <f t="shared" si="1"/>
        <v>-1.6472104848522579E-4</v>
      </c>
    </row>
    <row r="119" spans="1:6" x14ac:dyDescent="0.35">
      <c r="A119" s="22">
        <v>44616</v>
      </c>
      <c r="B119">
        <v>930.49199999999996</v>
      </c>
      <c r="C119">
        <v>930.49199999999996</v>
      </c>
      <c r="D119">
        <v>930.49199999999996</v>
      </c>
      <c r="E119">
        <v>930.49199999999996</v>
      </c>
      <c r="F119" s="23">
        <f t="shared" si="1"/>
        <v>-4.7845533738075006E-2</v>
      </c>
    </row>
    <row r="120" spans="1:6" x14ac:dyDescent="0.35">
      <c r="A120" s="22">
        <v>44617</v>
      </c>
      <c r="B120">
        <v>958.23099999999999</v>
      </c>
      <c r="C120">
        <v>958.23099999999999</v>
      </c>
      <c r="D120">
        <v>958.23099999999999</v>
      </c>
      <c r="E120">
        <v>958.23099999999999</v>
      </c>
      <c r="F120" s="23">
        <f t="shared" si="1"/>
        <v>2.9811110681231042E-2</v>
      </c>
    </row>
    <row r="121" spans="1:6" x14ac:dyDescent="0.35">
      <c r="A121" s="22">
        <v>44620</v>
      </c>
      <c r="B121">
        <v>969.34900000000005</v>
      </c>
      <c r="C121">
        <v>969.34900000000005</v>
      </c>
      <c r="D121">
        <v>969.34900000000005</v>
      </c>
      <c r="E121">
        <v>969.34900000000005</v>
      </c>
      <c r="F121" s="23">
        <f t="shared" si="1"/>
        <v>1.1602630263475145E-2</v>
      </c>
    </row>
    <row r="122" spans="1:6" x14ac:dyDescent="0.35">
      <c r="A122" s="22">
        <v>44622</v>
      </c>
      <c r="B122">
        <v>964.65300000000002</v>
      </c>
      <c r="C122">
        <v>964.65300000000002</v>
      </c>
      <c r="D122">
        <v>964.65300000000002</v>
      </c>
      <c r="E122">
        <v>964.65300000000002</v>
      </c>
      <c r="F122" s="23">
        <f t="shared" si="1"/>
        <v>-4.8444884143894777E-3</v>
      </c>
    </row>
    <row r="123" spans="1:6" x14ac:dyDescent="0.35">
      <c r="A123" s="22">
        <v>44623</v>
      </c>
      <c r="B123">
        <v>962.95799999999997</v>
      </c>
      <c r="C123">
        <v>962.95799999999997</v>
      </c>
      <c r="D123">
        <v>962.95799999999997</v>
      </c>
      <c r="E123">
        <v>962.95799999999997</v>
      </c>
      <c r="F123" s="23">
        <f t="shared" si="1"/>
        <v>-1.7571085146680205E-3</v>
      </c>
    </row>
    <row r="124" spans="1:6" x14ac:dyDescent="0.35">
      <c r="A124" s="22">
        <v>44624</v>
      </c>
      <c r="B124">
        <v>949.10500000000002</v>
      </c>
      <c r="C124">
        <v>949.10500000000002</v>
      </c>
      <c r="D124">
        <v>949.10500000000002</v>
      </c>
      <c r="E124">
        <v>949.10500000000002</v>
      </c>
      <c r="F124" s="23">
        <f t="shared" si="1"/>
        <v>-1.4385881834929407E-2</v>
      </c>
    </row>
    <row r="125" spans="1:6" x14ac:dyDescent="0.35">
      <c r="A125" s="22">
        <v>44627</v>
      </c>
      <c r="B125">
        <v>930.96400000000006</v>
      </c>
      <c r="C125">
        <v>930.96400000000006</v>
      </c>
      <c r="D125">
        <v>930.96400000000006</v>
      </c>
      <c r="E125">
        <v>930.96400000000006</v>
      </c>
      <c r="F125" s="23">
        <f t="shared" si="1"/>
        <v>-1.9113796682137342E-2</v>
      </c>
    </row>
    <row r="126" spans="1:6" x14ac:dyDescent="0.35">
      <c r="A126" s="22">
        <v>44628</v>
      </c>
      <c r="B126">
        <v>940.37800000000004</v>
      </c>
      <c r="C126">
        <v>940.37800000000004</v>
      </c>
      <c r="D126">
        <v>940.37800000000004</v>
      </c>
      <c r="E126">
        <v>940.37800000000004</v>
      </c>
      <c r="F126" s="23">
        <f t="shared" si="1"/>
        <v>1.0112098856668987E-2</v>
      </c>
    </row>
    <row r="127" spans="1:6" x14ac:dyDescent="0.35">
      <c r="A127" s="22">
        <v>44629</v>
      </c>
      <c r="B127">
        <v>954.23900000000003</v>
      </c>
      <c r="C127">
        <v>954.23900000000003</v>
      </c>
      <c r="D127">
        <v>954.23900000000003</v>
      </c>
      <c r="E127">
        <v>954.23900000000003</v>
      </c>
      <c r="F127" s="23">
        <f t="shared" si="1"/>
        <v>1.4739817392580418E-2</v>
      </c>
    </row>
    <row r="128" spans="1:6" x14ac:dyDescent="0.35">
      <c r="A128" s="22">
        <v>44630</v>
      </c>
      <c r="B128">
        <v>964.26400000000001</v>
      </c>
      <c r="C128">
        <v>964.26400000000001</v>
      </c>
      <c r="D128">
        <v>964.26400000000001</v>
      </c>
      <c r="E128">
        <v>964.26400000000001</v>
      </c>
      <c r="F128" s="23">
        <f t="shared" si="1"/>
        <v>1.0505753799624599E-2</v>
      </c>
    </row>
    <row r="129" spans="1:6" x14ac:dyDescent="0.35">
      <c r="A129" s="22">
        <v>44631</v>
      </c>
      <c r="B129">
        <v>969.64099999999996</v>
      </c>
      <c r="C129">
        <v>969.64099999999996</v>
      </c>
      <c r="D129">
        <v>969.64099999999996</v>
      </c>
      <c r="E129">
        <v>969.64099999999996</v>
      </c>
      <c r="F129" s="23">
        <f t="shared" si="1"/>
        <v>5.5762737175710725E-3</v>
      </c>
    </row>
    <row r="130" spans="1:6" x14ac:dyDescent="0.35">
      <c r="A130" s="22">
        <v>44634</v>
      </c>
      <c r="B130">
        <v>979.39099999999996</v>
      </c>
      <c r="C130">
        <v>979.39099999999996</v>
      </c>
      <c r="D130">
        <v>979.39099999999996</v>
      </c>
      <c r="E130">
        <v>979.39099999999996</v>
      </c>
      <c r="F130" s="23">
        <f t="shared" si="1"/>
        <v>1.0055267877492804E-2</v>
      </c>
    </row>
    <row r="131" spans="1:6" x14ac:dyDescent="0.35">
      <c r="A131" s="22">
        <v>44635</v>
      </c>
      <c r="B131">
        <v>969.85400000000004</v>
      </c>
      <c r="C131">
        <v>969.85400000000004</v>
      </c>
      <c r="D131">
        <v>969.85400000000004</v>
      </c>
      <c r="E131">
        <v>969.85400000000004</v>
      </c>
      <c r="F131" s="23">
        <f t="shared" ref="F131:F194" si="2">(B131-B130)/B130</f>
        <v>-9.7376839280735907E-3</v>
      </c>
    </row>
    <row r="132" spans="1:6" x14ac:dyDescent="0.35">
      <c r="A132" s="22">
        <v>44636</v>
      </c>
      <c r="B132">
        <v>986.13699999999994</v>
      </c>
      <c r="C132">
        <v>986.13699999999994</v>
      </c>
      <c r="D132">
        <v>986.13699999999994</v>
      </c>
      <c r="E132">
        <v>986.13699999999994</v>
      </c>
      <c r="F132" s="23">
        <f t="shared" si="2"/>
        <v>1.6789124961076513E-2</v>
      </c>
    </row>
    <row r="133" spans="1:6" x14ac:dyDescent="0.35">
      <c r="A133" s="22">
        <v>44637</v>
      </c>
      <c r="B133" s="24">
        <v>1000.347</v>
      </c>
      <c r="C133" s="24">
        <v>1000.347</v>
      </c>
      <c r="D133" s="24">
        <v>1000.347</v>
      </c>
      <c r="E133" s="24">
        <v>1000.347</v>
      </c>
      <c r="F133" s="23">
        <f t="shared" si="2"/>
        <v>1.4409762538065236E-2</v>
      </c>
    </row>
    <row r="134" spans="1:6" x14ac:dyDescent="0.35">
      <c r="A134" s="22">
        <v>44641</v>
      </c>
      <c r="B134">
        <v>993.41300000000001</v>
      </c>
      <c r="C134">
        <v>993.41300000000001</v>
      </c>
      <c r="D134">
        <v>993.41300000000001</v>
      </c>
      <c r="E134">
        <v>993.41300000000001</v>
      </c>
      <c r="F134" s="23">
        <f t="shared" si="2"/>
        <v>-6.9315947366263599E-3</v>
      </c>
    </row>
    <row r="135" spans="1:6" x14ac:dyDescent="0.35">
      <c r="A135" s="22">
        <v>44642</v>
      </c>
      <c r="B135" s="24">
        <v>1000.857</v>
      </c>
      <c r="C135" s="24">
        <v>1000.857</v>
      </c>
      <c r="D135" s="24">
        <v>1000.857</v>
      </c>
      <c r="E135" s="24">
        <v>1000.857</v>
      </c>
      <c r="F135" s="23">
        <f t="shared" si="2"/>
        <v>7.4933587541133042E-3</v>
      </c>
    </row>
    <row r="136" spans="1:6" x14ac:dyDescent="0.35">
      <c r="A136" s="22">
        <v>44643</v>
      </c>
      <c r="B136">
        <v>998.30100000000004</v>
      </c>
      <c r="C136">
        <v>998.30100000000004</v>
      </c>
      <c r="D136">
        <v>998.30100000000004</v>
      </c>
      <c r="E136">
        <v>998.30100000000004</v>
      </c>
      <c r="F136" s="23">
        <f t="shared" si="2"/>
        <v>-2.5538113836441434E-3</v>
      </c>
    </row>
    <row r="137" spans="1:6" x14ac:dyDescent="0.35">
      <c r="A137" s="22">
        <v>44644</v>
      </c>
      <c r="B137" s="24">
        <v>1000.58</v>
      </c>
      <c r="C137" s="24">
        <v>1000.58</v>
      </c>
      <c r="D137" s="24">
        <v>1000.58</v>
      </c>
      <c r="E137" s="24">
        <v>1000.58</v>
      </c>
      <c r="F137" s="23">
        <f t="shared" si="2"/>
        <v>2.2828786107596771E-3</v>
      </c>
    </row>
    <row r="138" spans="1:6" x14ac:dyDescent="0.35">
      <c r="A138" s="22">
        <v>44645</v>
      </c>
      <c r="B138">
        <v>997.96100000000001</v>
      </c>
      <c r="C138">
        <v>997.96100000000001</v>
      </c>
      <c r="D138">
        <v>997.96100000000001</v>
      </c>
      <c r="E138">
        <v>997.96100000000001</v>
      </c>
      <c r="F138" s="23">
        <f t="shared" si="2"/>
        <v>-2.6174818605209258E-3</v>
      </c>
    </row>
    <row r="139" spans="1:6" x14ac:dyDescent="0.35">
      <c r="A139" s="22">
        <v>44648</v>
      </c>
      <c r="B139" s="24">
        <v>1002.352</v>
      </c>
      <c r="C139" s="24">
        <v>1002.352</v>
      </c>
      <c r="D139" s="24">
        <v>1002.352</v>
      </c>
      <c r="E139" s="24">
        <v>1002.352</v>
      </c>
      <c r="F139" s="23">
        <f t="shared" si="2"/>
        <v>4.399971541974048E-3</v>
      </c>
    </row>
    <row r="140" spans="1:6" x14ac:dyDescent="0.35">
      <c r="A140" s="22">
        <v>44649</v>
      </c>
      <c r="B140" s="24">
        <v>1004.347</v>
      </c>
      <c r="C140" s="24">
        <v>1004.347</v>
      </c>
      <c r="D140" s="24">
        <v>1004.347</v>
      </c>
      <c r="E140" s="24">
        <v>1004.347</v>
      </c>
      <c r="F140" s="23">
        <f t="shared" si="2"/>
        <v>1.990318770252371E-3</v>
      </c>
    </row>
    <row r="141" spans="1:6" x14ac:dyDescent="0.35">
      <c r="A141" s="22">
        <v>44650</v>
      </c>
      <c r="B141" s="24">
        <v>1010.302</v>
      </c>
      <c r="C141" s="24">
        <v>1010.302</v>
      </c>
      <c r="D141" s="24">
        <v>1010.302</v>
      </c>
      <c r="E141" s="24">
        <v>1010.302</v>
      </c>
      <c r="F141" s="23">
        <f t="shared" si="2"/>
        <v>5.9292256560730915E-3</v>
      </c>
    </row>
    <row r="142" spans="1:6" x14ac:dyDescent="0.35">
      <c r="A142" s="22">
        <v>44651</v>
      </c>
      <c r="B142" s="24">
        <v>1011.296</v>
      </c>
      <c r="C142" s="24">
        <v>1011.296</v>
      </c>
      <c r="D142" s="24">
        <v>1011.296</v>
      </c>
      <c r="E142" s="24">
        <v>1011.296</v>
      </c>
      <c r="F142" s="23">
        <f t="shared" si="2"/>
        <v>9.8386423069540406E-4</v>
      </c>
    </row>
    <row r="143" spans="1:6" x14ac:dyDescent="0.35">
      <c r="A143" s="22">
        <v>44652</v>
      </c>
      <c r="B143" s="24">
        <v>1030.7619999999999</v>
      </c>
      <c r="C143" s="24">
        <v>1030.7619999999999</v>
      </c>
      <c r="D143" s="24">
        <v>1030.7619999999999</v>
      </c>
      <c r="E143" s="24">
        <v>1030.7619999999999</v>
      </c>
      <c r="F143" s="23">
        <f t="shared" si="2"/>
        <v>1.9248568173907434E-2</v>
      </c>
    </row>
    <row r="144" spans="1:6" x14ac:dyDescent="0.35">
      <c r="A144" s="22">
        <v>44655</v>
      </c>
      <c r="B144" s="24">
        <v>1048.2429999999999</v>
      </c>
      <c r="C144" s="24">
        <v>1048.2429999999999</v>
      </c>
      <c r="D144" s="24">
        <v>1048.2429999999999</v>
      </c>
      <c r="E144" s="24">
        <v>1048.2429999999999</v>
      </c>
      <c r="F144" s="23">
        <f t="shared" si="2"/>
        <v>1.6959298072687968E-2</v>
      </c>
    </row>
    <row r="145" spans="1:6" x14ac:dyDescent="0.35">
      <c r="A145" s="22">
        <v>44656</v>
      </c>
      <c r="B145" s="24">
        <v>1048.412</v>
      </c>
      <c r="C145" s="24">
        <v>1048.412</v>
      </c>
      <c r="D145" s="24">
        <v>1048.412</v>
      </c>
      <c r="E145" s="24">
        <v>1048.412</v>
      </c>
      <c r="F145" s="23">
        <f t="shared" si="2"/>
        <v>1.6122215936581157E-4</v>
      </c>
    </row>
    <row r="146" spans="1:6" x14ac:dyDescent="0.35">
      <c r="A146" s="22">
        <v>44657</v>
      </c>
      <c r="B146" s="24">
        <v>1051.01</v>
      </c>
      <c r="C146" s="24">
        <v>1051.01</v>
      </c>
      <c r="D146" s="24">
        <v>1051.01</v>
      </c>
      <c r="E146" s="24">
        <v>1051.01</v>
      </c>
      <c r="F146" s="23">
        <f t="shared" si="2"/>
        <v>2.4780334448670526E-3</v>
      </c>
    </row>
    <row r="147" spans="1:6" x14ac:dyDescent="0.35">
      <c r="A147" s="22">
        <v>44658</v>
      </c>
      <c r="B147" s="24">
        <v>1048.6110000000001</v>
      </c>
      <c r="C147" s="24">
        <v>1048.6110000000001</v>
      </c>
      <c r="D147" s="24">
        <v>1048.6110000000001</v>
      </c>
      <c r="E147" s="24">
        <v>1048.6110000000001</v>
      </c>
      <c r="F147" s="23">
        <f t="shared" si="2"/>
        <v>-2.2825662933748368E-3</v>
      </c>
    </row>
    <row r="148" spans="1:6" x14ac:dyDescent="0.35">
      <c r="A148" s="22">
        <v>44659</v>
      </c>
      <c r="B148" s="24">
        <v>1059.723</v>
      </c>
      <c r="C148" s="24">
        <v>1059.723</v>
      </c>
      <c r="D148" s="24">
        <v>1059.723</v>
      </c>
      <c r="E148" s="24">
        <v>1059.723</v>
      </c>
      <c r="F148" s="23">
        <f t="shared" si="2"/>
        <v>1.0596875295033002E-2</v>
      </c>
    </row>
    <row r="149" spans="1:6" x14ac:dyDescent="0.35">
      <c r="A149" s="22">
        <v>44662</v>
      </c>
      <c r="B149" s="24">
        <v>1058.1189999999999</v>
      </c>
      <c r="C149" s="24">
        <v>1058.1189999999999</v>
      </c>
      <c r="D149" s="24">
        <v>1058.1189999999999</v>
      </c>
      <c r="E149" s="24">
        <v>1058.1189999999999</v>
      </c>
      <c r="F149" s="23">
        <f t="shared" si="2"/>
        <v>-1.5136030830698605E-3</v>
      </c>
    </row>
    <row r="150" spans="1:6" x14ac:dyDescent="0.35">
      <c r="A150" s="22">
        <v>44663</v>
      </c>
      <c r="B150" s="24">
        <v>1046.0550000000001</v>
      </c>
      <c r="C150" s="24">
        <v>1046.0550000000001</v>
      </c>
      <c r="D150" s="24">
        <v>1046.0550000000001</v>
      </c>
      <c r="E150" s="24">
        <v>1046.0550000000001</v>
      </c>
      <c r="F150" s="23">
        <f t="shared" si="2"/>
        <v>-1.1401364118780451E-2</v>
      </c>
    </row>
    <row r="151" spans="1:6" x14ac:dyDescent="0.35">
      <c r="A151" s="22">
        <v>44664</v>
      </c>
      <c r="B151" s="24">
        <v>1046.7829999999999</v>
      </c>
      <c r="C151" s="24">
        <v>1046.7829999999999</v>
      </c>
      <c r="D151" s="24">
        <v>1046.7829999999999</v>
      </c>
      <c r="E151" s="24">
        <v>1046.7829999999999</v>
      </c>
      <c r="F151" s="23">
        <f t="shared" si="2"/>
        <v>6.9594810980286705E-4</v>
      </c>
    </row>
    <row r="152" spans="1:6" x14ac:dyDescent="0.35">
      <c r="A152" s="22">
        <v>44669</v>
      </c>
      <c r="B152" s="24">
        <v>1043.8630000000001</v>
      </c>
      <c r="C152" s="24">
        <v>1043.8630000000001</v>
      </c>
      <c r="D152" s="24">
        <v>1043.8630000000001</v>
      </c>
      <c r="E152" s="24">
        <v>1043.8630000000001</v>
      </c>
      <c r="F152" s="23">
        <f t="shared" si="2"/>
        <v>-2.7894988741695706E-3</v>
      </c>
    </row>
    <row r="153" spans="1:6" x14ac:dyDescent="0.35">
      <c r="A153" s="22">
        <v>44670</v>
      </c>
      <c r="B153" s="24">
        <v>1036.5719999999999</v>
      </c>
      <c r="C153" s="24">
        <v>1036.5719999999999</v>
      </c>
      <c r="D153" s="24">
        <v>1036.5719999999999</v>
      </c>
      <c r="E153" s="24">
        <v>1036.5719999999999</v>
      </c>
      <c r="F153" s="23">
        <f t="shared" si="2"/>
        <v>-6.9846330409260287E-3</v>
      </c>
    </row>
    <row r="154" spans="1:6" x14ac:dyDescent="0.35">
      <c r="A154" s="22">
        <v>44671</v>
      </c>
      <c r="B154" s="24">
        <v>1039.566</v>
      </c>
      <c r="C154" s="24">
        <v>1039.566</v>
      </c>
      <c r="D154" s="24">
        <v>1039.566</v>
      </c>
      <c r="E154" s="24">
        <v>1039.566</v>
      </c>
      <c r="F154" s="23">
        <f t="shared" si="2"/>
        <v>2.8883666547042967E-3</v>
      </c>
    </row>
    <row r="155" spans="1:6" x14ac:dyDescent="0.35">
      <c r="A155" s="22">
        <v>44672</v>
      </c>
      <c r="B155" s="24">
        <v>1050.6790000000001</v>
      </c>
      <c r="C155" s="24">
        <v>1050.6790000000001</v>
      </c>
      <c r="D155" s="24">
        <v>1050.6790000000001</v>
      </c>
      <c r="E155" s="24">
        <v>1050.6790000000001</v>
      </c>
      <c r="F155" s="23">
        <f t="shared" si="2"/>
        <v>1.0690037958147974E-2</v>
      </c>
    </row>
    <row r="156" spans="1:6" x14ac:dyDescent="0.35">
      <c r="A156" s="22">
        <v>44673</v>
      </c>
      <c r="B156" s="24">
        <v>1038.6859999999999</v>
      </c>
      <c r="C156" s="24">
        <v>1038.6859999999999</v>
      </c>
      <c r="D156" s="24">
        <v>1038.6859999999999</v>
      </c>
      <c r="E156" s="24">
        <v>1038.6859999999999</v>
      </c>
      <c r="F156" s="23">
        <f t="shared" si="2"/>
        <v>-1.141452337012557E-2</v>
      </c>
    </row>
    <row r="157" spans="1:6" x14ac:dyDescent="0.35">
      <c r="A157" s="22">
        <v>44676</v>
      </c>
      <c r="B157" s="24">
        <v>1017.393</v>
      </c>
      <c r="C157" s="24">
        <v>1017.393</v>
      </c>
      <c r="D157" s="24">
        <v>1017.393</v>
      </c>
      <c r="E157" s="24">
        <v>1017.393</v>
      </c>
      <c r="F157" s="23">
        <f t="shared" si="2"/>
        <v>-2.0499939346443386E-2</v>
      </c>
    </row>
    <row r="158" spans="1:6" x14ac:dyDescent="0.35">
      <c r="A158" s="22">
        <v>44677</v>
      </c>
      <c r="B158" s="24">
        <v>1030.9359999999999</v>
      </c>
      <c r="C158" s="24">
        <v>1030.9359999999999</v>
      </c>
      <c r="D158" s="24">
        <v>1030.9359999999999</v>
      </c>
      <c r="E158" s="24">
        <v>1030.9359999999999</v>
      </c>
      <c r="F158" s="23">
        <f t="shared" si="2"/>
        <v>1.3311473540706387E-2</v>
      </c>
    </row>
    <row r="159" spans="1:6" x14ac:dyDescent="0.35">
      <c r="A159" s="22">
        <v>44678</v>
      </c>
      <c r="B159" s="24">
        <v>1020.927</v>
      </c>
      <c r="C159" s="24">
        <v>1020.927</v>
      </c>
      <c r="D159" s="24">
        <v>1020.927</v>
      </c>
      <c r="E159" s="24">
        <v>1020.927</v>
      </c>
      <c r="F159" s="23">
        <f t="shared" si="2"/>
        <v>-9.7086531074672931E-3</v>
      </c>
    </row>
    <row r="160" spans="1:6" x14ac:dyDescent="0.35">
      <c r="A160" s="22">
        <v>44679</v>
      </c>
      <c r="B160" s="24">
        <v>1031.402</v>
      </c>
      <c r="C160" s="24">
        <v>1031.402</v>
      </c>
      <c r="D160" s="24">
        <v>1031.402</v>
      </c>
      <c r="E160" s="24">
        <v>1031.402</v>
      </c>
      <c r="F160" s="23">
        <f t="shared" si="2"/>
        <v>1.0260283056477125E-2</v>
      </c>
    </row>
    <row r="161" spans="1:6" x14ac:dyDescent="0.35">
      <c r="A161" s="22">
        <v>44680</v>
      </c>
      <c r="B161" s="24">
        <v>1019.285</v>
      </c>
      <c r="C161" s="24">
        <v>1019.285</v>
      </c>
      <c r="D161" s="24">
        <v>1019.285</v>
      </c>
      <c r="E161" s="24">
        <v>1019.285</v>
      </c>
      <c r="F161" s="23">
        <f t="shared" si="2"/>
        <v>-1.1748086585056142E-2</v>
      </c>
    </row>
    <row r="162" spans="1:6" x14ac:dyDescent="0.35">
      <c r="A162" s="22">
        <v>44683</v>
      </c>
      <c r="B162" s="24">
        <v>1018.078</v>
      </c>
      <c r="C162" s="24">
        <v>1018.078</v>
      </c>
      <c r="D162" s="24">
        <v>1018.078</v>
      </c>
      <c r="E162" s="24">
        <v>1018.078</v>
      </c>
      <c r="F162" s="23">
        <f t="shared" si="2"/>
        <v>-1.1841634086639102E-3</v>
      </c>
    </row>
    <row r="163" spans="1:6" x14ac:dyDescent="0.35">
      <c r="A163" s="22">
        <v>44685</v>
      </c>
      <c r="B163">
        <v>997.43200000000002</v>
      </c>
      <c r="C163">
        <v>997.43200000000002</v>
      </c>
      <c r="D163">
        <v>997.43200000000002</v>
      </c>
      <c r="E163">
        <v>997.43200000000002</v>
      </c>
      <c r="F163" s="23">
        <f t="shared" si="2"/>
        <v>-2.0279389202006094E-2</v>
      </c>
    </row>
    <row r="164" spans="1:6" x14ac:dyDescent="0.35">
      <c r="A164" s="22">
        <v>44686</v>
      </c>
      <c r="B164">
        <v>999.56100000000004</v>
      </c>
      <c r="C164">
        <v>999.56100000000004</v>
      </c>
      <c r="D164">
        <v>999.56100000000004</v>
      </c>
      <c r="E164">
        <v>999.56100000000004</v>
      </c>
      <c r="F164" s="23">
        <f t="shared" si="2"/>
        <v>2.134481348101945E-3</v>
      </c>
    </row>
    <row r="165" spans="1:6" x14ac:dyDescent="0.35">
      <c r="A165" s="22">
        <v>44687</v>
      </c>
      <c r="B165">
        <v>990.66700000000003</v>
      </c>
      <c r="C165">
        <v>990.66700000000003</v>
      </c>
      <c r="D165">
        <v>990.66700000000003</v>
      </c>
      <c r="E165">
        <v>990.66700000000003</v>
      </c>
      <c r="F165" s="23">
        <f t="shared" si="2"/>
        <v>-8.8979061808133822E-3</v>
      </c>
    </row>
    <row r="166" spans="1:6" x14ac:dyDescent="0.35">
      <c r="A166" s="22">
        <v>44690</v>
      </c>
      <c r="B166">
        <v>982.25900000000001</v>
      </c>
      <c r="C166">
        <v>982.25900000000001</v>
      </c>
      <c r="D166">
        <v>982.25900000000001</v>
      </c>
      <c r="E166">
        <v>982.25900000000001</v>
      </c>
      <c r="F166" s="23">
        <f t="shared" si="2"/>
        <v>-8.4872111415844227E-3</v>
      </c>
    </row>
    <row r="167" spans="1:6" x14ac:dyDescent="0.35">
      <c r="A167" s="22">
        <v>44691</v>
      </c>
      <c r="B167">
        <v>970.99800000000005</v>
      </c>
      <c r="C167">
        <v>970.99800000000005</v>
      </c>
      <c r="D167">
        <v>970.99800000000005</v>
      </c>
      <c r="E167">
        <v>970.99800000000005</v>
      </c>
      <c r="F167" s="23">
        <f t="shared" si="2"/>
        <v>-1.1464389738347999E-2</v>
      </c>
    </row>
    <row r="168" spans="1:6" x14ac:dyDescent="0.35">
      <c r="A168" s="22">
        <v>44692</v>
      </c>
      <c r="B168">
        <v>964.80700000000002</v>
      </c>
      <c r="C168">
        <v>964.80700000000002</v>
      </c>
      <c r="D168">
        <v>964.80700000000002</v>
      </c>
      <c r="E168">
        <v>964.80700000000002</v>
      </c>
      <c r="F168" s="23">
        <f t="shared" si="2"/>
        <v>-6.3759142655289E-3</v>
      </c>
    </row>
    <row r="169" spans="1:6" x14ac:dyDescent="0.35">
      <c r="A169" s="22">
        <v>44693</v>
      </c>
      <c r="B169">
        <v>944.92700000000002</v>
      </c>
      <c r="C169">
        <v>944.92700000000002</v>
      </c>
      <c r="D169">
        <v>944.92700000000002</v>
      </c>
      <c r="E169">
        <v>944.92700000000002</v>
      </c>
      <c r="F169" s="23">
        <f t="shared" si="2"/>
        <v>-2.0605157300890225E-2</v>
      </c>
    </row>
    <row r="170" spans="1:6" x14ac:dyDescent="0.35">
      <c r="A170" s="22">
        <v>44694</v>
      </c>
      <c r="B170">
        <v>940.96199999999999</v>
      </c>
      <c r="C170">
        <v>940.96199999999999</v>
      </c>
      <c r="D170">
        <v>940.96199999999999</v>
      </c>
      <c r="E170">
        <v>940.96199999999999</v>
      </c>
      <c r="F170" s="23">
        <f t="shared" si="2"/>
        <v>-4.1960913382727257E-3</v>
      </c>
    </row>
    <row r="171" spans="1:6" x14ac:dyDescent="0.35">
      <c r="A171" s="22">
        <v>44697</v>
      </c>
      <c r="B171">
        <v>948.76800000000003</v>
      </c>
      <c r="C171">
        <v>948.76800000000003</v>
      </c>
      <c r="D171">
        <v>948.76800000000003</v>
      </c>
      <c r="E171">
        <v>948.76800000000003</v>
      </c>
      <c r="F171" s="23">
        <f t="shared" si="2"/>
        <v>8.2957653975400062E-3</v>
      </c>
    </row>
    <row r="172" spans="1:6" x14ac:dyDescent="0.35">
      <c r="A172" s="22">
        <v>44698</v>
      </c>
      <c r="B172">
        <v>973.66700000000003</v>
      </c>
      <c r="C172">
        <v>973.66700000000003</v>
      </c>
      <c r="D172">
        <v>973.66700000000003</v>
      </c>
      <c r="E172">
        <v>973.66700000000003</v>
      </c>
      <c r="F172" s="23">
        <f t="shared" si="2"/>
        <v>2.6243507369557151E-2</v>
      </c>
    </row>
    <row r="173" spans="1:6" x14ac:dyDescent="0.35">
      <c r="A173" s="22">
        <v>44699</v>
      </c>
      <c r="B173">
        <v>969.74199999999996</v>
      </c>
      <c r="C173">
        <v>969.74199999999996</v>
      </c>
      <c r="D173">
        <v>969.74199999999996</v>
      </c>
      <c r="E173">
        <v>969.74199999999996</v>
      </c>
      <c r="F173" s="23">
        <f t="shared" si="2"/>
        <v>-4.0311523344224139E-3</v>
      </c>
    </row>
    <row r="174" spans="1:6" x14ac:dyDescent="0.35">
      <c r="A174" s="22">
        <v>44700</v>
      </c>
      <c r="B174">
        <v>950.69399999999996</v>
      </c>
      <c r="C174">
        <v>950.69399999999996</v>
      </c>
      <c r="D174">
        <v>950.69399999999996</v>
      </c>
      <c r="E174">
        <v>950.69399999999996</v>
      </c>
      <c r="F174" s="23">
        <f t="shared" si="2"/>
        <v>-1.9642337858935679E-2</v>
      </c>
    </row>
    <row r="175" spans="1:6" x14ac:dyDescent="0.35">
      <c r="A175" s="22">
        <v>44701</v>
      </c>
      <c r="B175">
        <v>974.70100000000002</v>
      </c>
      <c r="C175">
        <v>974.70100000000002</v>
      </c>
      <c r="D175">
        <v>974.70100000000002</v>
      </c>
      <c r="E175">
        <v>974.70100000000002</v>
      </c>
      <c r="F175" s="23">
        <f t="shared" si="2"/>
        <v>2.5252079007546134E-2</v>
      </c>
    </row>
    <row r="176" spans="1:6" x14ac:dyDescent="0.35">
      <c r="A176" s="22">
        <v>44704</v>
      </c>
      <c r="B176">
        <v>973.28899999999999</v>
      </c>
      <c r="C176">
        <v>973.28899999999999</v>
      </c>
      <c r="D176">
        <v>973.28899999999999</v>
      </c>
      <c r="E176">
        <v>973.28899999999999</v>
      </c>
      <c r="F176" s="23">
        <f t="shared" si="2"/>
        <v>-1.4486493806819061E-3</v>
      </c>
    </row>
    <row r="177" spans="1:6" x14ac:dyDescent="0.35">
      <c r="A177" s="22">
        <v>44705</v>
      </c>
      <c r="B177">
        <v>966.29200000000003</v>
      </c>
      <c r="C177">
        <v>966.29200000000003</v>
      </c>
      <c r="D177">
        <v>966.29200000000003</v>
      </c>
      <c r="E177">
        <v>966.29200000000003</v>
      </c>
      <c r="F177" s="23">
        <f t="shared" si="2"/>
        <v>-7.1890260755027103E-3</v>
      </c>
    </row>
    <row r="178" spans="1:6" x14ac:dyDescent="0.35">
      <c r="A178" s="22">
        <v>44706</v>
      </c>
      <c r="B178">
        <v>961.43799999999999</v>
      </c>
      <c r="C178">
        <v>961.43799999999999</v>
      </c>
      <c r="D178">
        <v>961.43799999999999</v>
      </c>
      <c r="E178">
        <v>961.43799999999999</v>
      </c>
      <c r="F178" s="23">
        <f t="shared" si="2"/>
        <v>-5.0233262823246409E-3</v>
      </c>
    </row>
    <row r="179" spans="1:6" x14ac:dyDescent="0.35">
      <c r="A179" s="22">
        <v>44707</v>
      </c>
      <c r="B179">
        <v>972.899</v>
      </c>
      <c r="C179">
        <v>972.899</v>
      </c>
      <c r="D179">
        <v>972.899</v>
      </c>
      <c r="E179">
        <v>972.899</v>
      </c>
      <c r="F179" s="23">
        <f t="shared" si="2"/>
        <v>1.1920685473218255E-2</v>
      </c>
    </row>
    <row r="180" spans="1:6" x14ac:dyDescent="0.35">
      <c r="A180" s="22">
        <v>44708</v>
      </c>
      <c r="B180">
        <v>979.38099999999997</v>
      </c>
      <c r="C180">
        <v>979.38099999999997</v>
      </c>
      <c r="D180">
        <v>979.38099999999997</v>
      </c>
      <c r="E180">
        <v>979.38099999999997</v>
      </c>
      <c r="F180" s="23">
        <f t="shared" si="2"/>
        <v>6.6625620953459416E-3</v>
      </c>
    </row>
    <row r="181" spans="1:6" x14ac:dyDescent="0.35">
      <c r="A181" s="22">
        <v>44711</v>
      </c>
      <c r="B181">
        <v>995.92600000000004</v>
      </c>
      <c r="C181">
        <v>995.92600000000004</v>
      </c>
      <c r="D181">
        <v>995.92600000000004</v>
      </c>
      <c r="E181">
        <v>995.92600000000004</v>
      </c>
      <c r="F181" s="23">
        <f t="shared" si="2"/>
        <v>1.6893323435925419E-2</v>
      </c>
    </row>
    <row r="182" spans="1:6" x14ac:dyDescent="0.35">
      <c r="A182" s="22">
        <v>44712</v>
      </c>
      <c r="B182">
        <v>997.59900000000005</v>
      </c>
      <c r="C182">
        <v>997.59900000000005</v>
      </c>
      <c r="D182">
        <v>997.59900000000005</v>
      </c>
      <c r="E182">
        <v>997.59900000000005</v>
      </c>
      <c r="F182" s="23">
        <f t="shared" si="2"/>
        <v>1.6798436831652168E-3</v>
      </c>
    </row>
    <row r="183" spans="1:6" x14ac:dyDescent="0.35">
      <c r="A183" s="22">
        <v>44713</v>
      </c>
      <c r="B183">
        <v>998.76599999999996</v>
      </c>
      <c r="C183">
        <v>998.76599999999996</v>
      </c>
      <c r="D183">
        <v>998.76599999999996</v>
      </c>
      <c r="E183">
        <v>998.76599999999996</v>
      </c>
      <c r="F183" s="23">
        <f t="shared" si="2"/>
        <v>1.1698087107143414E-3</v>
      </c>
    </row>
    <row r="184" spans="1:6" x14ac:dyDescent="0.35">
      <c r="A184" s="22">
        <v>44714</v>
      </c>
      <c r="B184" s="24">
        <v>1004.8049999999999</v>
      </c>
      <c r="C184" s="24">
        <v>1004.8049999999999</v>
      </c>
      <c r="D184" s="24">
        <v>1004.8049999999999</v>
      </c>
      <c r="E184" s="24">
        <v>1004.8049999999999</v>
      </c>
      <c r="F184" s="23">
        <f t="shared" si="2"/>
        <v>6.0464613332852617E-3</v>
      </c>
    </row>
    <row r="185" spans="1:6" x14ac:dyDescent="0.35">
      <c r="A185" s="22">
        <v>44715</v>
      </c>
      <c r="B185">
        <v>998.649</v>
      </c>
      <c r="C185">
        <v>998.649</v>
      </c>
      <c r="D185">
        <v>998.649</v>
      </c>
      <c r="E185">
        <v>998.649</v>
      </c>
      <c r="F185" s="23">
        <f t="shared" si="2"/>
        <v>-6.1265618702135731E-3</v>
      </c>
    </row>
    <row r="186" spans="1:6" x14ac:dyDescent="0.35">
      <c r="A186" s="22">
        <v>44718</v>
      </c>
      <c r="B186">
        <v>995.68200000000002</v>
      </c>
      <c r="C186">
        <v>995.68200000000002</v>
      </c>
      <c r="D186">
        <v>995.68200000000002</v>
      </c>
      <c r="E186">
        <v>995.68200000000002</v>
      </c>
      <c r="F186" s="23">
        <f t="shared" si="2"/>
        <v>-2.9710138396974155E-3</v>
      </c>
    </row>
    <row r="187" spans="1:6" x14ac:dyDescent="0.35">
      <c r="A187" s="22">
        <v>44719</v>
      </c>
      <c r="B187">
        <v>992.29899999999998</v>
      </c>
      <c r="C187">
        <v>992.29899999999998</v>
      </c>
      <c r="D187">
        <v>992.29899999999998</v>
      </c>
      <c r="E187">
        <v>992.29899999999998</v>
      </c>
      <c r="F187" s="23">
        <f t="shared" si="2"/>
        <v>-3.3976711439998295E-3</v>
      </c>
    </row>
    <row r="188" spans="1:6" x14ac:dyDescent="0.35">
      <c r="A188" s="22">
        <v>44720</v>
      </c>
      <c r="B188">
        <v>990.83799999999997</v>
      </c>
      <c r="C188">
        <v>990.83799999999997</v>
      </c>
      <c r="D188">
        <v>990.83799999999997</v>
      </c>
      <c r="E188">
        <v>990.83799999999997</v>
      </c>
      <c r="F188" s="23">
        <f t="shared" si="2"/>
        <v>-1.4723384786238954E-3</v>
      </c>
    </row>
    <row r="189" spans="1:6" x14ac:dyDescent="0.35">
      <c r="A189" s="22">
        <v>44721</v>
      </c>
      <c r="B189">
        <v>996.50300000000004</v>
      </c>
      <c r="C189">
        <v>996.50300000000004</v>
      </c>
      <c r="D189">
        <v>996.50300000000004</v>
      </c>
      <c r="E189">
        <v>996.50300000000004</v>
      </c>
      <c r="F189" s="23">
        <f t="shared" si="2"/>
        <v>5.7173826599303595E-3</v>
      </c>
    </row>
    <row r="190" spans="1:6" x14ac:dyDescent="0.35">
      <c r="A190" s="22">
        <v>44722</v>
      </c>
      <c r="B190">
        <v>986.20899999999995</v>
      </c>
      <c r="C190">
        <v>986.20899999999995</v>
      </c>
      <c r="D190">
        <v>986.20899999999995</v>
      </c>
      <c r="E190">
        <v>986.20899999999995</v>
      </c>
      <c r="F190" s="23">
        <f t="shared" si="2"/>
        <v>-1.0330124445184908E-2</v>
      </c>
    </row>
    <row r="191" spans="1:6" x14ac:dyDescent="0.35">
      <c r="A191" s="22">
        <v>44725</v>
      </c>
      <c r="B191">
        <v>957.59400000000005</v>
      </c>
      <c r="C191">
        <v>957.59400000000005</v>
      </c>
      <c r="D191">
        <v>957.59400000000005</v>
      </c>
      <c r="E191">
        <v>957.59400000000005</v>
      </c>
      <c r="F191" s="23">
        <f t="shared" si="2"/>
        <v>-2.9015147904754363E-2</v>
      </c>
    </row>
    <row r="192" spans="1:6" x14ac:dyDescent="0.35">
      <c r="A192" s="22">
        <v>44726</v>
      </c>
      <c r="B192">
        <v>957.06200000000001</v>
      </c>
      <c r="C192">
        <v>957.06200000000001</v>
      </c>
      <c r="D192">
        <v>957.06200000000001</v>
      </c>
      <c r="E192">
        <v>957.06200000000001</v>
      </c>
      <c r="F192" s="23">
        <f t="shared" si="2"/>
        <v>-5.5555903650194032E-4</v>
      </c>
    </row>
    <row r="193" spans="1:6" x14ac:dyDescent="0.35">
      <c r="A193" s="22">
        <v>44727</v>
      </c>
      <c r="B193">
        <v>955.02800000000002</v>
      </c>
      <c r="C193">
        <v>955.02800000000002</v>
      </c>
      <c r="D193">
        <v>955.02800000000002</v>
      </c>
      <c r="E193">
        <v>955.02800000000002</v>
      </c>
      <c r="F193" s="23">
        <f t="shared" si="2"/>
        <v>-2.1252541632621417E-3</v>
      </c>
    </row>
    <row r="194" spans="1:6" x14ac:dyDescent="0.35">
      <c r="A194" s="22">
        <v>44728</v>
      </c>
      <c r="B194">
        <v>933.29300000000001</v>
      </c>
      <c r="C194">
        <v>933.29300000000001</v>
      </c>
      <c r="D194">
        <v>933.29300000000001</v>
      </c>
      <c r="E194">
        <v>933.29300000000001</v>
      </c>
      <c r="F194" s="23">
        <f t="shared" si="2"/>
        <v>-2.2758495038888927E-2</v>
      </c>
    </row>
    <row r="195" spans="1:6" x14ac:dyDescent="0.35">
      <c r="A195" s="22">
        <v>44729</v>
      </c>
      <c r="B195">
        <v>931.00199999999995</v>
      </c>
      <c r="C195">
        <v>931.00199999999995</v>
      </c>
      <c r="D195">
        <v>931.00199999999995</v>
      </c>
      <c r="E195">
        <v>931.00199999999995</v>
      </c>
      <c r="F195" s="23">
        <f t="shared" ref="F195:F258" si="3">(B195-B194)/B194</f>
        <v>-2.4547489373648508E-3</v>
      </c>
    </row>
    <row r="196" spans="1:6" x14ac:dyDescent="0.35">
      <c r="A196" s="22">
        <v>44732</v>
      </c>
      <c r="B196">
        <v>922.02</v>
      </c>
      <c r="C196">
        <v>922.02</v>
      </c>
      <c r="D196">
        <v>922.02</v>
      </c>
      <c r="E196">
        <v>922.02</v>
      </c>
      <c r="F196" s="23">
        <f t="shared" si="3"/>
        <v>-9.6476699298175209E-3</v>
      </c>
    </row>
    <row r="197" spans="1:6" x14ac:dyDescent="0.35">
      <c r="A197" s="22">
        <v>44733</v>
      </c>
      <c r="B197">
        <v>945.38400000000001</v>
      </c>
      <c r="C197">
        <v>945.38400000000001</v>
      </c>
      <c r="D197">
        <v>945.38400000000001</v>
      </c>
      <c r="E197">
        <v>945.38400000000001</v>
      </c>
      <c r="F197" s="23">
        <f t="shared" si="3"/>
        <v>2.5340014316392306E-2</v>
      </c>
    </row>
    <row r="198" spans="1:6" x14ac:dyDescent="0.35">
      <c r="A198" s="22">
        <v>44734</v>
      </c>
      <c r="B198">
        <v>933.78399999999999</v>
      </c>
      <c r="C198">
        <v>933.78399999999999</v>
      </c>
      <c r="D198">
        <v>933.78399999999999</v>
      </c>
      <c r="E198">
        <v>933.78399999999999</v>
      </c>
      <c r="F198" s="23">
        <f t="shared" si="3"/>
        <v>-1.2270146310917069E-2</v>
      </c>
    </row>
    <row r="199" spans="1:6" x14ac:dyDescent="0.35">
      <c r="A199" s="22">
        <v>44735</v>
      </c>
      <c r="B199">
        <v>940.58600000000001</v>
      </c>
      <c r="C199">
        <v>940.58600000000001</v>
      </c>
      <c r="D199">
        <v>940.58600000000001</v>
      </c>
      <c r="E199">
        <v>940.58600000000001</v>
      </c>
      <c r="F199" s="23">
        <f t="shared" si="3"/>
        <v>7.2843398473308825E-3</v>
      </c>
    </row>
    <row r="200" spans="1:6" x14ac:dyDescent="0.35">
      <c r="A200" s="22">
        <v>44736</v>
      </c>
      <c r="B200">
        <v>947.94899999999996</v>
      </c>
      <c r="C200">
        <v>947.94899999999996</v>
      </c>
      <c r="D200">
        <v>947.94899999999996</v>
      </c>
      <c r="E200">
        <v>947.94899999999996</v>
      </c>
      <c r="F200" s="23">
        <f t="shared" si="3"/>
        <v>7.8280986533926112E-3</v>
      </c>
    </row>
    <row r="201" spans="1:6" x14ac:dyDescent="0.35">
      <c r="A201" s="22">
        <v>44739</v>
      </c>
      <c r="B201">
        <v>958.24800000000005</v>
      </c>
      <c r="C201">
        <v>958.24800000000005</v>
      </c>
      <c r="D201">
        <v>958.24800000000005</v>
      </c>
      <c r="E201">
        <v>958.24800000000005</v>
      </c>
      <c r="F201" s="23">
        <f t="shared" si="3"/>
        <v>1.0864508533687036E-2</v>
      </c>
    </row>
    <row r="202" spans="1:6" x14ac:dyDescent="0.35">
      <c r="A202" s="22">
        <v>44740</v>
      </c>
      <c r="B202">
        <v>961.00699999999995</v>
      </c>
      <c r="C202">
        <v>961.00699999999995</v>
      </c>
      <c r="D202">
        <v>961.00699999999995</v>
      </c>
      <c r="E202">
        <v>961.00699999999995</v>
      </c>
      <c r="F202" s="23">
        <f t="shared" si="3"/>
        <v>2.8792128968700178E-3</v>
      </c>
    </row>
    <row r="203" spans="1:6" x14ac:dyDescent="0.35">
      <c r="A203" s="22">
        <v>44741</v>
      </c>
      <c r="B203">
        <v>959.64</v>
      </c>
      <c r="C203">
        <v>959.64</v>
      </c>
      <c r="D203">
        <v>959.64</v>
      </c>
      <c r="E203">
        <v>959.64</v>
      </c>
      <c r="F203" s="23">
        <f t="shared" si="3"/>
        <v>-1.4224662255321364E-3</v>
      </c>
    </row>
    <row r="204" spans="1:6" x14ac:dyDescent="0.35">
      <c r="A204" s="22">
        <v>44742</v>
      </c>
      <c r="B204">
        <v>958.851</v>
      </c>
      <c r="C204">
        <v>958.851</v>
      </c>
      <c r="D204">
        <v>958.851</v>
      </c>
      <c r="E204">
        <v>958.851</v>
      </c>
      <c r="F204" s="23">
        <f t="shared" si="3"/>
        <v>-8.221833187445159E-4</v>
      </c>
    </row>
    <row r="205" spans="1:6" x14ac:dyDescent="0.35">
      <c r="A205" s="22">
        <v>44743</v>
      </c>
      <c r="B205">
        <v>958.50699999999995</v>
      </c>
      <c r="C205">
        <v>958.50699999999995</v>
      </c>
      <c r="D205">
        <v>958.50699999999995</v>
      </c>
      <c r="E205">
        <v>958.50699999999995</v>
      </c>
      <c r="F205" s="23">
        <f t="shared" si="3"/>
        <v>-3.5876272747283045E-4</v>
      </c>
    </row>
    <row r="206" spans="1:6" x14ac:dyDescent="0.35">
      <c r="A206" s="22">
        <v>44746</v>
      </c>
      <c r="B206">
        <v>965.649</v>
      </c>
      <c r="C206">
        <v>965.649</v>
      </c>
      <c r="D206">
        <v>965.649</v>
      </c>
      <c r="E206">
        <v>965.649</v>
      </c>
      <c r="F206" s="23">
        <f t="shared" si="3"/>
        <v>7.4511714572768409E-3</v>
      </c>
    </row>
    <row r="207" spans="1:6" x14ac:dyDescent="0.35">
      <c r="A207" s="22">
        <v>44747</v>
      </c>
      <c r="B207">
        <v>963.197</v>
      </c>
      <c r="C207">
        <v>963.197</v>
      </c>
      <c r="D207">
        <v>963.197</v>
      </c>
      <c r="E207">
        <v>963.197</v>
      </c>
      <c r="F207" s="23">
        <f t="shared" si="3"/>
        <v>-2.5392249150571256E-3</v>
      </c>
    </row>
    <row r="208" spans="1:6" x14ac:dyDescent="0.35">
      <c r="A208" s="22">
        <v>44748</v>
      </c>
      <c r="B208">
        <v>971.10900000000004</v>
      </c>
      <c r="C208">
        <v>971.10900000000004</v>
      </c>
      <c r="D208">
        <v>971.10900000000004</v>
      </c>
      <c r="E208">
        <v>971.10900000000004</v>
      </c>
      <c r="F208" s="23">
        <f t="shared" si="3"/>
        <v>8.2143112987270884E-3</v>
      </c>
    </row>
    <row r="209" spans="1:6" x14ac:dyDescent="0.35">
      <c r="A209" s="22">
        <v>44749</v>
      </c>
      <c r="B209">
        <v>982.08500000000004</v>
      </c>
      <c r="C209">
        <v>982.08500000000004</v>
      </c>
      <c r="D209">
        <v>982.08500000000004</v>
      </c>
      <c r="E209">
        <v>982.08500000000004</v>
      </c>
      <c r="F209" s="23">
        <f t="shared" si="3"/>
        <v>1.1302541733214292E-2</v>
      </c>
    </row>
    <row r="210" spans="1:6" x14ac:dyDescent="0.35">
      <c r="A210" s="22">
        <v>44750</v>
      </c>
      <c r="B210">
        <v>990.29</v>
      </c>
      <c r="C210">
        <v>990.29</v>
      </c>
      <c r="D210">
        <v>990.29</v>
      </c>
      <c r="E210">
        <v>990.29</v>
      </c>
      <c r="F210" s="23">
        <f t="shared" si="3"/>
        <v>8.3546739844310089E-3</v>
      </c>
    </row>
    <row r="211" spans="1:6" x14ac:dyDescent="0.35">
      <c r="A211" s="22">
        <v>44753</v>
      </c>
      <c r="B211">
        <v>991.61599999999999</v>
      </c>
      <c r="C211">
        <v>991.61599999999999</v>
      </c>
      <c r="D211">
        <v>991.61599999999999</v>
      </c>
      <c r="E211">
        <v>991.61599999999999</v>
      </c>
      <c r="F211" s="23">
        <f t="shared" si="3"/>
        <v>1.3390017065708247E-3</v>
      </c>
    </row>
    <row r="212" spans="1:6" x14ac:dyDescent="0.35">
      <c r="A212" s="22">
        <v>44754</v>
      </c>
      <c r="B212">
        <v>984.21100000000001</v>
      </c>
      <c r="C212">
        <v>984.21100000000001</v>
      </c>
      <c r="D212">
        <v>984.21100000000001</v>
      </c>
      <c r="E212">
        <v>984.21100000000001</v>
      </c>
      <c r="F212" s="23">
        <f t="shared" si="3"/>
        <v>-7.4676084290692894E-3</v>
      </c>
    </row>
    <row r="213" spans="1:6" x14ac:dyDescent="0.35">
      <c r="A213" s="22">
        <v>44755</v>
      </c>
      <c r="B213">
        <v>979.72799999999995</v>
      </c>
      <c r="C213">
        <v>979.72799999999995</v>
      </c>
      <c r="D213">
        <v>979.72799999999995</v>
      </c>
      <c r="E213">
        <v>979.72799999999995</v>
      </c>
      <c r="F213" s="23">
        <f t="shared" si="3"/>
        <v>-4.5549175938899896E-3</v>
      </c>
    </row>
    <row r="214" spans="1:6" x14ac:dyDescent="0.35">
      <c r="A214" s="22">
        <v>44756</v>
      </c>
      <c r="B214">
        <v>976.01499999999999</v>
      </c>
      <c r="C214">
        <v>976.01499999999999</v>
      </c>
      <c r="D214">
        <v>976.01499999999999</v>
      </c>
      <c r="E214">
        <v>976.01499999999999</v>
      </c>
      <c r="F214" s="23">
        <f t="shared" si="3"/>
        <v>-3.7898273806607199E-3</v>
      </c>
    </row>
    <row r="215" spans="1:6" x14ac:dyDescent="0.35">
      <c r="A215" s="22">
        <v>44757</v>
      </c>
      <c r="B215">
        <v>981.28700000000003</v>
      </c>
      <c r="C215">
        <v>981.28700000000003</v>
      </c>
      <c r="D215">
        <v>981.28700000000003</v>
      </c>
      <c r="E215">
        <v>981.28700000000003</v>
      </c>
      <c r="F215" s="23">
        <f t="shared" si="3"/>
        <v>5.4015563285400824E-3</v>
      </c>
    </row>
    <row r="216" spans="1:6" x14ac:dyDescent="0.35">
      <c r="A216" s="22">
        <v>44760</v>
      </c>
      <c r="B216">
        <v>996.66099999999994</v>
      </c>
      <c r="C216">
        <v>996.66099999999994</v>
      </c>
      <c r="D216">
        <v>996.66099999999994</v>
      </c>
      <c r="E216">
        <v>996.66099999999994</v>
      </c>
      <c r="F216" s="23">
        <f t="shared" si="3"/>
        <v>1.5667179938183132E-2</v>
      </c>
    </row>
    <row r="217" spans="1:6" x14ac:dyDescent="0.35">
      <c r="A217" s="22">
        <v>44761</v>
      </c>
      <c r="B217" s="24">
        <v>1003.46</v>
      </c>
      <c r="C217" s="24">
        <v>1003.46</v>
      </c>
      <c r="D217" s="24">
        <v>1003.46</v>
      </c>
      <c r="E217" s="24">
        <v>1003.46</v>
      </c>
      <c r="F217" s="23">
        <f t="shared" si="3"/>
        <v>6.8217779164631625E-3</v>
      </c>
    </row>
    <row r="218" spans="1:6" x14ac:dyDescent="0.35">
      <c r="A218" s="22">
        <v>44762</v>
      </c>
      <c r="B218" s="24">
        <v>1011.63</v>
      </c>
      <c r="C218" s="24">
        <v>1011.63</v>
      </c>
      <c r="D218" s="24">
        <v>1011.63</v>
      </c>
      <c r="E218" s="24">
        <v>1011.63</v>
      </c>
      <c r="F218" s="23">
        <f t="shared" si="3"/>
        <v>8.141829270723256E-3</v>
      </c>
    </row>
    <row r="219" spans="1:6" x14ac:dyDescent="0.35">
      <c r="A219" s="22">
        <v>44763</v>
      </c>
      <c r="B219" s="24">
        <v>1018.626</v>
      </c>
      <c r="C219" s="24">
        <v>1018.626</v>
      </c>
      <c r="D219" s="24">
        <v>1018.626</v>
      </c>
      <c r="E219" s="24">
        <v>1018.626</v>
      </c>
      <c r="F219" s="23">
        <f t="shared" si="3"/>
        <v>6.9155718988167421E-3</v>
      </c>
    </row>
    <row r="220" spans="1:6" x14ac:dyDescent="0.35">
      <c r="A220" s="22">
        <v>44764</v>
      </c>
      <c r="B220" s="24">
        <v>1021.032</v>
      </c>
      <c r="C220" s="24">
        <v>1021.032</v>
      </c>
      <c r="D220" s="24">
        <v>1021.032</v>
      </c>
      <c r="E220" s="24">
        <v>1021.032</v>
      </c>
      <c r="F220" s="23">
        <f t="shared" si="3"/>
        <v>2.3620052894782412E-3</v>
      </c>
    </row>
    <row r="221" spans="1:6" x14ac:dyDescent="0.35">
      <c r="A221" s="22">
        <v>44767</v>
      </c>
      <c r="B221" s="24">
        <v>1020.197</v>
      </c>
      <c r="C221" s="24">
        <v>1020.197</v>
      </c>
      <c r="D221" s="24">
        <v>1020.197</v>
      </c>
      <c r="E221" s="24">
        <v>1020.197</v>
      </c>
      <c r="F221" s="23">
        <f t="shared" si="3"/>
        <v>-8.1780002977383307E-4</v>
      </c>
    </row>
    <row r="222" spans="1:6" x14ac:dyDescent="0.35">
      <c r="A222" s="22">
        <v>44768</v>
      </c>
      <c r="B222" s="24">
        <v>1012.532</v>
      </c>
      <c r="C222" s="24">
        <v>1012.532</v>
      </c>
      <c r="D222" s="24">
        <v>1012.532</v>
      </c>
      <c r="E222" s="24">
        <v>1012.532</v>
      </c>
      <c r="F222" s="23">
        <f t="shared" si="3"/>
        <v>-7.5132547929468172E-3</v>
      </c>
    </row>
    <row r="223" spans="1:6" x14ac:dyDescent="0.35">
      <c r="A223" s="22">
        <v>44769</v>
      </c>
      <c r="B223" s="24">
        <v>1024.163</v>
      </c>
      <c r="C223" s="24">
        <v>1024.163</v>
      </c>
      <c r="D223" s="24">
        <v>1024.163</v>
      </c>
      <c r="E223" s="24">
        <v>1024.163</v>
      </c>
      <c r="F223" s="23">
        <f t="shared" si="3"/>
        <v>1.1487044360079456E-2</v>
      </c>
    </row>
    <row r="224" spans="1:6" x14ac:dyDescent="0.35">
      <c r="A224" s="22">
        <v>44770</v>
      </c>
      <c r="B224" s="24">
        <v>1034.192</v>
      </c>
      <c r="C224" s="24">
        <v>1034.192</v>
      </c>
      <c r="D224" s="24">
        <v>1034.192</v>
      </c>
      <c r="E224" s="24">
        <v>1034.192</v>
      </c>
      <c r="F224" s="23">
        <f t="shared" si="3"/>
        <v>9.7923865634669451E-3</v>
      </c>
    </row>
    <row r="225" spans="1:6" x14ac:dyDescent="0.35">
      <c r="A225" s="22">
        <v>44771</v>
      </c>
      <c r="B225" s="24">
        <v>1047.5920000000001</v>
      </c>
      <c r="C225" s="24">
        <v>1047.5920000000001</v>
      </c>
      <c r="D225" s="24">
        <v>1047.5920000000001</v>
      </c>
      <c r="E225" s="24">
        <v>1047.5920000000001</v>
      </c>
      <c r="F225" s="23">
        <f t="shared" si="3"/>
        <v>1.2956975107136868E-2</v>
      </c>
    </row>
    <row r="226" spans="1:6" x14ac:dyDescent="0.35">
      <c r="A226" s="22">
        <v>44774</v>
      </c>
      <c r="B226" s="24">
        <v>1058.835</v>
      </c>
      <c r="C226" s="24">
        <v>1058.835</v>
      </c>
      <c r="D226" s="24">
        <v>1058.835</v>
      </c>
      <c r="E226" s="24">
        <v>1058.835</v>
      </c>
      <c r="F226" s="23">
        <f t="shared" si="3"/>
        <v>1.073223163216208E-2</v>
      </c>
    </row>
    <row r="227" spans="1:6" x14ac:dyDescent="0.35">
      <c r="A227" s="22">
        <v>44775</v>
      </c>
      <c r="B227" s="24">
        <v>1061.7909999999999</v>
      </c>
      <c r="C227" s="24">
        <v>1061.7909999999999</v>
      </c>
      <c r="D227" s="24">
        <v>1061.7909999999999</v>
      </c>
      <c r="E227" s="24">
        <v>1061.7909999999999</v>
      </c>
      <c r="F227" s="23">
        <f t="shared" si="3"/>
        <v>2.79174753384607E-3</v>
      </c>
    </row>
    <row r="228" spans="1:6" x14ac:dyDescent="0.35">
      <c r="A228" s="22">
        <v>44776</v>
      </c>
      <c r="B228" s="24">
        <v>1061.3779999999999</v>
      </c>
      <c r="C228" s="24">
        <v>1061.3779999999999</v>
      </c>
      <c r="D228" s="24">
        <v>1061.3779999999999</v>
      </c>
      <c r="E228" s="24">
        <v>1061.3779999999999</v>
      </c>
      <c r="F228" s="23">
        <f t="shared" si="3"/>
        <v>-3.8896543670082997E-4</v>
      </c>
    </row>
    <row r="229" spans="1:6" x14ac:dyDescent="0.35">
      <c r="A229" s="22">
        <v>44777</v>
      </c>
      <c r="B229" s="24">
        <v>1058.0119999999999</v>
      </c>
      <c r="C229" s="24">
        <v>1058.0119999999999</v>
      </c>
      <c r="D229" s="24">
        <v>1058.0119999999999</v>
      </c>
      <c r="E229" s="24">
        <v>1058.0119999999999</v>
      </c>
      <c r="F229" s="23">
        <f t="shared" si="3"/>
        <v>-3.1713489444853632E-3</v>
      </c>
    </row>
    <row r="230" spans="1:6" x14ac:dyDescent="0.35">
      <c r="A230" s="22">
        <v>44778</v>
      </c>
      <c r="B230" s="24">
        <v>1059.818</v>
      </c>
      <c r="C230" s="24">
        <v>1059.818</v>
      </c>
      <c r="D230" s="24">
        <v>1059.818</v>
      </c>
      <c r="E230" s="24">
        <v>1059.818</v>
      </c>
      <c r="F230" s="23">
        <f t="shared" si="3"/>
        <v>1.7069749681478473E-3</v>
      </c>
    </row>
    <row r="231" spans="1:6" x14ac:dyDescent="0.35">
      <c r="A231" s="22">
        <v>44781</v>
      </c>
      <c r="B231" s="24">
        <v>1068.3979999999999</v>
      </c>
      <c r="C231" s="24">
        <v>1068.3979999999999</v>
      </c>
      <c r="D231" s="24">
        <v>1068.3979999999999</v>
      </c>
      <c r="E231" s="24">
        <v>1068.3979999999999</v>
      </c>
      <c r="F231" s="23">
        <f t="shared" si="3"/>
        <v>8.0957296441463798E-3</v>
      </c>
    </row>
    <row r="232" spans="1:6" x14ac:dyDescent="0.35">
      <c r="A232" s="22">
        <v>44783</v>
      </c>
      <c r="B232" s="24">
        <v>1069.7070000000001</v>
      </c>
      <c r="C232" s="24">
        <v>1069.7070000000001</v>
      </c>
      <c r="D232" s="24">
        <v>1069.7070000000001</v>
      </c>
      <c r="E232" s="24">
        <v>1069.7070000000001</v>
      </c>
      <c r="F232" s="23">
        <f t="shared" si="3"/>
        <v>1.2251988491182094E-3</v>
      </c>
    </row>
    <row r="233" spans="1:6" x14ac:dyDescent="0.35">
      <c r="A233" s="22">
        <v>44784</v>
      </c>
      <c r="B233" s="24">
        <v>1080.7639999999999</v>
      </c>
      <c r="C233" s="24">
        <v>1080.7639999999999</v>
      </c>
      <c r="D233" s="24">
        <v>1080.7639999999999</v>
      </c>
      <c r="E233" s="24">
        <v>1080.7639999999999</v>
      </c>
      <c r="F233" s="23">
        <f t="shared" si="3"/>
        <v>1.0336475315202936E-2</v>
      </c>
    </row>
    <row r="234" spans="1:6" x14ac:dyDescent="0.35">
      <c r="A234" s="22">
        <v>44785</v>
      </c>
      <c r="B234" s="24">
        <v>1084.962</v>
      </c>
      <c r="C234" s="24">
        <v>1084.962</v>
      </c>
      <c r="D234" s="24">
        <v>1084.962</v>
      </c>
      <c r="E234" s="24">
        <v>1084.962</v>
      </c>
      <c r="F234" s="23">
        <f t="shared" si="3"/>
        <v>3.8842892620406426E-3</v>
      </c>
    </row>
    <row r="235" spans="1:6" x14ac:dyDescent="0.35">
      <c r="A235" s="22">
        <v>44789</v>
      </c>
      <c r="B235" s="24">
        <v>1090.4179999999999</v>
      </c>
      <c r="C235" s="24">
        <v>1090.4179999999999</v>
      </c>
      <c r="D235" s="24">
        <v>1090.4179999999999</v>
      </c>
      <c r="E235" s="24">
        <v>1090.4179999999999</v>
      </c>
      <c r="F235" s="23">
        <f t="shared" si="3"/>
        <v>5.0287475506053704E-3</v>
      </c>
    </row>
    <row r="236" spans="1:6" x14ac:dyDescent="0.35">
      <c r="A236" s="22">
        <v>44790</v>
      </c>
      <c r="B236" s="24">
        <v>1096.748</v>
      </c>
      <c r="C236" s="24">
        <v>1096.748</v>
      </c>
      <c r="D236" s="24">
        <v>1096.748</v>
      </c>
      <c r="E236" s="24">
        <v>1096.748</v>
      </c>
      <c r="F236" s="23">
        <f t="shared" si="3"/>
        <v>5.8051132684898412E-3</v>
      </c>
    </row>
    <row r="237" spans="1:6" x14ac:dyDescent="0.35">
      <c r="A237" s="22">
        <v>44791</v>
      </c>
      <c r="B237" s="24">
        <v>1096.6990000000001</v>
      </c>
      <c r="C237" s="24">
        <v>1096.6990000000001</v>
      </c>
      <c r="D237" s="24">
        <v>1096.6990000000001</v>
      </c>
      <c r="E237" s="24">
        <v>1096.6990000000001</v>
      </c>
      <c r="F237" s="23">
        <f t="shared" si="3"/>
        <v>-4.4677537592936726E-5</v>
      </c>
    </row>
    <row r="238" spans="1:6" x14ac:dyDescent="0.35">
      <c r="A238" s="22">
        <v>44792</v>
      </c>
      <c r="B238" s="24">
        <v>1086.412</v>
      </c>
      <c r="C238" s="24">
        <v>1086.412</v>
      </c>
      <c r="D238" s="24">
        <v>1086.412</v>
      </c>
      <c r="E238" s="24">
        <v>1086.412</v>
      </c>
      <c r="F238" s="23">
        <f t="shared" si="3"/>
        <v>-9.3799666088872462E-3</v>
      </c>
    </row>
    <row r="239" spans="1:6" x14ac:dyDescent="0.35">
      <c r="A239" s="22">
        <v>44795</v>
      </c>
      <c r="B239" s="24">
        <v>1073.3320000000001</v>
      </c>
      <c r="C239" s="24">
        <v>1073.3320000000001</v>
      </c>
      <c r="D239" s="24">
        <v>1073.3320000000001</v>
      </c>
      <c r="E239" s="24">
        <v>1073.3320000000001</v>
      </c>
      <c r="F239" s="23">
        <f t="shared" si="3"/>
        <v>-1.2039631373732918E-2</v>
      </c>
    </row>
    <row r="240" spans="1:6" x14ac:dyDescent="0.35">
      <c r="A240" s="22">
        <v>44796</v>
      </c>
      <c r="B240" s="24">
        <v>1080.383</v>
      </c>
      <c r="C240" s="24">
        <v>1080.383</v>
      </c>
      <c r="D240" s="24">
        <v>1080.383</v>
      </c>
      <c r="E240" s="24">
        <v>1080.383</v>
      </c>
      <c r="F240" s="23">
        <f t="shared" si="3"/>
        <v>6.5692628189599582E-3</v>
      </c>
    </row>
    <row r="241" spans="1:6" x14ac:dyDescent="0.35">
      <c r="A241" s="22">
        <v>44797</v>
      </c>
      <c r="B241" s="24">
        <v>1081.873</v>
      </c>
      <c r="C241" s="24">
        <v>1081.873</v>
      </c>
      <c r="D241" s="24">
        <v>1081.873</v>
      </c>
      <c r="E241" s="24">
        <v>1081.873</v>
      </c>
      <c r="F241" s="23">
        <f t="shared" si="3"/>
        <v>1.37914054552877E-3</v>
      </c>
    </row>
    <row r="242" spans="1:6" x14ac:dyDescent="0.35">
      <c r="A242" s="22">
        <v>44798</v>
      </c>
      <c r="B242" s="24">
        <v>1080.0809999999999</v>
      </c>
      <c r="C242" s="24">
        <v>1080.0809999999999</v>
      </c>
      <c r="D242" s="24">
        <v>1080.0809999999999</v>
      </c>
      <c r="E242" s="24">
        <v>1080.0809999999999</v>
      </c>
      <c r="F242" s="23">
        <f t="shared" si="3"/>
        <v>-1.6563866553654114E-3</v>
      </c>
    </row>
    <row r="243" spans="1:6" x14ac:dyDescent="0.35">
      <c r="A243" s="22">
        <v>44799</v>
      </c>
      <c r="B243" s="24">
        <v>1086.3119999999999</v>
      </c>
      <c r="C243" s="24">
        <v>1086.3119999999999</v>
      </c>
      <c r="D243" s="24">
        <v>1086.3119999999999</v>
      </c>
      <c r="E243" s="24">
        <v>1086.3119999999999</v>
      </c>
      <c r="F243" s="23">
        <f t="shared" si="3"/>
        <v>5.7690117685617976E-3</v>
      </c>
    </row>
    <row r="244" spans="1:6" x14ac:dyDescent="0.35">
      <c r="A244" s="22">
        <v>44802</v>
      </c>
      <c r="B244" s="24">
        <v>1073.2660000000001</v>
      </c>
      <c r="C244" s="24">
        <v>1073.2660000000001</v>
      </c>
      <c r="D244" s="24">
        <v>1073.2660000000001</v>
      </c>
      <c r="E244" s="24">
        <v>1073.2660000000001</v>
      </c>
      <c r="F244" s="23">
        <f t="shared" si="3"/>
        <v>-1.2009441118205288E-2</v>
      </c>
    </row>
    <row r="245" spans="1:6" x14ac:dyDescent="0.35">
      <c r="A245" s="22">
        <v>44803</v>
      </c>
      <c r="B245" s="24">
        <v>1095.7239999999999</v>
      </c>
      <c r="C245" s="24">
        <v>1095.7239999999999</v>
      </c>
      <c r="D245" s="24">
        <v>1095.7239999999999</v>
      </c>
      <c r="E245" s="24">
        <v>1095.7239999999999</v>
      </c>
      <c r="F245" s="23">
        <f t="shared" si="3"/>
        <v>2.0924915165485402E-2</v>
      </c>
    </row>
    <row r="246" spans="1:6" x14ac:dyDescent="0.35">
      <c r="A246" s="22">
        <v>44805</v>
      </c>
      <c r="B246" s="24">
        <v>1088.7370000000001</v>
      </c>
      <c r="C246" s="24">
        <v>1088.7370000000001</v>
      </c>
      <c r="D246" s="24">
        <v>1088.7370000000001</v>
      </c>
      <c r="E246" s="24">
        <v>1088.7370000000001</v>
      </c>
      <c r="F246" s="23">
        <f t="shared" si="3"/>
        <v>-6.3766057875887109E-3</v>
      </c>
    </row>
    <row r="247" spans="1:6" x14ac:dyDescent="0.35">
      <c r="A247" s="22">
        <v>44806</v>
      </c>
      <c r="B247" s="24">
        <v>1090.549</v>
      </c>
      <c r="C247" s="24">
        <v>1090.549</v>
      </c>
      <c r="D247" s="24">
        <v>1090.549</v>
      </c>
      <c r="E247" s="24">
        <v>1090.549</v>
      </c>
      <c r="F247" s="23">
        <f t="shared" si="3"/>
        <v>1.6643137874435222E-3</v>
      </c>
    </row>
    <row r="248" spans="1:6" x14ac:dyDescent="0.35">
      <c r="A248" s="22">
        <v>44809</v>
      </c>
      <c r="B248" s="24">
        <v>1097.1189999999999</v>
      </c>
      <c r="C248" s="24">
        <v>1097.1189999999999</v>
      </c>
      <c r="D248" s="24">
        <v>1097.1189999999999</v>
      </c>
      <c r="E248" s="24">
        <v>1097.1189999999999</v>
      </c>
      <c r="F248" s="23">
        <f t="shared" si="3"/>
        <v>6.024488583273137E-3</v>
      </c>
    </row>
    <row r="249" spans="1:6" x14ac:dyDescent="0.35">
      <c r="A249" s="22">
        <v>44810</v>
      </c>
      <c r="B249" s="24">
        <v>1099.8219999999999</v>
      </c>
      <c r="C249" s="24">
        <v>1099.8219999999999</v>
      </c>
      <c r="D249" s="24">
        <v>1099.8219999999999</v>
      </c>
      <c r="E249" s="24">
        <v>1099.8219999999999</v>
      </c>
      <c r="F249" s="23">
        <f t="shared" si="3"/>
        <v>2.4637254481965718E-3</v>
      </c>
    </row>
    <row r="250" spans="1:6" x14ac:dyDescent="0.35">
      <c r="A250" s="22">
        <v>44811</v>
      </c>
      <c r="B250" s="24">
        <v>1101.5</v>
      </c>
      <c r="C250" s="24">
        <v>1101.5</v>
      </c>
      <c r="D250" s="24">
        <v>1101.5</v>
      </c>
      <c r="E250" s="24">
        <v>1101.5</v>
      </c>
      <c r="F250" s="23">
        <f t="shared" si="3"/>
        <v>1.5257014316863193E-3</v>
      </c>
    </row>
    <row r="251" spans="1:6" x14ac:dyDescent="0.35">
      <c r="A251" s="22">
        <v>44812</v>
      </c>
      <c r="B251" s="24">
        <v>1109.915</v>
      </c>
      <c r="C251" s="24">
        <v>1109.915</v>
      </c>
      <c r="D251" s="24">
        <v>1109.915</v>
      </c>
      <c r="E251" s="24">
        <v>1109.915</v>
      </c>
      <c r="F251" s="23">
        <f t="shared" si="3"/>
        <v>7.6395823876531672E-3</v>
      </c>
    </row>
    <row r="252" spans="1:6" x14ac:dyDescent="0.35">
      <c r="A252" s="22">
        <v>44813</v>
      </c>
      <c r="B252" s="24">
        <v>1112.2919999999999</v>
      </c>
      <c r="C252" s="24">
        <v>1112.2919999999999</v>
      </c>
      <c r="D252" s="24">
        <v>1112.2919999999999</v>
      </c>
      <c r="E252" s="24">
        <v>1112.2919999999999</v>
      </c>
      <c r="F252" s="23">
        <f t="shared" si="3"/>
        <v>2.141605438254238E-3</v>
      </c>
    </row>
    <row r="253" spans="1:6" x14ac:dyDescent="0.35">
      <c r="A253" s="22">
        <v>44816</v>
      </c>
      <c r="B253" s="24">
        <v>1118.4290000000001</v>
      </c>
      <c r="C253" s="24">
        <v>1118.4290000000001</v>
      </c>
      <c r="D253" s="24">
        <v>1118.4290000000001</v>
      </c>
      <c r="E253" s="24">
        <v>1118.4290000000001</v>
      </c>
      <c r="F253" s="23">
        <f t="shared" si="3"/>
        <v>5.5174360689460786E-3</v>
      </c>
    </row>
    <row r="254" spans="1:6" x14ac:dyDescent="0.35">
      <c r="A254" s="22">
        <v>44817</v>
      </c>
      <c r="B254" s="24">
        <v>1123.5530000000001</v>
      </c>
      <c r="C254" s="24">
        <v>1123.5530000000001</v>
      </c>
      <c r="D254" s="24">
        <v>1123.5530000000001</v>
      </c>
      <c r="E254" s="24">
        <v>1123.5530000000001</v>
      </c>
      <c r="F254" s="23">
        <f t="shared" si="3"/>
        <v>4.5814262684533607E-3</v>
      </c>
    </row>
    <row r="255" spans="1:6" x14ac:dyDescent="0.35">
      <c r="A255" s="22">
        <v>44818</v>
      </c>
      <c r="B255" s="24">
        <v>1121.961</v>
      </c>
      <c r="C255" s="24">
        <v>1121.961</v>
      </c>
      <c r="D255" s="24">
        <v>1121.961</v>
      </c>
      <c r="E255" s="24">
        <v>1121.961</v>
      </c>
      <c r="F255" s="23">
        <f t="shared" si="3"/>
        <v>-1.4169336025982736E-3</v>
      </c>
    </row>
    <row r="256" spans="1:6" x14ac:dyDescent="0.35">
      <c r="A256" s="22">
        <v>44819</v>
      </c>
      <c r="B256" s="24">
        <v>1120.1089999999999</v>
      </c>
      <c r="C256" s="24">
        <v>1120.1089999999999</v>
      </c>
      <c r="D256" s="24">
        <v>1120.1089999999999</v>
      </c>
      <c r="E256" s="24">
        <v>1120.1089999999999</v>
      </c>
      <c r="F256" s="23">
        <f t="shared" si="3"/>
        <v>-1.6506812625395081E-3</v>
      </c>
    </row>
    <row r="257" spans="1:6" x14ac:dyDescent="0.35">
      <c r="A257" s="22">
        <v>44820</v>
      </c>
      <c r="B257" s="24">
        <v>1100.797</v>
      </c>
      <c r="C257" s="24">
        <v>1100.797</v>
      </c>
      <c r="D257" s="24">
        <v>1100.797</v>
      </c>
      <c r="E257" s="24">
        <v>1100.797</v>
      </c>
      <c r="F257" s="23">
        <f t="shared" si="3"/>
        <v>-1.7241179206666405E-2</v>
      </c>
    </row>
    <row r="258" spans="1:6" x14ac:dyDescent="0.35">
      <c r="A258" s="22">
        <v>44823</v>
      </c>
      <c r="B258" s="24">
        <v>1104.806</v>
      </c>
      <c r="C258" s="24">
        <v>1104.806</v>
      </c>
      <c r="D258" s="24">
        <v>1104.806</v>
      </c>
      <c r="E258" s="24">
        <v>1104.806</v>
      </c>
      <c r="F258" s="23">
        <f t="shared" si="3"/>
        <v>3.641906727580121E-3</v>
      </c>
    </row>
    <row r="259" spans="1:6" x14ac:dyDescent="0.35">
      <c r="A259" s="22">
        <v>44824</v>
      </c>
      <c r="B259" s="24">
        <v>1114.2619999999999</v>
      </c>
      <c r="C259" s="24">
        <v>1114.2619999999999</v>
      </c>
      <c r="D259" s="24">
        <v>1114.2619999999999</v>
      </c>
      <c r="E259" s="24">
        <v>1114.2619999999999</v>
      </c>
      <c r="F259" s="23">
        <f t="shared" ref="F259:F322" si="4">(B259-B258)/B258</f>
        <v>8.5589687239206735E-3</v>
      </c>
    </row>
    <row r="260" spans="1:6" x14ac:dyDescent="0.35">
      <c r="A260" s="22">
        <v>44825</v>
      </c>
      <c r="B260" s="24">
        <v>1107.789</v>
      </c>
      <c r="C260" s="24">
        <v>1107.789</v>
      </c>
      <c r="D260" s="24">
        <v>1107.789</v>
      </c>
      <c r="E260" s="24">
        <v>1107.789</v>
      </c>
      <c r="F260" s="23">
        <f t="shared" si="4"/>
        <v>-5.8092261963523448E-3</v>
      </c>
    </row>
    <row r="261" spans="1:6" x14ac:dyDescent="0.35">
      <c r="A261" s="22">
        <v>44826</v>
      </c>
      <c r="B261" s="24">
        <v>1101.7059999999999</v>
      </c>
      <c r="C261" s="24">
        <v>1101.7059999999999</v>
      </c>
      <c r="D261" s="24">
        <v>1101.7059999999999</v>
      </c>
      <c r="E261" s="24">
        <v>1101.7059999999999</v>
      </c>
      <c r="F261" s="23">
        <f t="shared" si="4"/>
        <v>-5.4911178933895206E-3</v>
      </c>
    </row>
    <row r="262" spans="1:6" x14ac:dyDescent="0.35">
      <c r="A262" s="22">
        <v>44827</v>
      </c>
      <c r="B262" s="24">
        <v>1082.3109999999999</v>
      </c>
      <c r="C262" s="24">
        <v>1082.3109999999999</v>
      </c>
      <c r="D262" s="24">
        <v>1082.3109999999999</v>
      </c>
      <c r="E262" s="24">
        <v>1082.3109999999999</v>
      </c>
      <c r="F262" s="23">
        <f t="shared" si="4"/>
        <v>-1.7604515179185719E-2</v>
      </c>
    </row>
    <row r="263" spans="1:6" x14ac:dyDescent="0.35">
      <c r="A263" s="22">
        <v>44830</v>
      </c>
      <c r="B263" s="24">
        <v>1061.4949999999999</v>
      </c>
      <c r="C263" s="24">
        <v>1061.4949999999999</v>
      </c>
      <c r="D263" s="24">
        <v>1061.4949999999999</v>
      </c>
      <c r="E263" s="24">
        <v>1061.4949999999999</v>
      </c>
      <c r="F263" s="23">
        <f t="shared" si="4"/>
        <v>-1.923291918866207E-2</v>
      </c>
    </row>
    <row r="264" spans="1:6" x14ac:dyDescent="0.35">
      <c r="A264" s="22">
        <v>44831</v>
      </c>
      <c r="B264" s="24">
        <v>1060.2470000000001</v>
      </c>
      <c r="C264" s="24">
        <v>1060.2470000000001</v>
      </c>
      <c r="D264" s="24">
        <v>1060.2470000000001</v>
      </c>
      <c r="E264" s="24">
        <v>1060.2470000000001</v>
      </c>
      <c r="F264" s="23">
        <f t="shared" si="4"/>
        <v>-1.1757003094690225E-3</v>
      </c>
    </row>
    <row r="265" spans="1:6" x14ac:dyDescent="0.35">
      <c r="A265" s="22">
        <v>44832</v>
      </c>
      <c r="B265" s="24">
        <v>1051.5250000000001</v>
      </c>
      <c r="C265" s="24">
        <v>1051.5250000000001</v>
      </c>
      <c r="D265" s="24">
        <v>1051.5250000000001</v>
      </c>
      <c r="E265" s="24">
        <v>1051.5250000000001</v>
      </c>
      <c r="F265" s="23">
        <f t="shared" si="4"/>
        <v>-8.2263849838763795E-3</v>
      </c>
    </row>
    <row r="266" spans="1:6" x14ac:dyDescent="0.35">
      <c r="A266" s="22">
        <v>44833</v>
      </c>
      <c r="B266" s="24">
        <v>1052.9860000000001</v>
      </c>
      <c r="C266" s="24">
        <v>1052.9860000000001</v>
      </c>
      <c r="D266" s="24">
        <v>1052.9860000000001</v>
      </c>
      <c r="E266" s="24">
        <v>1052.9860000000001</v>
      </c>
      <c r="F266" s="23">
        <f t="shared" si="4"/>
        <v>1.3894106179120921E-3</v>
      </c>
    </row>
    <row r="267" spans="1:6" x14ac:dyDescent="0.35">
      <c r="A267" s="22">
        <v>44834</v>
      </c>
      <c r="B267" s="24">
        <v>1066.171</v>
      </c>
      <c r="C267" s="24">
        <v>1066.171</v>
      </c>
      <c r="D267" s="24">
        <v>1066.171</v>
      </c>
      <c r="E267" s="24">
        <v>1066.171</v>
      </c>
      <c r="F267" s="23">
        <f t="shared" si="4"/>
        <v>1.2521533999502314E-2</v>
      </c>
    </row>
    <row r="268" spans="1:6" x14ac:dyDescent="0.35">
      <c r="A268" s="22">
        <v>44837</v>
      </c>
      <c r="B268" s="24">
        <v>1058.31</v>
      </c>
      <c r="C268" s="24">
        <v>1058.31</v>
      </c>
      <c r="D268" s="24">
        <v>1058.31</v>
      </c>
      <c r="E268" s="24">
        <v>1058.31</v>
      </c>
      <c r="F268" s="23">
        <f t="shared" si="4"/>
        <v>-7.3731136937696708E-3</v>
      </c>
    </row>
    <row r="269" spans="1:6" x14ac:dyDescent="0.35">
      <c r="A269" s="22">
        <v>44840</v>
      </c>
      <c r="B269" s="24">
        <v>1088.989</v>
      </c>
      <c r="C269" s="24">
        <v>1088.989</v>
      </c>
      <c r="D269" s="24">
        <v>1088.989</v>
      </c>
      <c r="E269" s="24">
        <v>1088.989</v>
      </c>
      <c r="F269" s="23">
        <f t="shared" si="4"/>
        <v>2.8988670616360131E-2</v>
      </c>
    </row>
    <row r="270" spans="1:6" x14ac:dyDescent="0.35">
      <c r="A270" s="22">
        <v>44841</v>
      </c>
      <c r="B270" s="24">
        <v>1085.6579999999999</v>
      </c>
      <c r="C270" s="24">
        <v>1085.6579999999999</v>
      </c>
      <c r="D270" s="24">
        <v>1085.6579999999999</v>
      </c>
      <c r="E270" s="24">
        <v>1085.6579999999999</v>
      </c>
      <c r="F270" s="23">
        <f t="shared" si="4"/>
        <v>-3.0588004102889295E-3</v>
      </c>
    </row>
    <row r="271" spans="1:6" x14ac:dyDescent="0.35">
      <c r="A271" s="22">
        <v>44844</v>
      </c>
      <c r="B271" s="24">
        <v>1082.021</v>
      </c>
      <c r="C271" s="24">
        <v>1082.021</v>
      </c>
      <c r="D271" s="24">
        <v>1082.021</v>
      </c>
      <c r="E271" s="24">
        <v>1082.021</v>
      </c>
      <c r="F271" s="23">
        <f t="shared" si="4"/>
        <v>-3.3500420942874681E-3</v>
      </c>
    </row>
    <row r="272" spans="1:6" x14ac:dyDescent="0.35">
      <c r="A272" s="22">
        <v>44845</v>
      </c>
      <c r="B272" s="24">
        <v>1067.569</v>
      </c>
      <c r="C272" s="24">
        <v>1067.569</v>
      </c>
      <c r="D272" s="24">
        <v>1067.569</v>
      </c>
      <c r="E272" s="24">
        <v>1067.569</v>
      </c>
      <c r="F272" s="23">
        <f t="shared" si="4"/>
        <v>-1.3356487535824165E-2</v>
      </c>
    </row>
    <row r="273" spans="1:6" x14ac:dyDescent="0.35">
      <c r="A273" s="22">
        <v>44846</v>
      </c>
      <c r="B273" s="24">
        <v>1075.3140000000001</v>
      </c>
      <c r="C273" s="24">
        <v>1075.3140000000001</v>
      </c>
      <c r="D273" s="24">
        <v>1075.3140000000001</v>
      </c>
      <c r="E273" s="24">
        <v>1075.3140000000001</v>
      </c>
      <c r="F273" s="23">
        <f t="shared" si="4"/>
        <v>7.2548003922932557E-3</v>
      </c>
    </row>
    <row r="274" spans="1:6" x14ac:dyDescent="0.35">
      <c r="A274" s="22">
        <v>44847</v>
      </c>
      <c r="B274" s="24">
        <v>1068.3009999999999</v>
      </c>
      <c r="C274" s="24">
        <v>1068.3009999999999</v>
      </c>
      <c r="D274" s="24">
        <v>1068.3009999999999</v>
      </c>
      <c r="E274" s="24">
        <v>1068.3009999999999</v>
      </c>
      <c r="F274" s="23">
        <f t="shared" si="4"/>
        <v>-6.5218159532937792E-3</v>
      </c>
    </row>
    <row r="275" spans="1:6" x14ac:dyDescent="0.35">
      <c r="A275" s="22">
        <v>44848</v>
      </c>
      <c r="B275" s="24">
        <v>1076.6130000000001</v>
      </c>
      <c r="C275" s="24">
        <v>1076.6130000000001</v>
      </c>
      <c r="D275" s="24">
        <v>1076.6130000000001</v>
      </c>
      <c r="E275" s="24">
        <v>1076.6130000000001</v>
      </c>
      <c r="F275" s="23">
        <f t="shared" si="4"/>
        <v>7.7805786945815136E-3</v>
      </c>
    </row>
    <row r="276" spans="1:6" x14ac:dyDescent="0.35">
      <c r="A276" s="22">
        <v>44851</v>
      </c>
      <c r="B276" s="24">
        <v>1084.9590000000001</v>
      </c>
      <c r="C276" s="24">
        <v>1084.9590000000001</v>
      </c>
      <c r="D276" s="24">
        <v>1084.9590000000001</v>
      </c>
      <c r="E276" s="24">
        <v>1084.9590000000001</v>
      </c>
      <c r="F276" s="23">
        <f t="shared" si="4"/>
        <v>7.7520891908234467E-3</v>
      </c>
    </row>
    <row r="277" spans="1:6" x14ac:dyDescent="0.35">
      <c r="A277" s="22">
        <v>44852</v>
      </c>
      <c r="B277" s="24">
        <v>1099.2049999999999</v>
      </c>
      <c r="C277" s="24">
        <v>1099.2049999999999</v>
      </c>
      <c r="D277" s="24">
        <v>1099.2049999999999</v>
      </c>
      <c r="E277" s="24">
        <v>1099.2049999999999</v>
      </c>
      <c r="F277" s="23">
        <f t="shared" si="4"/>
        <v>1.3130450090740632E-2</v>
      </c>
    </row>
    <row r="278" spans="1:6" x14ac:dyDescent="0.35">
      <c r="A278" s="22">
        <v>44853</v>
      </c>
      <c r="B278" s="24">
        <v>1097.33</v>
      </c>
      <c r="C278" s="24">
        <v>1097.33</v>
      </c>
      <c r="D278" s="24">
        <v>1097.33</v>
      </c>
      <c r="E278" s="24">
        <v>1097.33</v>
      </c>
      <c r="F278" s="23">
        <f t="shared" si="4"/>
        <v>-1.7057782670202558E-3</v>
      </c>
    </row>
    <row r="279" spans="1:6" x14ac:dyDescent="0.35">
      <c r="A279" s="22">
        <v>44854</v>
      </c>
      <c r="B279" s="24">
        <v>1101.49</v>
      </c>
      <c r="C279" s="24">
        <v>1101.49</v>
      </c>
      <c r="D279" s="24">
        <v>1101.49</v>
      </c>
      <c r="E279" s="24">
        <v>1101.49</v>
      </c>
      <c r="F279" s="23">
        <f t="shared" si="4"/>
        <v>3.7910200213245623E-3</v>
      </c>
    </row>
    <row r="280" spans="1:6" x14ac:dyDescent="0.35">
      <c r="A280" s="22">
        <v>44855</v>
      </c>
      <c r="B280" s="24">
        <v>1105.1980000000001</v>
      </c>
      <c r="C280" s="24">
        <v>1105.1980000000001</v>
      </c>
      <c r="D280" s="24">
        <v>1105.1980000000001</v>
      </c>
      <c r="E280" s="24">
        <v>1105.1980000000001</v>
      </c>
      <c r="F280" s="23">
        <f t="shared" si="4"/>
        <v>3.366349217877678E-3</v>
      </c>
    </row>
    <row r="281" spans="1:6" x14ac:dyDescent="0.35">
      <c r="A281" s="22">
        <v>44859</v>
      </c>
      <c r="B281" s="24">
        <v>1120.29</v>
      </c>
      <c r="C281" s="24">
        <v>1120.29</v>
      </c>
      <c r="D281" s="24">
        <v>1120.29</v>
      </c>
      <c r="E281" s="24">
        <v>1120.29</v>
      </c>
      <c r="F281" s="23">
        <f t="shared" si="4"/>
        <v>1.3655471689235657E-2</v>
      </c>
    </row>
    <row r="282" spans="1:6" x14ac:dyDescent="0.35">
      <c r="A282" s="22">
        <v>44861</v>
      </c>
      <c r="B282" s="24">
        <v>1126.6479999999999</v>
      </c>
      <c r="C282" s="24">
        <v>1126.6479999999999</v>
      </c>
      <c r="D282" s="24">
        <v>1126.6479999999999</v>
      </c>
      <c r="E282" s="24">
        <v>1126.6479999999999</v>
      </c>
      <c r="F282" s="23">
        <f t="shared" si="4"/>
        <v>5.6753162127662904E-3</v>
      </c>
    </row>
    <row r="283" spans="1:6" x14ac:dyDescent="0.35">
      <c r="A283" s="22">
        <v>44862</v>
      </c>
      <c r="B283" s="24">
        <v>1125.3019999999999</v>
      </c>
      <c r="C283" s="24">
        <v>1125.3019999999999</v>
      </c>
      <c r="D283" s="24">
        <v>1125.3019999999999</v>
      </c>
      <c r="E283" s="24">
        <v>1125.3019999999999</v>
      </c>
      <c r="F283" s="23">
        <f t="shared" si="4"/>
        <v>-1.1946943499655648E-3</v>
      </c>
    </row>
    <row r="284" spans="1:6" x14ac:dyDescent="0.35">
      <c r="A284" s="22">
        <v>44865</v>
      </c>
      <c r="B284" s="24">
        <v>1135.981</v>
      </c>
      <c r="C284" s="24">
        <v>1135.981</v>
      </c>
      <c r="D284" s="24">
        <v>1135.981</v>
      </c>
      <c r="E284" s="24">
        <v>1135.981</v>
      </c>
      <c r="F284" s="23">
        <f t="shared" si="4"/>
        <v>9.4898969343341511E-3</v>
      </c>
    </row>
    <row r="285" spans="1:6" x14ac:dyDescent="0.35">
      <c r="A285" s="22">
        <v>44866</v>
      </c>
      <c r="B285" s="24">
        <v>1143.105</v>
      </c>
      <c r="C285" s="24">
        <v>1143.105</v>
      </c>
      <c r="D285" s="24">
        <v>1143.105</v>
      </c>
      <c r="E285" s="24">
        <v>1143.105</v>
      </c>
      <c r="F285" s="23">
        <f t="shared" si="4"/>
        <v>6.2712316491209128E-3</v>
      </c>
    </row>
    <row r="286" spans="1:6" x14ac:dyDescent="0.35">
      <c r="A286" s="22">
        <v>44867</v>
      </c>
      <c r="B286" s="24">
        <v>1138.19</v>
      </c>
      <c r="C286" s="24">
        <v>1138.19</v>
      </c>
      <c r="D286" s="24">
        <v>1138.19</v>
      </c>
      <c r="E286" s="24">
        <v>1138.19</v>
      </c>
      <c r="F286" s="23">
        <f t="shared" si="4"/>
        <v>-4.2996925041881226E-3</v>
      </c>
    </row>
    <row r="287" spans="1:6" x14ac:dyDescent="0.35">
      <c r="A287" s="22">
        <v>44868</v>
      </c>
      <c r="B287" s="24">
        <v>1138.3969999999999</v>
      </c>
      <c r="C287" s="24">
        <v>1138.3969999999999</v>
      </c>
      <c r="D287" s="24">
        <v>1138.3969999999999</v>
      </c>
      <c r="E287" s="24">
        <v>1138.3969999999999</v>
      </c>
      <c r="F287" s="23">
        <f t="shared" si="4"/>
        <v>1.8186770222887211E-4</v>
      </c>
    </row>
    <row r="288" spans="1:6" x14ac:dyDescent="0.35">
      <c r="A288" s="22">
        <v>44869</v>
      </c>
      <c r="B288" s="24">
        <v>1138.2059999999999</v>
      </c>
      <c r="C288" s="24">
        <v>1138.2059999999999</v>
      </c>
      <c r="D288" s="24">
        <v>1138.2059999999999</v>
      </c>
      <c r="E288" s="24">
        <v>1138.2059999999999</v>
      </c>
      <c r="F288" s="23">
        <f t="shared" si="4"/>
        <v>-1.6777978157007698E-4</v>
      </c>
    </row>
    <row r="289" spans="1:6" x14ac:dyDescent="0.35">
      <c r="A289" s="22">
        <v>44872</v>
      </c>
      <c r="B289" s="24">
        <v>1149.1479999999999</v>
      </c>
      <c r="C289" s="24">
        <v>1149.1479999999999</v>
      </c>
      <c r="D289" s="24">
        <v>1149.1479999999999</v>
      </c>
      <c r="E289" s="24">
        <v>1149.1479999999999</v>
      </c>
      <c r="F289" s="23">
        <f t="shared" si="4"/>
        <v>9.6133740289543433E-3</v>
      </c>
    </row>
    <row r="290" spans="1:6" x14ac:dyDescent="0.35">
      <c r="A290" s="22">
        <v>44874</v>
      </c>
      <c r="B290" s="24">
        <v>1147.3389999999999</v>
      </c>
      <c r="C290" s="24">
        <v>1147.3389999999999</v>
      </c>
      <c r="D290" s="24">
        <v>1147.3389999999999</v>
      </c>
      <c r="E290" s="24">
        <v>1147.3389999999999</v>
      </c>
      <c r="F290" s="23">
        <f t="shared" si="4"/>
        <v>-1.5742097623630458E-3</v>
      </c>
    </row>
    <row r="291" spans="1:6" x14ac:dyDescent="0.35">
      <c r="A291" s="22">
        <v>44875</v>
      </c>
      <c r="B291" s="24">
        <v>1139.3140000000001</v>
      </c>
      <c r="C291" s="24">
        <v>1139.3140000000001</v>
      </c>
      <c r="D291" s="24">
        <v>1139.3140000000001</v>
      </c>
      <c r="E291" s="24">
        <v>1139.3140000000001</v>
      </c>
      <c r="F291" s="23">
        <f t="shared" si="4"/>
        <v>-6.9944454080266283E-3</v>
      </c>
    </row>
    <row r="292" spans="1:6" x14ac:dyDescent="0.35">
      <c r="A292" s="22">
        <v>44876</v>
      </c>
      <c r="B292" s="24">
        <v>1152.701</v>
      </c>
      <c r="C292" s="24">
        <v>1152.701</v>
      </c>
      <c r="D292" s="24">
        <v>1152.701</v>
      </c>
      <c r="E292" s="24">
        <v>1152.701</v>
      </c>
      <c r="F292" s="23">
        <f t="shared" si="4"/>
        <v>1.1750053102129827E-2</v>
      </c>
    </row>
    <row r="293" spans="1:6" x14ac:dyDescent="0.35">
      <c r="A293" s="22">
        <v>44879</v>
      </c>
      <c r="B293" s="24">
        <v>1149.7059999999999</v>
      </c>
      <c r="C293" s="24">
        <v>1149.7059999999999</v>
      </c>
      <c r="D293" s="24">
        <v>1149.7059999999999</v>
      </c>
      <c r="E293" s="24">
        <v>1149.7059999999999</v>
      </c>
      <c r="F293" s="23">
        <f t="shared" si="4"/>
        <v>-2.5982453385571089E-3</v>
      </c>
    </row>
    <row r="294" spans="1:6" x14ac:dyDescent="0.35">
      <c r="A294" s="22">
        <v>44880</v>
      </c>
      <c r="B294" s="24">
        <v>1155.17</v>
      </c>
      <c r="C294" s="24">
        <v>1155.17</v>
      </c>
      <c r="D294" s="24">
        <v>1155.17</v>
      </c>
      <c r="E294" s="24">
        <v>1155.17</v>
      </c>
      <c r="F294" s="23">
        <f t="shared" si="4"/>
        <v>4.7525193397269993E-3</v>
      </c>
    </row>
    <row r="295" spans="1:6" x14ac:dyDescent="0.35">
      <c r="A295" s="22">
        <v>44881</v>
      </c>
      <c r="B295" s="24">
        <v>1158.925</v>
      </c>
      <c r="C295" s="24">
        <v>1158.925</v>
      </c>
      <c r="D295" s="24">
        <v>1158.925</v>
      </c>
      <c r="E295" s="24">
        <v>1158.925</v>
      </c>
      <c r="F295" s="23">
        <f t="shared" si="4"/>
        <v>3.2506038072317336E-3</v>
      </c>
    </row>
    <row r="296" spans="1:6" x14ac:dyDescent="0.35">
      <c r="A296" s="22">
        <v>44882</v>
      </c>
      <c r="B296" s="24">
        <v>1155.806</v>
      </c>
      <c r="C296" s="24">
        <v>1155.806</v>
      </c>
      <c r="D296" s="24">
        <v>1155.806</v>
      </c>
      <c r="E296" s="24">
        <v>1155.806</v>
      </c>
      <c r="F296" s="23">
        <f t="shared" si="4"/>
        <v>-2.6912871842439457E-3</v>
      </c>
    </row>
    <row r="297" spans="1:6" x14ac:dyDescent="0.35">
      <c r="A297" s="22">
        <v>44883</v>
      </c>
      <c r="B297" s="24">
        <v>1151.364</v>
      </c>
      <c r="C297" s="24">
        <v>1151.364</v>
      </c>
      <c r="D297" s="24">
        <v>1151.364</v>
      </c>
      <c r="E297" s="24">
        <v>1151.364</v>
      </c>
      <c r="F297" s="23">
        <f t="shared" si="4"/>
        <v>-3.8432055206496655E-3</v>
      </c>
    </row>
    <row r="298" spans="1:6" x14ac:dyDescent="0.35">
      <c r="A298" s="22">
        <v>44886</v>
      </c>
      <c r="B298" s="24">
        <v>1147.088</v>
      </c>
      <c r="C298" s="24">
        <v>1147.088</v>
      </c>
      <c r="D298" s="24">
        <v>1147.088</v>
      </c>
      <c r="E298" s="24">
        <v>1147.088</v>
      </c>
      <c r="F298" s="23">
        <f t="shared" si="4"/>
        <v>-3.713855913507863E-3</v>
      </c>
    </row>
    <row r="299" spans="1:6" x14ac:dyDescent="0.35">
      <c r="A299" s="22">
        <v>44887</v>
      </c>
      <c r="B299" s="24">
        <v>1153.2629999999999</v>
      </c>
      <c r="C299" s="24">
        <v>1153.2629999999999</v>
      </c>
      <c r="D299" s="24">
        <v>1153.2629999999999</v>
      </c>
      <c r="E299" s="24">
        <v>1153.2629999999999</v>
      </c>
      <c r="F299" s="23">
        <f t="shared" si="4"/>
        <v>5.3831964069016103E-3</v>
      </c>
    </row>
    <row r="300" spans="1:6" x14ac:dyDescent="0.35">
      <c r="A300" s="22">
        <v>44888</v>
      </c>
      <c r="B300" s="24">
        <v>1156.8140000000001</v>
      </c>
      <c r="C300" s="24">
        <v>1156.8140000000001</v>
      </c>
      <c r="D300" s="24">
        <v>1156.8140000000001</v>
      </c>
      <c r="E300" s="24">
        <v>1156.8140000000001</v>
      </c>
      <c r="F300" s="23">
        <f t="shared" si="4"/>
        <v>3.0790895051693835E-3</v>
      </c>
    </row>
    <row r="301" spans="1:6" x14ac:dyDescent="0.35">
      <c r="A301" s="22">
        <v>44889</v>
      </c>
      <c r="B301" s="24">
        <v>1169.2280000000001</v>
      </c>
      <c r="C301" s="24">
        <v>1169.2280000000001</v>
      </c>
      <c r="D301" s="24">
        <v>1169.2280000000001</v>
      </c>
      <c r="E301" s="24">
        <v>1169.2280000000001</v>
      </c>
      <c r="F301" s="23">
        <f t="shared" si="4"/>
        <v>1.0731197928102518E-2</v>
      </c>
    </row>
    <row r="302" spans="1:6" x14ac:dyDescent="0.35">
      <c r="A302" s="22">
        <v>44890</v>
      </c>
      <c r="B302" s="24">
        <v>1171.018</v>
      </c>
      <c r="C302" s="24">
        <v>1171.018</v>
      </c>
      <c r="D302" s="24">
        <v>1171.018</v>
      </c>
      <c r="E302" s="24">
        <v>1171.018</v>
      </c>
      <c r="F302" s="23">
        <f t="shared" si="4"/>
        <v>1.5309246785057864E-3</v>
      </c>
    </row>
    <row r="303" spans="1:6" x14ac:dyDescent="0.35">
      <c r="A303" s="22">
        <v>44893</v>
      </c>
      <c r="B303" s="24">
        <v>1173.2639999999999</v>
      </c>
      <c r="C303" s="24">
        <v>1173.2639999999999</v>
      </c>
      <c r="D303" s="24">
        <v>1173.2639999999999</v>
      </c>
      <c r="E303" s="24">
        <v>1173.2639999999999</v>
      </c>
      <c r="F303" s="23">
        <f t="shared" si="4"/>
        <v>1.9179893050319185E-3</v>
      </c>
    </row>
    <row r="304" spans="1:6" x14ac:dyDescent="0.35">
      <c r="A304" s="22">
        <v>44894</v>
      </c>
      <c r="B304" s="24">
        <v>1175.664</v>
      </c>
      <c r="C304" s="24">
        <v>1175.664</v>
      </c>
      <c r="D304" s="24">
        <v>1175.664</v>
      </c>
      <c r="E304" s="24">
        <v>1175.664</v>
      </c>
      <c r="F304" s="23">
        <f t="shared" si="4"/>
        <v>2.0455754203658268E-3</v>
      </c>
    </row>
    <row r="305" spans="1:6" x14ac:dyDescent="0.35">
      <c r="A305" s="22">
        <v>44895</v>
      </c>
      <c r="B305" s="24">
        <v>1182.278</v>
      </c>
      <c r="C305" s="24">
        <v>1182.278</v>
      </c>
      <c r="D305" s="24">
        <v>1182.278</v>
      </c>
      <c r="E305" s="24">
        <v>1182.278</v>
      </c>
      <c r="F305" s="23">
        <f t="shared" si="4"/>
        <v>5.6257570190122626E-3</v>
      </c>
    </row>
    <row r="306" spans="1:6" x14ac:dyDescent="0.35">
      <c r="A306" s="22">
        <v>44896</v>
      </c>
      <c r="B306" s="24">
        <v>1186.393</v>
      </c>
      <c r="C306" s="24">
        <v>1186.393</v>
      </c>
      <c r="D306" s="24">
        <v>1186.393</v>
      </c>
      <c r="E306" s="24">
        <v>1186.393</v>
      </c>
      <c r="F306" s="23">
        <f t="shared" si="4"/>
        <v>3.4805688678974057E-3</v>
      </c>
    </row>
    <row r="307" spans="1:6" x14ac:dyDescent="0.35">
      <c r="A307" s="22">
        <v>44897</v>
      </c>
      <c r="B307" s="24">
        <v>1183.2239999999999</v>
      </c>
      <c r="C307" s="24">
        <v>1183.2239999999999</v>
      </c>
      <c r="D307" s="24">
        <v>1183.2239999999999</v>
      </c>
      <c r="E307" s="24">
        <v>1183.2239999999999</v>
      </c>
      <c r="F307" s="23">
        <f t="shared" si="4"/>
        <v>-2.6711216266448777E-3</v>
      </c>
    </row>
    <row r="308" spans="1:6" x14ac:dyDescent="0.35">
      <c r="A308" s="22">
        <v>44900</v>
      </c>
      <c r="B308" s="24">
        <v>1184.434</v>
      </c>
      <c r="C308" s="24">
        <v>1184.434</v>
      </c>
      <c r="D308" s="24">
        <v>1184.434</v>
      </c>
      <c r="E308" s="24">
        <v>1184.434</v>
      </c>
      <c r="F308" s="23">
        <f t="shared" si="4"/>
        <v>1.0226296964902981E-3</v>
      </c>
    </row>
    <row r="309" spans="1:6" x14ac:dyDescent="0.35">
      <c r="A309" s="22">
        <v>44901</v>
      </c>
      <c r="B309" s="24">
        <v>1177.9770000000001</v>
      </c>
      <c r="C309" s="24">
        <v>1177.9770000000001</v>
      </c>
      <c r="D309" s="24">
        <v>1177.9770000000001</v>
      </c>
      <c r="E309" s="24">
        <v>1177.9770000000001</v>
      </c>
      <c r="F309" s="23">
        <f t="shared" si="4"/>
        <v>-5.4515490099067403E-3</v>
      </c>
    </row>
    <row r="310" spans="1:6" x14ac:dyDescent="0.35">
      <c r="A310" s="22">
        <v>44902</v>
      </c>
      <c r="B310" s="24">
        <v>1174.508</v>
      </c>
      <c r="C310" s="24">
        <v>1174.508</v>
      </c>
      <c r="D310" s="24">
        <v>1174.508</v>
      </c>
      <c r="E310" s="24">
        <v>1174.508</v>
      </c>
      <c r="F310" s="23">
        <f t="shared" si="4"/>
        <v>-2.9448792293907695E-3</v>
      </c>
    </row>
    <row r="311" spans="1:6" x14ac:dyDescent="0.35">
      <c r="A311" s="22">
        <v>44903</v>
      </c>
      <c r="B311" s="24">
        <v>1182.0039999999999</v>
      </c>
      <c r="C311" s="24">
        <v>1182.0039999999999</v>
      </c>
      <c r="D311" s="24">
        <v>1182.0039999999999</v>
      </c>
      <c r="E311" s="24">
        <v>1182.0039999999999</v>
      </c>
      <c r="F311" s="23">
        <f t="shared" si="4"/>
        <v>6.3822468642187767E-3</v>
      </c>
    </row>
    <row r="312" spans="1:6" x14ac:dyDescent="0.35">
      <c r="A312" s="22">
        <v>44904</v>
      </c>
      <c r="B312" s="24">
        <v>1173.1030000000001</v>
      </c>
      <c r="C312" s="24">
        <v>1173.1030000000001</v>
      </c>
      <c r="D312" s="24">
        <v>1173.1030000000001</v>
      </c>
      <c r="E312" s="24">
        <v>1173.1030000000001</v>
      </c>
      <c r="F312" s="23">
        <f t="shared" si="4"/>
        <v>-7.5304313690984469E-3</v>
      </c>
    </row>
    <row r="313" spans="1:6" x14ac:dyDescent="0.35">
      <c r="A313" s="22">
        <v>44907</v>
      </c>
      <c r="B313" s="24">
        <v>1175.558</v>
      </c>
      <c r="C313" s="24">
        <v>1175.558</v>
      </c>
      <c r="D313" s="24">
        <v>1175.558</v>
      </c>
      <c r="E313" s="24">
        <v>1175.558</v>
      </c>
      <c r="F313" s="23">
        <f t="shared" si="4"/>
        <v>2.0927403646567497E-3</v>
      </c>
    </row>
    <row r="314" spans="1:6" x14ac:dyDescent="0.35">
      <c r="A314" s="22">
        <v>44908</v>
      </c>
      <c r="B314" s="24">
        <v>1182.914</v>
      </c>
      <c r="C314" s="24">
        <v>1182.914</v>
      </c>
      <c r="D314" s="24">
        <v>1182.914</v>
      </c>
      <c r="E314" s="24">
        <v>1182.914</v>
      </c>
      <c r="F314" s="23">
        <f t="shared" si="4"/>
        <v>6.2574539069956518E-3</v>
      </c>
    </row>
    <row r="315" spans="1:6" x14ac:dyDescent="0.35">
      <c r="A315" s="22">
        <v>44909</v>
      </c>
      <c r="B315" s="24">
        <v>1186.355</v>
      </c>
      <c r="C315" s="24">
        <v>1186.355</v>
      </c>
      <c r="D315" s="24">
        <v>1186.355</v>
      </c>
      <c r="E315" s="24">
        <v>1186.355</v>
      </c>
      <c r="F315" s="23">
        <f t="shared" si="4"/>
        <v>2.9089181462050757E-3</v>
      </c>
    </row>
    <row r="316" spans="1:6" x14ac:dyDescent="0.35">
      <c r="A316" s="22">
        <v>44910</v>
      </c>
      <c r="B316" s="24">
        <v>1173.951</v>
      </c>
      <c r="C316" s="24">
        <v>1173.951</v>
      </c>
      <c r="D316" s="24">
        <v>1173.951</v>
      </c>
      <c r="E316" s="24">
        <v>1173.951</v>
      </c>
      <c r="F316" s="23">
        <f t="shared" si="4"/>
        <v>-1.0455555040438989E-2</v>
      </c>
    </row>
    <row r="317" spans="1:6" x14ac:dyDescent="0.35">
      <c r="A317" s="22">
        <v>44911</v>
      </c>
      <c r="B317" s="24">
        <v>1162.6759999999999</v>
      </c>
      <c r="C317" s="24">
        <v>1162.6759999999999</v>
      </c>
      <c r="D317" s="24">
        <v>1162.6759999999999</v>
      </c>
      <c r="E317" s="24">
        <v>1162.6759999999999</v>
      </c>
      <c r="F317" s="23">
        <f t="shared" si="4"/>
        <v>-9.6043190899791301E-3</v>
      </c>
    </row>
    <row r="318" spans="1:6" x14ac:dyDescent="0.35">
      <c r="A318" s="22">
        <v>44914</v>
      </c>
      <c r="B318" s="24">
        <v>1170.4100000000001</v>
      </c>
      <c r="C318" s="24">
        <v>1170.4100000000001</v>
      </c>
      <c r="D318" s="24">
        <v>1170.4100000000001</v>
      </c>
      <c r="E318" s="24">
        <v>1170.4100000000001</v>
      </c>
      <c r="F318" s="23">
        <f t="shared" si="4"/>
        <v>6.6518961430356797E-3</v>
      </c>
    </row>
    <row r="319" spans="1:6" x14ac:dyDescent="0.35">
      <c r="A319" s="22">
        <v>44915</v>
      </c>
      <c r="B319" s="24">
        <v>1167.6610000000001</v>
      </c>
      <c r="C319" s="24">
        <v>1167.6610000000001</v>
      </c>
      <c r="D319" s="24">
        <v>1167.6610000000001</v>
      </c>
      <c r="E319" s="24">
        <v>1167.6610000000001</v>
      </c>
      <c r="F319" s="23">
        <f t="shared" si="4"/>
        <v>-2.3487495834793137E-3</v>
      </c>
    </row>
    <row r="320" spans="1:6" x14ac:dyDescent="0.35">
      <c r="A320" s="22">
        <v>44916</v>
      </c>
      <c r="B320" s="24">
        <v>1154.2850000000001</v>
      </c>
      <c r="C320" s="24">
        <v>1154.2850000000001</v>
      </c>
      <c r="D320" s="24">
        <v>1154.2850000000001</v>
      </c>
      <c r="E320" s="24">
        <v>1154.2850000000001</v>
      </c>
      <c r="F320" s="23">
        <f t="shared" si="4"/>
        <v>-1.145537960075739E-2</v>
      </c>
    </row>
    <row r="321" spans="1:6" x14ac:dyDescent="0.35">
      <c r="A321" s="22">
        <v>44917</v>
      </c>
      <c r="B321" s="24">
        <v>1147.2639999999999</v>
      </c>
      <c r="C321" s="24">
        <v>1147.2639999999999</v>
      </c>
      <c r="D321" s="24">
        <v>1147.2639999999999</v>
      </c>
      <c r="E321" s="24">
        <v>1147.2639999999999</v>
      </c>
      <c r="F321" s="23">
        <f t="shared" si="4"/>
        <v>-6.0825532689068864E-3</v>
      </c>
    </row>
    <row r="322" spans="1:6" x14ac:dyDescent="0.35">
      <c r="A322" s="22">
        <v>44918</v>
      </c>
      <c r="B322" s="24">
        <v>1126.9059999999999</v>
      </c>
      <c r="C322" s="24">
        <v>1126.9059999999999</v>
      </c>
      <c r="D322" s="24">
        <v>1126.9059999999999</v>
      </c>
      <c r="E322" s="24">
        <v>1126.9059999999999</v>
      </c>
      <c r="F322" s="23">
        <f t="shared" si="4"/>
        <v>-1.774482595113239E-2</v>
      </c>
    </row>
    <row r="323" spans="1:6" x14ac:dyDescent="0.35">
      <c r="A323" s="22">
        <v>44921</v>
      </c>
      <c r="B323" s="24">
        <v>1145.7729999999999</v>
      </c>
      <c r="C323" s="24">
        <v>1145.7729999999999</v>
      </c>
      <c r="D323" s="24">
        <v>1145.7729999999999</v>
      </c>
      <c r="E323" s="24">
        <v>1145.7729999999999</v>
      </c>
      <c r="F323" s="23">
        <f t="shared" ref="F323:F386" si="5">(B323-B322)/B322</f>
        <v>1.6742301487435475E-2</v>
      </c>
    </row>
    <row r="324" spans="1:6" x14ac:dyDescent="0.35">
      <c r="A324" s="22">
        <v>44922</v>
      </c>
      <c r="B324" s="24">
        <v>1151.6089999999999</v>
      </c>
      <c r="C324" s="24">
        <v>1151.6089999999999</v>
      </c>
      <c r="D324" s="24">
        <v>1151.6089999999999</v>
      </c>
      <c r="E324" s="24">
        <v>1151.6089999999999</v>
      </c>
      <c r="F324" s="23">
        <f t="shared" si="5"/>
        <v>5.093504559803742E-3</v>
      </c>
    </row>
    <row r="325" spans="1:6" x14ac:dyDescent="0.35">
      <c r="A325" s="22">
        <v>44923</v>
      </c>
      <c r="B325" s="24">
        <v>1151.423</v>
      </c>
      <c r="C325" s="24">
        <v>1151.423</v>
      </c>
      <c r="D325" s="24">
        <v>1151.423</v>
      </c>
      <c r="E325" s="24">
        <v>1151.423</v>
      </c>
      <c r="F325" s="23">
        <f t="shared" si="5"/>
        <v>-1.6151315246747968E-4</v>
      </c>
    </row>
    <row r="326" spans="1:6" x14ac:dyDescent="0.35">
      <c r="A326" s="22">
        <v>44924</v>
      </c>
      <c r="B326" s="24">
        <v>1158.481</v>
      </c>
      <c r="C326" s="24">
        <v>1158.481</v>
      </c>
      <c r="D326" s="24">
        <v>1158.481</v>
      </c>
      <c r="E326" s="24">
        <v>1158.481</v>
      </c>
      <c r="F326" s="23">
        <f t="shared" si="5"/>
        <v>6.1298063352911939E-3</v>
      </c>
    </row>
    <row r="327" spans="1:6" x14ac:dyDescent="0.35">
      <c r="A327" s="22">
        <v>44925</v>
      </c>
      <c r="B327" s="24">
        <v>1153.2049999999999</v>
      </c>
      <c r="C327" s="24">
        <v>1153.2049999999999</v>
      </c>
      <c r="D327" s="24">
        <v>1153.2049999999999</v>
      </c>
      <c r="E327" s="24">
        <v>1153.2049999999999</v>
      </c>
      <c r="F327" s="23">
        <f t="shared" si="5"/>
        <v>-4.5542395602518014E-3</v>
      </c>
    </row>
    <row r="328" spans="1:6" x14ac:dyDescent="0.35">
      <c r="A328" s="22">
        <v>44928</v>
      </c>
      <c r="B328" s="24">
        <v>1160.0550000000001</v>
      </c>
      <c r="C328" s="24">
        <v>1160.0550000000001</v>
      </c>
      <c r="D328" s="24">
        <v>1160.0550000000001</v>
      </c>
      <c r="E328" s="24">
        <v>1160.0550000000001</v>
      </c>
      <c r="F328" s="23">
        <f t="shared" si="5"/>
        <v>5.9399673085012089E-3</v>
      </c>
    </row>
    <row r="329" spans="1:6" x14ac:dyDescent="0.35">
      <c r="A329" s="22">
        <v>44929</v>
      </c>
      <c r="B329" s="24">
        <v>1162.981</v>
      </c>
      <c r="C329" s="24">
        <v>1162.981</v>
      </c>
      <c r="D329" s="24">
        <v>1162.981</v>
      </c>
      <c r="E329" s="24">
        <v>1162.981</v>
      </c>
      <c r="F329" s="23">
        <f t="shared" si="5"/>
        <v>2.5222942015679694E-3</v>
      </c>
    </row>
    <row r="330" spans="1:6" x14ac:dyDescent="0.35">
      <c r="A330" s="22">
        <v>44930</v>
      </c>
      <c r="B330" s="24">
        <v>1151.248</v>
      </c>
      <c r="C330" s="24">
        <v>1151.248</v>
      </c>
      <c r="D330" s="24">
        <v>1151.248</v>
      </c>
      <c r="E330" s="24">
        <v>1151.248</v>
      </c>
      <c r="F330" s="23">
        <f t="shared" si="5"/>
        <v>-1.0088728878631678E-2</v>
      </c>
    </row>
    <row r="331" spans="1:6" x14ac:dyDescent="0.35">
      <c r="A331" s="22">
        <v>44931</v>
      </c>
      <c r="B331" s="24">
        <v>1151.066</v>
      </c>
      <c r="C331" s="24">
        <v>1151.066</v>
      </c>
      <c r="D331" s="24">
        <v>1151.066</v>
      </c>
      <c r="E331" s="24">
        <v>1151.066</v>
      </c>
      <c r="F331" s="23">
        <f t="shared" si="5"/>
        <v>-1.5808930829848682E-4</v>
      </c>
    </row>
    <row r="332" spans="1:6" x14ac:dyDescent="0.35">
      <c r="A332" s="22">
        <v>44932</v>
      </c>
      <c r="B332" s="24">
        <v>1144.2739999999999</v>
      </c>
      <c r="C332" s="24">
        <v>1144.2739999999999</v>
      </c>
      <c r="D332" s="24">
        <v>1144.2739999999999</v>
      </c>
      <c r="E332" s="24">
        <v>1144.2739999999999</v>
      </c>
      <c r="F332" s="23">
        <f t="shared" si="5"/>
        <v>-5.9006173407955267E-3</v>
      </c>
    </row>
    <row r="333" spans="1:6" x14ac:dyDescent="0.35">
      <c r="A333" s="22">
        <v>44935</v>
      </c>
      <c r="B333" s="24">
        <v>1158.1880000000001</v>
      </c>
      <c r="C333" s="24">
        <v>1158.1880000000001</v>
      </c>
      <c r="D333" s="24">
        <v>1158.1880000000001</v>
      </c>
      <c r="E333" s="24">
        <v>1158.1880000000001</v>
      </c>
      <c r="F333" s="23">
        <f t="shared" si="5"/>
        <v>1.2159675042865796E-2</v>
      </c>
    </row>
    <row r="334" spans="1:6" x14ac:dyDescent="0.35">
      <c r="A334" s="22">
        <v>44936</v>
      </c>
      <c r="B334" s="24">
        <v>1147.6510000000001</v>
      </c>
      <c r="C334" s="24">
        <v>1147.6510000000001</v>
      </c>
      <c r="D334" s="24">
        <v>1147.6510000000001</v>
      </c>
      <c r="E334" s="24">
        <v>1147.6510000000001</v>
      </c>
      <c r="F334" s="23">
        <f t="shared" si="5"/>
        <v>-9.0978321308803345E-3</v>
      </c>
    </row>
    <row r="335" spans="1:6" x14ac:dyDescent="0.35">
      <c r="A335" s="22">
        <v>44937</v>
      </c>
      <c r="B335" s="24">
        <v>1146.1569999999999</v>
      </c>
      <c r="C335" s="24">
        <v>1146.1569999999999</v>
      </c>
      <c r="D335" s="24">
        <v>1146.1569999999999</v>
      </c>
      <c r="E335" s="24">
        <v>1146.1569999999999</v>
      </c>
      <c r="F335" s="23">
        <f t="shared" si="5"/>
        <v>-1.301789481297138E-3</v>
      </c>
    </row>
    <row r="336" spans="1:6" x14ac:dyDescent="0.35">
      <c r="A336" s="22">
        <v>44938</v>
      </c>
      <c r="B336" s="24">
        <v>1146.8610000000001</v>
      </c>
      <c r="C336" s="24">
        <v>1146.8610000000001</v>
      </c>
      <c r="D336" s="24">
        <v>1146.8610000000001</v>
      </c>
      <c r="E336" s="24">
        <v>1146.8610000000001</v>
      </c>
      <c r="F336" s="23">
        <f t="shared" si="5"/>
        <v>6.142264977661684E-4</v>
      </c>
    </row>
    <row r="337" spans="1:6" x14ac:dyDescent="0.35">
      <c r="A337" s="22">
        <v>44939</v>
      </c>
      <c r="B337" s="24">
        <v>1153.0329999999999</v>
      </c>
      <c r="C337" s="24">
        <v>1153.0329999999999</v>
      </c>
      <c r="D337" s="24">
        <v>1153.0329999999999</v>
      </c>
      <c r="E337" s="24">
        <v>1153.0329999999999</v>
      </c>
      <c r="F337" s="23">
        <f t="shared" si="5"/>
        <v>5.3816460756794396E-3</v>
      </c>
    </row>
    <row r="338" spans="1:6" x14ac:dyDescent="0.35">
      <c r="A338" s="22">
        <v>44942</v>
      </c>
      <c r="B338" s="24">
        <v>1150.0730000000001</v>
      </c>
      <c r="C338" s="24">
        <v>1150.0730000000001</v>
      </c>
      <c r="D338" s="24">
        <v>1150.0730000000001</v>
      </c>
      <c r="E338" s="24">
        <v>1150.0730000000001</v>
      </c>
      <c r="F338" s="23">
        <f t="shared" si="5"/>
        <v>-2.5671424842132091E-3</v>
      </c>
    </row>
    <row r="339" spans="1:6" x14ac:dyDescent="0.35">
      <c r="A339" s="22">
        <v>44943</v>
      </c>
      <c r="B339" s="24">
        <v>1155.0809999999999</v>
      </c>
      <c r="C339" s="24">
        <v>1155.0809999999999</v>
      </c>
      <c r="D339" s="24">
        <v>1155.0809999999999</v>
      </c>
      <c r="E339" s="24">
        <v>1155.0809999999999</v>
      </c>
      <c r="F339" s="23">
        <f t="shared" si="5"/>
        <v>4.3545061922154599E-3</v>
      </c>
    </row>
    <row r="340" spans="1:6" x14ac:dyDescent="0.35">
      <c r="A340" s="22">
        <v>44944</v>
      </c>
      <c r="B340" s="24">
        <v>1160.077</v>
      </c>
      <c r="C340" s="24">
        <v>1160.077</v>
      </c>
      <c r="D340" s="24">
        <v>1160.077</v>
      </c>
      <c r="E340" s="24">
        <v>1160.077</v>
      </c>
      <c r="F340" s="23">
        <f t="shared" si="5"/>
        <v>4.3252377971762113E-3</v>
      </c>
    </row>
    <row r="341" spans="1:6" x14ac:dyDescent="0.35">
      <c r="A341" s="22">
        <v>44945</v>
      </c>
      <c r="B341" s="24">
        <v>1160.5650000000001</v>
      </c>
      <c r="C341" s="24">
        <v>1160.5650000000001</v>
      </c>
      <c r="D341" s="24">
        <v>1160.5650000000001</v>
      </c>
      <c r="E341" s="24">
        <v>1160.5650000000001</v>
      </c>
      <c r="F341" s="23">
        <f t="shared" si="5"/>
        <v>4.20661731936808E-4</v>
      </c>
    </row>
    <row r="342" spans="1:6" x14ac:dyDescent="0.35">
      <c r="A342" s="22">
        <v>44946</v>
      </c>
      <c r="B342" s="24">
        <v>1159.4760000000001</v>
      </c>
      <c r="C342" s="24">
        <v>1159.4760000000001</v>
      </c>
      <c r="D342" s="24">
        <v>1159.4760000000001</v>
      </c>
      <c r="E342" s="24">
        <v>1159.4760000000001</v>
      </c>
      <c r="F342" s="23">
        <f t="shared" si="5"/>
        <v>-9.3833606906975633E-4</v>
      </c>
    </row>
    <row r="343" spans="1:6" x14ac:dyDescent="0.35">
      <c r="A343" s="22">
        <v>44949</v>
      </c>
      <c r="B343" s="24">
        <v>1165.8820000000001</v>
      </c>
      <c r="C343" s="24">
        <v>1165.8820000000001</v>
      </c>
      <c r="D343" s="24">
        <v>1165.8820000000001</v>
      </c>
      <c r="E343" s="24">
        <v>1165.8820000000001</v>
      </c>
      <c r="F343" s="23">
        <f t="shared" si="5"/>
        <v>5.5249095280971309E-3</v>
      </c>
    </row>
    <row r="344" spans="1:6" x14ac:dyDescent="0.35">
      <c r="A344" s="22">
        <v>44950</v>
      </c>
      <c r="B344" s="24">
        <v>1162.2180000000001</v>
      </c>
      <c r="C344" s="24">
        <v>1162.2180000000001</v>
      </c>
      <c r="D344" s="24">
        <v>1162.2180000000001</v>
      </c>
      <c r="E344" s="24">
        <v>1162.2180000000001</v>
      </c>
      <c r="F344" s="23">
        <f t="shared" si="5"/>
        <v>-3.142685108784583E-3</v>
      </c>
    </row>
    <row r="345" spans="1:6" x14ac:dyDescent="0.35">
      <c r="A345" s="22">
        <v>44951</v>
      </c>
      <c r="B345" s="24">
        <v>1144.9739999999999</v>
      </c>
      <c r="C345" s="24">
        <v>1144.9739999999999</v>
      </c>
      <c r="D345" s="24">
        <v>1144.9739999999999</v>
      </c>
      <c r="E345" s="24">
        <v>1144.9739999999999</v>
      </c>
      <c r="F345" s="23">
        <f t="shared" si="5"/>
        <v>-1.4837147591932099E-2</v>
      </c>
    </row>
    <row r="346" spans="1:6" x14ac:dyDescent="0.35">
      <c r="A346" s="22">
        <v>44953</v>
      </c>
      <c r="B346" s="24">
        <v>1126.3109999999999</v>
      </c>
      <c r="C346" s="24">
        <v>1126.3109999999999</v>
      </c>
      <c r="D346" s="24">
        <v>1126.3109999999999</v>
      </c>
      <c r="E346" s="24">
        <v>1126.3109999999999</v>
      </c>
      <c r="F346" s="23">
        <f t="shared" si="5"/>
        <v>-1.6299933448270451E-2</v>
      </c>
    </row>
    <row r="347" spans="1:6" x14ac:dyDescent="0.35">
      <c r="A347" s="22">
        <v>44956</v>
      </c>
      <c r="B347" s="24">
        <v>1126.7619999999999</v>
      </c>
      <c r="C347" s="24">
        <v>1126.7619999999999</v>
      </c>
      <c r="D347" s="24">
        <v>1126.7619999999999</v>
      </c>
      <c r="E347" s="24">
        <v>1126.7619999999999</v>
      </c>
      <c r="F347" s="23">
        <f t="shared" si="5"/>
        <v>4.0042226347786875E-4</v>
      </c>
    </row>
    <row r="348" spans="1:6" x14ac:dyDescent="0.35">
      <c r="A348" s="22">
        <v>44957</v>
      </c>
      <c r="B348" s="24">
        <v>1135.9570000000001</v>
      </c>
      <c r="C348" s="24">
        <v>1135.9570000000001</v>
      </c>
      <c r="D348" s="24">
        <v>1135.9570000000001</v>
      </c>
      <c r="E348" s="24">
        <v>1135.9570000000001</v>
      </c>
      <c r="F348" s="23">
        <f t="shared" si="5"/>
        <v>8.1605520952962238E-3</v>
      </c>
    </row>
    <row r="349" spans="1:6" x14ac:dyDescent="0.35">
      <c r="A349" s="22">
        <v>44958</v>
      </c>
      <c r="B349" s="24">
        <v>1126.691</v>
      </c>
      <c r="C349" s="24">
        <v>1126.691</v>
      </c>
      <c r="D349" s="24">
        <v>1126.691</v>
      </c>
      <c r="E349" s="24">
        <v>1126.691</v>
      </c>
      <c r="F349" s="23">
        <f t="shared" si="5"/>
        <v>-8.1569989004866162E-3</v>
      </c>
    </row>
    <row r="350" spans="1:6" x14ac:dyDescent="0.35">
      <c r="A350" s="22">
        <v>44959</v>
      </c>
      <c r="B350" s="24">
        <v>1127.835</v>
      </c>
      <c r="C350" s="24">
        <v>1127.835</v>
      </c>
      <c r="D350" s="24">
        <v>1127.835</v>
      </c>
      <c r="E350" s="24">
        <v>1127.835</v>
      </c>
      <c r="F350" s="23">
        <f t="shared" si="5"/>
        <v>1.0153626859538288E-3</v>
      </c>
    </row>
    <row r="351" spans="1:6" x14ac:dyDescent="0.35">
      <c r="A351" s="22">
        <v>44960</v>
      </c>
      <c r="B351" s="24">
        <v>1139.7750000000001</v>
      </c>
      <c r="C351" s="24">
        <v>1139.7750000000001</v>
      </c>
      <c r="D351" s="24">
        <v>1139.7750000000001</v>
      </c>
      <c r="E351" s="24">
        <v>1139.7750000000001</v>
      </c>
      <c r="F351" s="23">
        <f t="shared" si="5"/>
        <v>1.0586654962827057E-2</v>
      </c>
    </row>
    <row r="352" spans="1:6" x14ac:dyDescent="0.35">
      <c r="A352" s="22">
        <v>44963</v>
      </c>
      <c r="B352" s="24">
        <v>1138.586</v>
      </c>
      <c r="C352" s="24">
        <v>1138.586</v>
      </c>
      <c r="D352" s="24">
        <v>1138.586</v>
      </c>
      <c r="E352" s="24">
        <v>1138.586</v>
      </c>
      <c r="F352" s="23">
        <f t="shared" si="5"/>
        <v>-1.0431883485776388E-3</v>
      </c>
    </row>
    <row r="353" spans="1:6" x14ac:dyDescent="0.35">
      <c r="A353" s="22">
        <v>44964</v>
      </c>
      <c r="B353" s="24">
        <v>1136.0340000000001</v>
      </c>
      <c r="C353" s="24">
        <v>1136.0340000000001</v>
      </c>
      <c r="D353" s="24">
        <v>1136.0340000000001</v>
      </c>
      <c r="E353" s="24">
        <v>1136.0340000000001</v>
      </c>
      <c r="F353" s="23">
        <f t="shared" si="5"/>
        <v>-2.2413765846408681E-3</v>
      </c>
    </row>
    <row r="354" spans="1:6" x14ac:dyDescent="0.35">
      <c r="A354" s="22">
        <v>44965</v>
      </c>
      <c r="B354" s="24">
        <v>1140.981</v>
      </c>
      <c r="C354" s="24">
        <v>1140.981</v>
      </c>
      <c r="D354" s="24">
        <v>1140.981</v>
      </c>
      <c r="E354" s="24">
        <v>1140.981</v>
      </c>
      <c r="F354" s="23">
        <f t="shared" si="5"/>
        <v>4.3546231890945943E-3</v>
      </c>
    </row>
    <row r="355" spans="1:6" x14ac:dyDescent="0.35">
      <c r="A355" s="22">
        <v>44966</v>
      </c>
      <c r="B355" s="24">
        <v>1141.81</v>
      </c>
      <c r="C355" s="24">
        <v>1141.81</v>
      </c>
      <c r="D355" s="24">
        <v>1141.81</v>
      </c>
      <c r="E355" s="24">
        <v>1141.81</v>
      </c>
      <c r="F355" s="23">
        <f t="shared" si="5"/>
        <v>7.2656775178548186E-4</v>
      </c>
    </row>
    <row r="356" spans="1:6" x14ac:dyDescent="0.35">
      <c r="A356" s="22">
        <v>44967</v>
      </c>
      <c r="B356" s="24">
        <v>1140.0450000000001</v>
      </c>
      <c r="C356" s="24">
        <v>1140.0450000000001</v>
      </c>
      <c r="D356" s="24">
        <v>1140.0450000000001</v>
      </c>
      <c r="E356" s="24">
        <v>1140.0450000000001</v>
      </c>
      <c r="F356" s="23">
        <f t="shared" si="5"/>
        <v>-1.5457913313071988E-3</v>
      </c>
    </row>
    <row r="357" spans="1:6" x14ac:dyDescent="0.35">
      <c r="A357" s="22">
        <v>44970</v>
      </c>
      <c r="B357" s="24">
        <v>1133.4829999999999</v>
      </c>
      <c r="C357" s="24">
        <v>1133.4829999999999</v>
      </c>
      <c r="D357" s="24">
        <v>1133.4829999999999</v>
      </c>
      <c r="E357" s="24">
        <v>1133.4829999999999</v>
      </c>
      <c r="F357" s="23">
        <f t="shared" si="5"/>
        <v>-5.7559131437795218E-3</v>
      </c>
    </row>
    <row r="358" spans="1:6" x14ac:dyDescent="0.35">
      <c r="A358" s="22">
        <v>44971</v>
      </c>
      <c r="B358" s="24">
        <v>1138.077</v>
      </c>
      <c r="C358" s="24">
        <v>1138.077</v>
      </c>
      <c r="D358" s="24">
        <v>1138.077</v>
      </c>
      <c r="E358" s="24">
        <v>1138.077</v>
      </c>
      <c r="F358" s="23">
        <f t="shared" si="5"/>
        <v>4.0529941781218166E-3</v>
      </c>
    </row>
    <row r="359" spans="1:6" x14ac:dyDescent="0.35">
      <c r="A359" s="22">
        <v>44972</v>
      </c>
      <c r="B359" s="24">
        <v>1144.8589999999999</v>
      </c>
      <c r="C359" s="24">
        <v>1144.8589999999999</v>
      </c>
      <c r="D359" s="24">
        <v>1144.8589999999999</v>
      </c>
      <c r="E359" s="24">
        <v>1144.8589999999999</v>
      </c>
      <c r="F359" s="23">
        <f t="shared" si="5"/>
        <v>5.9591749943105126E-3</v>
      </c>
    </row>
    <row r="360" spans="1:6" x14ac:dyDescent="0.35">
      <c r="A360" s="22">
        <v>44973</v>
      </c>
      <c r="B360" s="24">
        <v>1152.5719999999999</v>
      </c>
      <c r="C360" s="24">
        <v>1152.5719999999999</v>
      </c>
      <c r="D360" s="24">
        <v>1152.5719999999999</v>
      </c>
      <c r="E360" s="24">
        <v>1152.5719999999999</v>
      </c>
      <c r="F360" s="23">
        <f t="shared" si="5"/>
        <v>6.7370741724526477E-3</v>
      </c>
    </row>
    <row r="361" spans="1:6" x14ac:dyDescent="0.35">
      <c r="A361" s="22">
        <v>44974</v>
      </c>
      <c r="B361" s="24">
        <v>1145.2249999999999</v>
      </c>
      <c r="C361" s="24">
        <v>1145.2249999999999</v>
      </c>
      <c r="D361" s="24">
        <v>1145.2249999999999</v>
      </c>
      <c r="E361" s="24">
        <v>1145.2249999999999</v>
      </c>
      <c r="F361" s="23">
        <f t="shared" si="5"/>
        <v>-6.3744390805953819E-3</v>
      </c>
    </row>
    <row r="362" spans="1:6" x14ac:dyDescent="0.35">
      <c r="A362" s="22">
        <v>44977</v>
      </c>
      <c r="B362" s="24">
        <v>1140.193</v>
      </c>
      <c r="C362" s="24">
        <v>1140.193</v>
      </c>
      <c r="D362" s="24">
        <v>1140.193</v>
      </c>
      <c r="E362" s="24">
        <v>1140.193</v>
      </c>
      <c r="F362" s="23">
        <f t="shared" si="5"/>
        <v>-4.3938963959046697E-3</v>
      </c>
    </row>
    <row r="363" spans="1:6" x14ac:dyDescent="0.35">
      <c r="A363" s="22">
        <v>44978</v>
      </c>
      <c r="B363" s="24">
        <v>1139.3489999999999</v>
      </c>
      <c r="C363" s="24">
        <v>1139.3489999999999</v>
      </c>
      <c r="D363" s="24">
        <v>1139.3489999999999</v>
      </c>
      <c r="E363" s="24">
        <v>1139.3489999999999</v>
      </c>
      <c r="F363" s="23">
        <f t="shared" si="5"/>
        <v>-7.4022555830464748E-4</v>
      </c>
    </row>
    <row r="364" spans="1:6" x14ac:dyDescent="0.35">
      <c r="A364" s="22">
        <v>44979</v>
      </c>
      <c r="B364" s="24">
        <v>1125.098</v>
      </c>
      <c r="C364" s="24">
        <v>1125.098</v>
      </c>
      <c r="D364" s="24">
        <v>1125.098</v>
      </c>
      <c r="E364" s="24">
        <v>1125.098</v>
      </c>
      <c r="F364" s="23">
        <f t="shared" si="5"/>
        <v>-1.2508019930679693E-2</v>
      </c>
    </row>
    <row r="365" spans="1:6" x14ac:dyDescent="0.35">
      <c r="A365" s="22">
        <v>44980</v>
      </c>
      <c r="B365" s="24">
        <v>1124.328</v>
      </c>
      <c r="C365" s="24">
        <v>1124.328</v>
      </c>
      <c r="D365" s="24">
        <v>1124.328</v>
      </c>
      <c r="E365" s="24">
        <v>1124.328</v>
      </c>
      <c r="F365" s="23">
        <f t="shared" si="5"/>
        <v>-6.8438482692172761E-4</v>
      </c>
    </row>
    <row r="366" spans="1:6" x14ac:dyDescent="0.35">
      <c r="A366" s="22">
        <v>44981</v>
      </c>
      <c r="B366" s="24">
        <v>1122.6869999999999</v>
      </c>
      <c r="C366" s="24">
        <v>1122.6869999999999</v>
      </c>
      <c r="D366" s="24">
        <v>1122.6869999999999</v>
      </c>
      <c r="E366" s="24">
        <v>1122.6869999999999</v>
      </c>
      <c r="F366" s="23">
        <f t="shared" si="5"/>
        <v>-1.4595384976626717E-3</v>
      </c>
    </row>
    <row r="367" spans="1:6" x14ac:dyDescent="0.35">
      <c r="A367" s="22">
        <v>44985</v>
      </c>
      <c r="B367" s="24">
        <v>1114.6389999999999</v>
      </c>
      <c r="C367" s="24">
        <v>1114.6389999999999</v>
      </c>
      <c r="D367" s="24">
        <v>1114.6389999999999</v>
      </c>
      <c r="E367" s="24">
        <v>1114.6389999999999</v>
      </c>
      <c r="F367" s="23">
        <f t="shared" si="5"/>
        <v>-7.1685162471819865E-3</v>
      </c>
    </row>
    <row r="368" spans="1:6" x14ac:dyDescent="0.35">
      <c r="A368" s="22">
        <v>44986</v>
      </c>
      <c r="B368" s="24">
        <v>1125.171</v>
      </c>
      <c r="C368" s="24">
        <v>1125.171</v>
      </c>
      <c r="D368" s="24">
        <v>1125.171</v>
      </c>
      <c r="E368" s="24">
        <v>1125.171</v>
      </c>
      <c r="F368" s="23">
        <f t="shared" si="5"/>
        <v>9.4487991179208284E-3</v>
      </c>
    </row>
    <row r="369" spans="1:6" x14ac:dyDescent="0.35">
      <c r="A369" s="22">
        <v>44987</v>
      </c>
      <c r="B369" s="24">
        <v>1119.116</v>
      </c>
      <c r="C369" s="24">
        <v>1119.116</v>
      </c>
      <c r="D369" s="24">
        <v>1119.116</v>
      </c>
      <c r="E369" s="24">
        <v>1119.116</v>
      </c>
      <c r="F369" s="23">
        <f t="shared" si="5"/>
        <v>-5.3814042487764649E-3</v>
      </c>
    </row>
    <row r="370" spans="1:6" x14ac:dyDescent="0.35">
      <c r="A370" s="22">
        <v>44988</v>
      </c>
      <c r="B370" s="24">
        <v>1133.2439999999999</v>
      </c>
      <c r="C370" s="24">
        <v>1133.2439999999999</v>
      </c>
      <c r="D370" s="24">
        <v>1133.2439999999999</v>
      </c>
      <c r="E370" s="24">
        <v>1133.2439999999999</v>
      </c>
      <c r="F370" s="23">
        <f t="shared" si="5"/>
        <v>1.2624249854349262E-2</v>
      </c>
    </row>
    <row r="371" spans="1:6" x14ac:dyDescent="0.35">
      <c r="A371" s="22">
        <v>44991</v>
      </c>
      <c r="B371" s="24">
        <v>1140.1210000000001</v>
      </c>
      <c r="C371" s="24">
        <v>1140.1210000000001</v>
      </c>
      <c r="D371" s="24">
        <v>1140.1210000000001</v>
      </c>
      <c r="E371" s="24">
        <v>1140.1210000000001</v>
      </c>
      <c r="F371" s="23">
        <f t="shared" si="5"/>
        <v>6.0684195107145334E-3</v>
      </c>
    </row>
    <row r="372" spans="1:6" x14ac:dyDescent="0.35">
      <c r="A372" s="22">
        <v>44993</v>
      </c>
      <c r="B372" s="24">
        <v>1143.6890000000001</v>
      </c>
      <c r="C372" s="24">
        <v>1143.6890000000001</v>
      </c>
      <c r="D372" s="24">
        <v>1143.6890000000001</v>
      </c>
      <c r="E372" s="24">
        <v>1143.6890000000001</v>
      </c>
      <c r="F372" s="23">
        <f t="shared" si="5"/>
        <v>3.129492395982517E-3</v>
      </c>
    </row>
    <row r="373" spans="1:6" x14ac:dyDescent="0.35">
      <c r="A373" s="22">
        <v>44994</v>
      </c>
      <c r="B373" s="24">
        <v>1137.1890000000001</v>
      </c>
      <c r="C373" s="24">
        <v>1137.1890000000001</v>
      </c>
      <c r="D373" s="24">
        <v>1137.1890000000001</v>
      </c>
      <c r="E373" s="24">
        <v>1137.1890000000001</v>
      </c>
      <c r="F373" s="23">
        <f t="shared" si="5"/>
        <v>-5.68336322199479E-3</v>
      </c>
    </row>
    <row r="374" spans="1:6" x14ac:dyDescent="0.35">
      <c r="A374" s="22">
        <v>44995</v>
      </c>
      <c r="B374" s="24">
        <v>1127.2909999999999</v>
      </c>
      <c r="C374" s="24">
        <v>1127.2909999999999</v>
      </c>
      <c r="D374" s="24">
        <v>1127.2909999999999</v>
      </c>
      <c r="E374" s="24">
        <v>1127.2909999999999</v>
      </c>
      <c r="F374" s="23">
        <f t="shared" si="5"/>
        <v>-8.7039181701547737E-3</v>
      </c>
    </row>
    <row r="375" spans="1:6" x14ac:dyDescent="0.35">
      <c r="A375" s="22">
        <v>44998</v>
      </c>
      <c r="B375" s="24">
        <v>1111.7950000000001</v>
      </c>
      <c r="C375" s="24">
        <v>1111.7950000000001</v>
      </c>
      <c r="D375" s="24">
        <v>1111.7950000000001</v>
      </c>
      <c r="E375" s="24">
        <v>1111.7950000000001</v>
      </c>
      <c r="F375" s="23">
        <f t="shared" si="5"/>
        <v>-1.3746228790968675E-2</v>
      </c>
    </row>
    <row r="376" spans="1:6" x14ac:dyDescent="0.35">
      <c r="A376" s="22">
        <v>44999</v>
      </c>
      <c r="B376" s="24">
        <v>1106.8030000000001</v>
      </c>
      <c r="C376" s="24">
        <v>1106.8030000000001</v>
      </c>
      <c r="D376" s="24">
        <v>1106.8030000000001</v>
      </c>
      <c r="E376" s="24">
        <v>1106.8030000000001</v>
      </c>
      <c r="F376" s="23">
        <f t="shared" si="5"/>
        <v>-4.490036382606471E-3</v>
      </c>
    </row>
    <row r="377" spans="1:6" x14ac:dyDescent="0.35">
      <c r="A377" s="22">
        <v>45000</v>
      </c>
      <c r="B377" s="24">
        <v>1102.7860000000001</v>
      </c>
      <c r="C377" s="24">
        <v>1102.7860000000001</v>
      </c>
      <c r="D377" s="24">
        <v>1102.7860000000001</v>
      </c>
      <c r="E377" s="24">
        <v>1102.7860000000001</v>
      </c>
      <c r="F377" s="23">
        <f t="shared" si="5"/>
        <v>-3.6293721646942158E-3</v>
      </c>
    </row>
    <row r="378" spans="1:6" x14ac:dyDescent="0.35">
      <c r="A378" s="22">
        <v>45001</v>
      </c>
      <c r="B378" s="24">
        <v>1103.6590000000001</v>
      </c>
      <c r="C378" s="24">
        <v>1103.6590000000001</v>
      </c>
      <c r="D378" s="24">
        <v>1103.6590000000001</v>
      </c>
      <c r="E378" s="24">
        <v>1103.6590000000001</v>
      </c>
      <c r="F378" s="23">
        <f t="shared" si="5"/>
        <v>7.9163137725728043E-4</v>
      </c>
    </row>
    <row r="379" spans="1:6" x14ac:dyDescent="0.35">
      <c r="A379" s="22">
        <v>45002</v>
      </c>
      <c r="B379" s="24">
        <v>1112.499</v>
      </c>
      <c r="C379" s="24">
        <v>1112.499</v>
      </c>
      <c r="D379" s="24">
        <v>1112.499</v>
      </c>
      <c r="E379" s="24">
        <v>1112.499</v>
      </c>
      <c r="F379" s="23">
        <f t="shared" si="5"/>
        <v>8.0097203937084891E-3</v>
      </c>
    </row>
    <row r="380" spans="1:6" x14ac:dyDescent="0.35">
      <c r="A380" s="22">
        <v>45005</v>
      </c>
      <c r="B380" s="24">
        <v>1103.8109999999999</v>
      </c>
      <c r="C380" s="24">
        <v>1103.8109999999999</v>
      </c>
      <c r="D380" s="24">
        <v>1103.8109999999999</v>
      </c>
      <c r="E380" s="24">
        <v>1103.8109999999999</v>
      </c>
      <c r="F380" s="23">
        <f t="shared" si="5"/>
        <v>-7.8094452219733242E-3</v>
      </c>
    </row>
    <row r="381" spans="1:6" x14ac:dyDescent="0.35">
      <c r="A381" s="22">
        <v>45006</v>
      </c>
      <c r="B381" s="24">
        <v>1109.46</v>
      </c>
      <c r="C381" s="24">
        <v>1109.46</v>
      </c>
      <c r="D381" s="24">
        <v>1109.46</v>
      </c>
      <c r="E381" s="24">
        <v>1109.46</v>
      </c>
      <c r="F381" s="23">
        <f t="shared" si="5"/>
        <v>5.1177239581777266E-3</v>
      </c>
    </row>
    <row r="382" spans="1:6" x14ac:dyDescent="0.35">
      <c r="A382" s="22">
        <v>45007</v>
      </c>
      <c r="B382" s="24">
        <v>1110.76</v>
      </c>
      <c r="C382" s="24">
        <v>1110.76</v>
      </c>
      <c r="D382" s="24">
        <v>1110.76</v>
      </c>
      <c r="E382" s="24">
        <v>1110.76</v>
      </c>
      <c r="F382" s="23">
        <f t="shared" si="5"/>
        <v>1.1717412074342063E-3</v>
      </c>
    </row>
    <row r="383" spans="1:6" x14ac:dyDescent="0.35">
      <c r="A383" s="22">
        <v>45008</v>
      </c>
      <c r="B383" s="24">
        <v>1104.979</v>
      </c>
      <c r="C383" s="24">
        <v>1104.979</v>
      </c>
      <c r="D383" s="24">
        <v>1104.979</v>
      </c>
      <c r="E383" s="24">
        <v>1104.979</v>
      </c>
      <c r="F383" s="23">
        <f t="shared" si="5"/>
        <v>-5.2045446361049632E-3</v>
      </c>
    </row>
    <row r="384" spans="1:6" x14ac:dyDescent="0.35">
      <c r="A384" s="22">
        <v>45009</v>
      </c>
      <c r="B384" s="24">
        <v>1099.5150000000001</v>
      </c>
      <c r="C384" s="24">
        <v>1099.5150000000001</v>
      </c>
      <c r="D384" s="24">
        <v>1099.5150000000001</v>
      </c>
      <c r="E384" s="24">
        <v>1099.5150000000001</v>
      </c>
      <c r="F384" s="23">
        <f t="shared" si="5"/>
        <v>-4.9448903553822665E-3</v>
      </c>
    </row>
    <row r="385" spans="1:6" x14ac:dyDescent="0.35">
      <c r="A385" s="22">
        <v>45012</v>
      </c>
      <c r="B385" s="24">
        <v>1099.94</v>
      </c>
      <c r="C385" s="24">
        <v>1099.94</v>
      </c>
      <c r="D385" s="24">
        <v>1099.94</v>
      </c>
      <c r="E385" s="24">
        <v>1099.94</v>
      </c>
      <c r="F385" s="23">
        <f t="shared" si="5"/>
        <v>3.8653406274580563E-4</v>
      </c>
    </row>
    <row r="386" spans="1:6" x14ac:dyDescent="0.35">
      <c r="A386" s="22">
        <v>45013</v>
      </c>
      <c r="B386" s="24">
        <v>1095.8009999999999</v>
      </c>
      <c r="C386" s="24">
        <v>1095.8009999999999</v>
      </c>
      <c r="D386" s="24">
        <v>1095.8009999999999</v>
      </c>
      <c r="E386" s="24">
        <v>1095.8009999999999</v>
      </c>
      <c r="F386" s="23">
        <f t="shared" si="5"/>
        <v>-3.762932523592308E-3</v>
      </c>
    </row>
    <row r="387" spans="1:6" x14ac:dyDescent="0.35">
      <c r="A387" s="22">
        <v>45014</v>
      </c>
      <c r="B387" s="24">
        <v>1106.0920000000001</v>
      </c>
      <c r="C387" s="24">
        <v>1106.0920000000001</v>
      </c>
      <c r="D387" s="24">
        <v>1106.0920000000001</v>
      </c>
      <c r="E387" s="24">
        <v>1106.0920000000001</v>
      </c>
      <c r="F387" s="23">
        <f t="shared" ref="F387:F450" si="6">(B387-B386)/B386</f>
        <v>9.3913037129918376E-3</v>
      </c>
    </row>
    <row r="388" spans="1:6" x14ac:dyDescent="0.35">
      <c r="A388" s="22">
        <v>45016</v>
      </c>
      <c r="B388" s="24">
        <v>1121.5119999999999</v>
      </c>
      <c r="C388" s="24">
        <v>1121.5119999999999</v>
      </c>
      <c r="D388" s="24">
        <v>1121.5119999999999</v>
      </c>
      <c r="E388" s="24">
        <v>1121.5119999999999</v>
      </c>
      <c r="F388" s="23">
        <f t="shared" si="6"/>
        <v>1.3940974168513871E-2</v>
      </c>
    </row>
    <row r="389" spans="1:6" x14ac:dyDescent="0.35">
      <c r="A389" s="22">
        <v>45019</v>
      </c>
      <c r="B389" s="24">
        <v>1124.829</v>
      </c>
      <c r="C389" s="24">
        <v>1124.829</v>
      </c>
      <c r="D389" s="24">
        <v>1124.829</v>
      </c>
      <c r="E389" s="24">
        <v>1124.829</v>
      </c>
      <c r="F389" s="23">
        <f t="shared" si="6"/>
        <v>2.9576143634664699E-3</v>
      </c>
    </row>
    <row r="390" spans="1:6" x14ac:dyDescent="0.35">
      <c r="A390" s="22">
        <v>45021</v>
      </c>
      <c r="B390" s="24">
        <v>1128.2360000000001</v>
      </c>
      <c r="C390" s="24">
        <v>1128.2360000000001</v>
      </c>
      <c r="D390" s="24">
        <v>1128.2360000000001</v>
      </c>
      <c r="E390" s="24">
        <v>1128.2360000000001</v>
      </c>
      <c r="F390" s="23">
        <f t="shared" si="6"/>
        <v>3.0289048379799535E-3</v>
      </c>
    </row>
    <row r="391" spans="1:6" x14ac:dyDescent="0.35">
      <c r="A391" s="22">
        <v>45022</v>
      </c>
      <c r="B391" s="24">
        <v>1129.7919999999999</v>
      </c>
      <c r="C391" s="24">
        <v>1129.7919999999999</v>
      </c>
      <c r="D391" s="24">
        <v>1129.7919999999999</v>
      </c>
      <c r="E391" s="24">
        <v>1129.7919999999999</v>
      </c>
      <c r="F391" s="23">
        <f t="shared" si="6"/>
        <v>1.3791440797845597E-3</v>
      </c>
    </row>
    <row r="392" spans="1:6" x14ac:dyDescent="0.35">
      <c r="A392" s="22">
        <v>45026</v>
      </c>
      <c r="B392" s="24">
        <v>1134.662</v>
      </c>
      <c r="C392" s="24">
        <v>1134.662</v>
      </c>
      <c r="D392" s="24">
        <v>1134.662</v>
      </c>
      <c r="E392" s="24">
        <v>1134.662</v>
      </c>
      <c r="F392" s="23">
        <f t="shared" si="6"/>
        <v>4.3105279555883903E-3</v>
      </c>
    </row>
    <row r="393" spans="1:6" x14ac:dyDescent="0.35">
      <c r="A393" s="22">
        <v>45027</v>
      </c>
      <c r="B393" s="24">
        <v>1139.9190000000001</v>
      </c>
      <c r="C393" s="24">
        <v>1139.9190000000001</v>
      </c>
      <c r="D393" s="24">
        <v>1139.9190000000001</v>
      </c>
      <c r="E393" s="24">
        <v>1139.9190000000001</v>
      </c>
      <c r="F393" s="23">
        <f t="shared" si="6"/>
        <v>4.6330977859486448E-3</v>
      </c>
    </row>
    <row r="394" spans="1:6" x14ac:dyDescent="0.35">
      <c r="A394" s="22">
        <v>45028</v>
      </c>
      <c r="B394" s="24">
        <v>1143.8820000000001</v>
      </c>
      <c r="C394" s="24">
        <v>1143.8820000000001</v>
      </c>
      <c r="D394" s="24">
        <v>1143.8820000000001</v>
      </c>
      <c r="E394" s="24">
        <v>1143.8820000000001</v>
      </c>
      <c r="F394" s="23">
        <f t="shared" si="6"/>
        <v>3.4765628084100406E-3</v>
      </c>
    </row>
    <row r="395" spans="1:6" x14ac:dyDescent="0.35">
      <c r="A395" s="22">
        <v>45029</v>
      </c>
      <c r="B395" s="24">
        <v>1142.558</v>
      </c>
      <c r="C395" s="24">
        <v>1142.558</v>
      </c>
      <c r="D395" s="24">
        <v>1142.558</v>
      </c>
      <c r="E395" s="24">
        <v>1142.558</v>
      </c>
      <c r="F395" s="23">
        <f t="shared" si="6"/>
        <v>-1.1574620459103902E-3</v>
      </c>
    </row>
    <row r="396" spans="1:6" x14ac:dyDescent="0.35">
      <c r="A396" s="22">
        <v>45033</v>
      </c>
      <c r="B396" s="24">
        <v>1134.193</v>
      </c>
      <c r="C396" s="24">
        <v>1134.193</v>
      </c>
      <c r="D396" s="24">
        <v>1134.193</v>
      </c>
      <c r="E396" s="24">
        <v>1134.193</v>
      </c>
      <c r="F396" s="23">
        <f t="shared" si="6"/>
        <v>-7.3212913480103494E-3</v>
      </c>
    </row>
    <row r="397" spans="1:6" x14ac:dyDescent="0.35">
      <c r="A397" s="22">
        <v>45034</v>
      </c>
      <c r="B397" s="24">
        <v>1135.019</v>
      </c>
      <c r="C397" s="24">
        <v>1135.019</v>
      </c>
      <c r="D397" s="24">
        <v>1135.019</v>
      </c>
      <c r="E397" s="24">
        <v>1135.019</v>
      </c>
      <c r="F397" s="23">
        <f t="shared" si="6"/>
        <v>7.2827111435180944E-4</v>
      </c>
    </row>
    <row r="398" spans="1:6" x14ac:dyDescent="0.35">
      <c r="A398" s="22">
        <v>45035</v>
      </c>
      <c r="B398" s="24">
        <v>1130.1400000000001</v>
      </c>
      <c r="C398" s="24">
        <v>1130.1400000000001</v>
      </c>
      <c r="D398" s="24">
        <v>1130.1400000000001</v>
      </c>
      <c r="E398" s="24">
        <v>1130.1400000000001</v>
      </c>
      <c r="F398" s="23">
        <f t="shared" si="6"/>
        <v>-4.2986064550460433E-3</v>
      </c>
    </row>
    <row r="399" spans="1:6" x14ac:dyDescent="0.35">
      <c r="A399" s="22">
        <v>45036</v>
      </c>
      <c r="B399" s="24">
        <v>1132.28</v>
      </c>
      <c r="C399" s="24">
        <v>1132.28</v>
      </c>
      <c r="D399" s="24">
        <v>1132.28</v>
      </c>
      <c r="E399" s="24">
        <v>1132.28</v>
      </c>
      <c r="F399" s="23">
        <f t="shared" si="6"/>
        <v>1.8935707080537567E-3</v>
      </c>
    </row>
    <row r="400" spans="1:6" x14ac:dyDescent="0.35">
      <c r="A400" s="22">
        <v>45037</v>
      </c>
      <c r="B400" s="24">
        <v>1131.2650000000001</v>
      </c>
      <c r="C400" s="24">
        <v>1131.2650000000001</v>
      </c>
      <c r="D400" s="24">
        <v>1131.2650000000001</v>
      </c>
      <c r="E400" s="24">
        <v>1131.2650000000001</v>
      </c>
      <c r="F400" s="23">
        <f t="shared" si="6"/>
        <v>-8.9642137987059093E-4</v>
      </c>
    </row>
    <row r="401" spans="1:6" x14ac:dyDescent="0.35">
      <c r="A401" s="22">
        <v>45040</v>
      </c>
      <c r="B401" s="24">
        <v>1139.309</v>
      </c>
      <c r="C401" s="24">
        <v>1139.309</v>
      </c>
      <c r="D401" s="24">
        <v>1139.309</v>
      </c>
      <c r="E401" s="24">
        <v>1139.309</v>
      </c>
      <c r="F401" s="23">
        <f t="shared" si="6"/>
        <v>7.1106239475276509E-3</v>
      </c>
    </row>
    <row r="402" spans="1:6" x14ac:dyDescent="0.35">
      <c r="A402" s="22">
        <v>45041</v>
      </c>
      <c r="B402" s="24">
        <v>1142.23</v>
      </c>
      <c r="C402" s="24">
        <v>1142.23</v>
      </c>
      <c r="D402" s="24">
        <v>1142.23</v>
      </c>
      <c r="E402" s="24">
        <v>1142.23</v>
      </c>
      <c r="F402" s="23">
        <f t="shared" si="6"/>
        <v>2.5638347454466251E-3</v>
      </c>
    </row>
    <row r="403" spans="1:6" x14ac:dyDescent="0.35">
      <c r="A403" s="22">
        <v>45042</v>
      </c>
      <c r="B403" s="24">
        <v>1146.2619999999999</v>
      </c>
      <c r="C403" s="24">
        <v>1146.2619999999999</v>
      </c>
      <c r="D403" s="24">
        <v>1146.2619999999999</v>
      </c>
      <c r="E403" s="24">
        <v>1146.2619999999999</v>
      </c>
      <c r="F403" s="23">
        <f t="shared" si="6"/>
        <v>3.5299370529577453E-3</v>
      </c>
    </row>
    <row r="404" spans="1:6" x14ac:dyDescent="0.35">
      <c r="A404" s="22">
        <v>45043</v>
      </c>
      <c r="B404" s="24">
        <v>1152.383</v>
      </c>
      <c r="C404" s="24">
        <v>1152.383</v>
      </c>
      <c r="D404" s="24">
        <v>1152.383</v>
      </c>
      <c r="E404" s="24">
        <v>1152.383</v>
      </c>
      <c r="F404" s="23">
        <f t="shared" si="6"/>
        <v>5.3399659065729256E-3</v>
      </c>
    </row>
    <row r="405" spans="1:6" x14ac:dyDescent="0.35">
      <c r="A405" s="22">
        <v>45044</v>
      </c>
      <c r="B405" s="24">
        <v>1159.2809999999999</v>
      </c>
      <c r="C405" s="24">
        <v>1159.2809999999999</v>
      </c>
      <c r="D405" s="24">
        <v>1159.2809999999999</v>
      </c>
      <c r="E405" s="24">
        <v>1159.2809999999999</v>
      </c>
      <c r="F405" s="23">
        <f t="shared" si="6"/>
        <v>5.9858571325678272E-3</v>
      </c>
    </row>
    <row r="406" spans="1:6" x14ac:dyDescent="0.35">
      <c r="A406" s="22">
        <v>45048</v>
      </c>
      <c r="B406" s="24">
        <v>1165.2270000000001</v>
      </c>
      <c r="C406" s="24">
        <v>1165.2270000000001</v>
      </c>
      <c r="D406" s="24">
        <v>1165.2270000000001</v>
      </c>
      <c r="E406" s="24">
        <v>1165.2270000000001</v>
      </c>
      <c r="F406" s="23">
        <f t="shared" si="6"/>
        <v>5.1290411901861073E-3</v>
      </c>
    </row>
    <row r="407" spans="1:6" x14ac:dyDescent="0.35">
      <c r="A407" s="22">
        <v>45049</v>
      </c>
      <c r="B407" s="24">
        <v>1163.712</v>
      </c>
      <c r="C407" s="24">
        <v>1163.712</v>
      </c>
      <c r="D407" s="24">
        <v>1163.712</v>
      </c>
      <c r="E407" s="24">
        <v>1163.712</v>
      </c>
      <c r="F407" s="23">
        <f t="shared" si="6"/>
        <v>-1.3001758455649414E-3</v>
      </c>
    </row>
    <row r="408" spans="1:6" x14ac:dyDescent="0.35">
      <c r="A408" s="22">
        <v>45050</v>
      </c>
      <c r="B408" s="24">
        <v>1171.9449999999999</v>
      </c>
      <c r="C408" s="24">
        <v>1171.9449999999999</v>
      </c>
      <c r="D408" s="24">
        <v>1171.9449999999999</v>
      </c>
      <c r="E408" s="24">
        <v>1171.9449999999999</v>
      </c>
      <c r="F408" s="23">
        <f t="shared" si="6"/>
        <v>7.0747745146565021E-3</v>
      </c>
    </row>
    <row r="409" spans="1:6" x14ac:dyDescent="0.35">
      <c r="A409" s="22">
        <v>45051</v>
      </c>
      <c r="B409" s="24">
        <v>1161.1479999999999</v>
      </c>
      <c r="C409" s="24">
        <v>1161.1479999999999</v>
      </c>
      <c r="D409" s="24">
        <v>1161.1479999999999</v>
      </c>
      <c r="E409" s="24">
        <v>1161.1479999999999</v>
      </c>
      <c r="F409" s="23">
        <f t="shared" si="6"/>
        <v>-9.2128896833896003E-3</v>
      </c>
    </row>
    <row r="410" spans="1:6" x14ac:dyDescent="0.35">
      <c r="A410" s="22">
        <v>45054</v>
      </c>
      <c r="B410" s="24">
        <v>1172.5050000000001</v>
      </c>
      <c r="C410" s="24">
        <v>1172.5050000000001</v>
      </c>
      <c r="D410" s="24">
        <v>1172.5050000000001</v>
      </c>
      <c r="E410" s="24">
        <v>1172.5050000000001</v>
      </c>
      <c r="F410" s="23">
        <f t="shared" si="6"/>
        <v>9.7808375848730724E-3</v>
      </c>
    </row>
    <row r="411" spans="1:6" x14ac:dyDescent="0.35">
      <c r="A411" s="22">
        <v>45055</v>
      </c>
      <c r="B411" s="24">
        <v>1171.049</v>
      </c>
      <c r="C411" s="24">
        <v>1171.049</v>
      </c>
      <c r="D411" s="24">
        <v>1171.049</v>
      </c>
      <c r="E411" s="24">
        <v>1171.049</v>
      </c>
      <c r="F411" s="23">
        <f t="shared" si="6"/>
        <v>-1.2417857493146134E-3</v>
      </c>
    </row>
    <row r="412" spans="1:6" x14ac:dyDescent="0.35">
      <c r="A412" s="22">
        <v>45056</v>
      </c>
      <c r="B412" s="24">
        <v>1174.27</v>
      </c>
      <c r="C412" s="24">
        <v>1174.27</v>
      </c>
      <c r="D412" s="24">
        <v>1174.27</v>
      </c>
      <c r="E412" s="24">
        <v>1174.27</v>
      </c>
      <c r="F412" s="23">
        <f t="shared" si="6"/>
        <v>2.7505253836517547E-3</v>
      </c>
    </row>
    <row r="413" spans="1:6" x14ac:dyDescent="0.35">
      <c r="A413" s="22">
        <v>45057</v>
      </c>
      <c r="B413" s="24">
        <v>1176.1489999999999</v>
      </c>
      <c r="C413" s="24">
        <v>1176.1489999999999</v>
      </c>
      <c r="D413" s="24">
        <v>1176.1489999999999</v>
      </c>
      <c r="E413" s="24">
        <v>1176.1489999999999</v>
      </c>
      <c r="F413" s="23">
        <f t="shared" si="6"/>
        <v>1.6001430676078801E-3</v>
      </c>
    </row>
    <row r="414" spans="1:6" x14ac:dyDescent="0.35">
      <c r="A414" s="22">
        <v>45058</v>
      </c>
      <c r="B414" s="24">
        <v>1175.646</v>
      </c>
      <c r="C414" s="24">
        <v>1175.646</v>
      </c>
      <c r="D414" s="24">
        <v>1175.646</v>
      </c>
      <c r="E414" s="24">
        <v>1175.646</v>
      </c>
      <c r="F414" s="23">
        <f t="shared" si="6"/>
        <v>-4.2766690274780587E-4</v>
      </c>
    </row>
    <row r="415" spans="1:6" x14ac:dyDescent="0.35">
      <c r="A415" s="22">
        <v>45061</v>
      </c>
      <c r="B415" s="24">
        <v>1183.6279999999999</v>
      </c>
      <c r="C415" s="24">
        <v>1183.6279999999999</v>
      </c>
      <c r="D415" s="24">
        <v>1183.6279999999999</v>
      </c>
      <c r="E415" s="24">
        <v>1183.6279999999999</v>
      </c>
      <c r="F415" s="23">
        <f t="shared" si="6"/>
        <v>6.7894587316249715E-3</v>
      </c>
    </row>
    <row r="416" spans="1:6" x14ac:dyDescent="0.35">
      <c r="A416" s="22">
        <v>45062</v>
      </c>
      <c r="B416" s="24">
        <v>1182.6769999999999</v>
      </c>
      <c r="C416" s="24">
        <v>1182.6769999999999</v>
      </c>
      <c r="D416" s="24">
        <v>1182.6769999999999</v>
      </c>
      <c r="E416" s="24">
        <v>1182.6769999999999</v>
      </c>
      <c r="F416" s="23">
        <f t="shared" si="6"/>
        <v>-8.0346189850191263E-4</v>
      </c>
    </row>
    <row r="417" spans="1:6" x14ac:dyDescent="0.35">
      <c r="A417" s="22">
        <v>45063</v>
      </c>
      <c r="B417" s="24">
        <v>1177.886</v>
      </c>
      <c r="C417" s="24">
        <v>1177.886</v>
      </c>
      <c r="D417" s="24">
        <v>1177.886</v>
      </c>
      <c r="E417" s="24">
        <v>1177.886</v>
      </c>
      <c r="F417" s="23">
        <f t="shared" si="6"/>
        <v>-4.0509792614551064E-3</v>
      </c>
    </row>
    <row r="418" spans="1:6" x14ac:dyDescent="0.35">
      <c r="A418" s="22">
        <v>45064</v>
      </c>
      <c r="B418" s="24">
        <v>1173.3910000000001</v>
      </c>
      <c r="C418" s="24">
        <v>1173.3910000000001</v>
      </c>
      <c r="D418" s="24">
        <v>1173.3910000000001</v>
      </c>
      <c r="E418" s="24">
        <v>1173.3910000000001</v>
      </c>
      <c r="F418" s="23">
        <f t="shared" si="6"/>
        <v>-3.8161587793724442E-3</v>
      </c>
    </row>
    <row r="419" spans="1:6" x14ac:dyDescent="0.35">
      <c r="A419" s="22">
        <v>45065</v>
      </c>
      <c r="B419" s="24">
        <v>1177.3720000000001</v>
      </c>
      <c r="C419" s="24">
        <v>1177.3720000000001</v>
      </c>
      <c r="D419" s="24">
        <v>1177.3720000000001</v>
      </c>
      <c r="E419" s="24">
        <v>1177.3720000000001</v>
      </c>
      <c r="F419" s="23">
        <f t="shared" si="6"/>
        <v>3.392730982255697E-3</v>
      </c>
    </row>
    <row r="420" spans="1:6" x14ac:dyDescent="0.35">
      <c r="A420" s="22">
        <v>45068</v>
      </c>
      <c r="B420" s="24">
        <v>1182.2059999999999</v>
      </c>
      <c r="C420" s="24">
        <v>1182.2059999999999</v>
      </c>
      <c r="D420" s="24">
        <v>1182.2059999999999</v>
      </c>
      <c r="E420" s="24">
        <v>1182.2059999999999</v>
      </c>
      <c r="F420" s="23">
        <f t="shared" si="6"/>
        <v>4.1057541711539197E-3</v>
      </c>
    </row>
    <row r="421" spans="1:6" x14ac:dyDescent="0.35">
      <c r="A421" s="22">
        <v>45069</v>
      </c>
      <c r="B421" s="24">
        <v>1183.385</v>
      </c>
      <c r="C421" s="24">
        <v>1183.385</v>
      </c>
      <c r="D421" s="24">
        <v>1183.385</v>
      </c>
      <c r="E421" s="24">
        <v>1183.385</v>
      </c>
      <c r="F421" s="23">
        <f t="shared" si="6"/>
        <v>9.9728812068293287E-4</v>
      </c>
    </row>
    <row r="422" spans="1:6" x14ac:dyDescent="0.35">
      <c r="A422" s="22">
        <v>45070</v>
      </c>
      <c r="B422" s="24">
        <v>1180.9159999999999</v>
      </c>
      <c r="C422" s="24">
        <v>1180.9159999999999</v>
      </c>
      <c r="D422" s="24">
        <v>1180.9159999999999</v>
      </c>
      <c r="E422" s="24">
        <v>1180.9159999999999</v>
      </c>
      <c r="F422" s="23">
        <f t="shared" si="6"/>
        <v>-2.0863877774351127E-3</v>
      </c>
    </row>
    <row r="423" spans="1:6" x14ac:dyDescent="0.35">
      <c r="A423" s="22">
        <v>45071</v>
      </c>
      <c r="B423" s="24">
        <v>1181.5889999999999</v>
      </c>
      <c r="C423" s="24">
        <v>1181.5889999999999</v>
      </c>
      <c r="D423" s="24">
        <v>1181.5889999999999</v>
      </c>
      <c r="E423" s="24">
        <v>1181.5889999999999</v>
      </c>
      <c r="F423" s="23">
        <f t="shared" si="6"/>
        <v>5.6989658874975172E-4</v>
      </c>
    </row>
    <row r="424" spans="1:6" x14ac:dyDescent="0.35">
      <c r="A424" s="22">
        <v>45072</v>
      </c>
      <c r="B424" s="24">
        <v>1188.934</v>
      </c>
      <c r="C424" s="24">
        <v>1188.934</v>
      </c>
      <c r="D424" s="24">
        <v>1188.934</v>
      </c>
      <c r="E424" s="24">
        <v>1188.934</v>
      </c>
      <c r="F424" s="23">
        <f t="shared" si="6"/>
        <v>6.2162054656907158E-3</v>
      </c>
    </row>
    <row r="425" spans="1:6" x14ac:dyDescent="0.35">
      <c r="A425" s="22">
        <v>45075</v>
      </c>
      <c r="B425" s="24">
        <v>1193.9280000000001</v>
      </c>
      <c r="C425" s="24">
        <v>1193.9280000000001</v>
      </c>
      <c r="D425" s="24">
        <v>1193.9280000000001</v>
      </c>
      <c r="E425" s="24">
        <v>1193.9280000000001</v>
      </c>
      <c r="F425" s="23">
        <f t="shared" si="6"/>
        <v>4.2004013679482139E-3</v>
      </c>
    </row>
    <row r="426" spans="1:6" x14ac:dyDescent="0.35">
      <c r="A426" s="22">
        <v>45076</v>
      </c>
      <c r="B426" s="24">
        <v>1196.3130000000001</v>
      </c>
      <c r="C426" s="24">
        <v>1196.3130000000001</v>
      </c>
      <c r="D426" s="24">
        <v>1196.3130000000001</v>
      </c>
      <c r="E426" s="24">
        <v>1196.3130000000001</v>
      </c>
      <c r="F426" s="23">
        <f t="shared" si="6"/>
        <v>1.9976078959535169E-3</v>
      </c>
    </row>
    <row r="427" spans="1:6" x14ac:dyDescent="0.35">
      <c r="A427" s="22">
        <v>45077</v>
      </c>
      <c r="B427" s="24">
        <v>1196.1510000000001</v>
      </c>
      <c r="C427" s="24">
        <v>1196.1510000000001</v>
      </c>
      <c r="D427" s="24">
        <v>1196.1510000000001</v>
      </c>
      <c r="E427" s="24">
        <v>1196.1510000000001</v>
      </c>
      <c r="F427" s="23">
        <f t="shared" si="6"/>
        <v>-1.3541606586239097E-4</v>
      </c>
    </row>
    <row r="428" spans="1:6" x14ac:dyDescent="0.35">
      <c r="A428" s="22">
        <v>45078</v>
      </c>
      <c r="B428" s="24">
        <v>1195.0309999999999</v>
      </c>
      <c r="C428" s="24">
        <v>1195.0309999999999</v>
      </c>
      <c r="D428" s="24">
        <v>1195.0309999999999</v>
      </c>
      <c r="E428" s="24">
        <v>1195.0309999999999</v>
      </c>
      <c r="F428" s="23">
        <f t="shared" si="6"/>
        <v>-9.363366330840489E-4</v>
      </c>
    </row>
    <row r="429" spans="1:6" x14ac:dyDescent="0.35">
      <c r="A429" s="22">
        <v>45079</v>
      </c>
      <c r="B429" s="24">
        <v>1201.0309999999999</v>
      </c>
      <c r="C429" s="24">
        <v>1201.0309999999999</v>
      </c>
      <c r="D429" s="24">
        <v>1201.0309999999999</v>
      </c>
      <c r="E429" s="24">
        <v>1201.0309999999999</v>
      </c>
      <c r="F429" s="23">
        <f t="shared" si="6"/>
        <v>5.0207902556502725E-3</v>
      </c>
    </row>
    <row r="430" spans="1:6" x14ac:dyDescent="0.35">
      <c r="A430" s="22">
        <v>45082</v>
      </c>
      <c r="B430" s="24">
        <v>1209.4880000000001</v>
      </c>
      <c r="C430" s="24">
        <v>1209.4880000000001</v>
      </c>
      <c r="D430" s="24">
        <v>1209.4880000000001</v>
      </c>
      <c r="E430" s="24">
        <v>1209.4880000000001</v>
      </c>
      <c r="F430" s="23">
        <f t="shared" si="6"/>
        <v>7.0414502206854841E-3</v>
      </c>
    </row>
    <row r="431" spans="1:6" x14ac:dyDescent="0.35">
      <c r="A431" s="22">
        <v>45083</v>
      </c>
      <c r="B431" s="24">
        <v>1211.752</v>
      </c>
      <c r="C431" s="24">
        <v>1211.752</v>
      </c>
      <c r="D431" s="24">
        <v>1211.752</v>
      </c>
      <c r="E431" s="24">
        <v>1211.752</v>
      </c>
      <c r="F431" s="23">
        <f t="shared" si="6"/>
        <v>1.8718664426599489E-3</v>
      </c>
    </row>
    <row r="432" spans="1:6" x14ac:dyDescent="0.35">
      <c r="A432" s="22">
        <v>45084</v>
      </c>
      <c r="B432" s="24">
        <v>1219.336</v>
      </c>
      <c r="C432" s="24">
        <v>1219.336</v>
      </c>
      <c r="D432" s="24">
        <v>1219.336</v>
      </c>
      <c r="E432" s="24">
        <v>1219.336</v>
      </c>
      <c r="F432" s="23">
        <f t="shared" si="6"/>
        <v>6.2587064019700902E-3</v>
      </c>
    </row>
    <row r="433" spans="1:6" x14ac:dyDescent="0.35">
      <c r="A433" s="22">
        <v>45085</v>
      </c>
      <c r="B433" s="24">
        <v>1216.0609999999999</v>
      </c>
      <c r="C433" s="24">
        <v>1216.0609999999999</v>
      </c>
      <c r="D433" s="24">
        <v>1216.0609999999999</v>
      </c>
      <c r="E433" s="24">
        <v>1216.0609999999999</v>
      </c>
      <c r="F433" s="23">
        <f t="shared" si="6"/>
        <v>-2.6858880571065651E-3</v>
      </c>
    </row>
    <row r="434" spans="1:6" x14ac:dyDescent="0.35">
      <c r="A434" s="22">
        <v>45086</v>
      </c>
      <c r="B434" s="24">
        <v>1216.873</v>
      </c>
      <c r="C434" s="24">
        <v>1216.873</v>
      </c>
      <c r="D434" s="24">
        <v>1216.873</v>
      </c>
      <c r="E434" s="24">
        <v>1216.873</v>
      </c>
      <c r="F434" s="23">
        <f t="shared" si="6"/>
        <v>6.6772966158780325E-4</v>
      </c>
    </row>
    <row r="435" spans="1:6" x14ac:dyDescent="0.35">
      <c r="A435" s="22">
        <v>45089</v>
      </c>
      <c r="B435" s="24">
        <v>1221.675</v>
      </c>
      <c r="C435" s="24">
        <v>1221.675</v>
      </c>
      <c r="D435" s="24">
        <v>1221.675</v>
      </c>
      <c r="E435" s="24">
        <v>1221.675</v>
      </c>
      <c r="F435" s="23">
        <f t="shared" si="6"/>
        <v>3.9461800861716112E-3</v>
      </c>
    </row>
    <row r="436" spans="1:6" x14ac:dyDescent="0.35">
      <c r="A436" s="22">
        <v>45090</v>
      </c>
      <c r="B436" s="24">
        <v>1224.606</v>
      </c>
      <c r="C436" s="24">
        <v>1224.606</v>
      </c>
      <c r="D436" s="24">
        <v>1224.606</v>
      </c>
      <c r="E436" s="24">
        <v>1224.606</v>
      </c>
      <c r="F436" s="23">
        <f t="shared" si="6"/>
        <v>2.3991650807293594E-3</v>
      </c>
    </row>
    <row r="437" spans="1:6" x14ac:dyDescent="0.35">
      <c r="A437" s="22">
        <v>45091</v>
      </c>
      <c r="B437" s="24">
        <v>1227.2090000000001</v>
      </c>
      <c r="C437" s="24">
        <v>1227.2090000000001</v>
      </c>
      <c r="D437" s="24">
        <v>1227.2090000000001</v>
      </c>
      <c r="E437" s="24">
        <v>1227.2090000000001</v>
      </c>
      <c r="F437" s="23">
        <f t="shared" si="6"/>
        <v>2.1255816156380627E-3</v>
      </c>
    </row>
    <row r="438" spans="1:6" x14ac:dyDescent="0.35">
      <c r="A438" s="22">
        <v>45092</v>
      </c>
      <c r="B438" s="24">
        <v>1225.1890000000001</v>
      </c>
      <c r="C438" s="24">
        <v>1225.1890000000001</v>
      </c>
      <c r="D438" s="24">
        <v>1225.1890000000001</v>
      </c>
      <c r="E438" s="24">
        <v>1225.1890000000001</v>
      </c>
      <c r="F438" s="23">
        <f t="shared" si="6"/>
        <v>-1.6460113965917637E-3</v>
      </c>
    </row>
    <row r="439" spans="1:6" x14ac:dyDescent="0.35">
      <c r="A439" s="22">
        <v>45093</v>
      </c>
      <c r="B439" s="24">
        <v>1236.376</v>
      </c>
      <c r="C439" s="24">
        <v>1236.376</v>
      </c>
      <c r="D439" s="24">
        <v>1236.376</v>
      </c>
      <c r="E439" s="24">
        <v>1236.376</v>
      </c>
      <c r="F439" s="23">
        <f t="shared" si="6"/>
        <v>9.1308361403831546E-3</v>
      </c>
    </row>
    <row r="440" spans="1:6" x14ac:dyDescent="0.35">
      <c r="A440" s="22">
        <v>45096</v>
      </c>
      <c r="B440" s="24">
        <v>1234.125</v>
      </c>
      <c r="C440" s="24">
        <v>1234.125</v>
      </c>
      <c r="D440" s="24">
        <v>1234.125</v>
      </c>
      <c r="E440" s="24">
        <v>1234.125</v>
      </c>
      <c r="F440" s="23">
        <f t="shared" si="6"/>
        <v>-1.8206435582702805E-3</v>
      </c>
    </row>
    <row r="441" spans="1:6" x14ac:dyDescent="0.35">
      <c r="A441" s="22">
        <v>45097</v>
      </c>
      <c r="B441" s="24">
        <v>1237.7059999999999</v>
      </c>
      <c r="C441" s="24">
        <v>1237.7059999999999</v>
      </c>
      <c r="D441" s="24">
        <v>1237.7059999999999</v>
      </c>
      <c r="E441" s="24">
        <v>1237.7059999999999</v>
      </c>
      <c r="F441" s="23">
        <f t="shared" si="6"/>
        <v>2.9016509672844353E-3</v>
      </c>
    </row>
    <row r="442" spans="1:6" x14ac:dyDescent="0.35">
      <c r="A442" s="22">
        <v>45098</v>
      </c>
      <c r="B442" s="24">
        <v>1239.1099999999999</v>
      </c>
      <c r="C442" s="24">
        <v>1239.1099999999999</v>
      </c>
      <c r="D442" s="24">
        <v>1239.1099999999999</v>
      </c>
      <c r="E442" s="24">
        <v>1239.1099999999999</v>
      </c>
      <c r="F442" s="23">
        <f t="shared" si="6"/>
        <v>1.1343566242710277E-3</v>
      </c>
    </row>
    <row r="443" spans="1:6" x14ac:dyDescent="0.35">
      <c r="A443" s="22">
        <v>45099</v>
      </c>
      <c r="B443" s="24">
        <v>1233.1179999999999</v>
      </c>
      <c r="C443" s="24">
        <v>1233.1179999999999</v>
      </c>
      <c r="D443" s="24">
        <v>1233.1179999999999</v>
      </c>
      <c r="E443" s="24">
        <v>1233.1179999999999</v>
      </c>
      <c r="F443" s="23">
        <f t="shared" si="6"/>
        <v>-4.8357288699146664E-3</v>
      </c>
    </row>
    <row r="444" spans="1:6" x14ac:dyDescent="0.35">
      <c r="A444" s="22">
        <v>45100</v>
      </c>
      <c r="B444" s="24">
        <v>1225.153</v>
      </c>
      <c r="C444" s="24">
        <v>1225.153</v>
      </c>
      <c r="D444" s="24">
        <v>1225.153</v>
      </c>
      <c r="E444" s="24">
        <v>1225.153</v>
      </c>
      <c r="F444" s="23">
        <f t="shared" si="6"/>
        <v>-6.4592358557736713E-3</v>
      </c>
    </row>
    <row r="445" spans="1:6" x14ac:dyDescent="0.35">
      <c r="A445" s="22">
        <v>45103</v>
      </c>
      <c r="B445" s="24">
        <v>1228.4939999999999</v>
      </c>
      <c r="C445" s="24">
        <v>1228.4939999999999</v>
      </c>
      <c r="D445" s="24">
        <v>1228.4939999999999</v>
      </c>
      <c r="E445" s="24">
        <v>1228.4939999999999</v>
      </c>
      <c r="F445" s="23">
        <f t="shared" si="6"/>
        <v>2.7270063412487213E-3</v>
      </c>
    </row>
    <row r="446" spans="1:6" x14ac:dyDescent="0.35">
      <c r="A446" s="22">
        <v>45104</v>
      </c>
      <c r="B446" s="24">
        <v>1236.191</v>
      </c>
      <c r="C446" s="24">
        <v>1236.191</v>
      </c>
      <c r="D446" s="24">
        <v>1236.191</v>
      </c>
      <c r="E446" s="24">
        <v>1236.191</v>
      </c>
      <c r="F446" s="23">
        <f t="shared" si="6"/>
        <v>6.2653948655834839E-3</v>
      </c>
    </row>
    <row r="447" spans="1:6" x14ac:dyDescent="0.35">
      <c r="A447" s="22">
        <v>45105</v>
      </c>
      <c r="B447" s="24">
        <v>1242.1120000000001</v>
      </c>
      <c r="C447" s="24">
        <v>1242.1120000000001</v>
      </c>
      <c r="D447" s="24">
        <v>1242.1120000000001</v>
      </c>
      <c r="E447" s="24">
        <v>1242.1120000000001</v>
      </c>
      <c r="F447" s="23">
        <f t="shared" si="6"/>
        <v>4.7897129165315466E-3</v>
      </c>
    </row>
    <row r="448" spans="1:6" x14ac:dyDescent="0.35">
      <c r="A448" s="22">
        <v>45107</v>
      </c>
      <c r="B448" s="24">
        <v>1254.5219999999999</v>
      </c>
      <c r="C448" s="24">
        <v>1254.5219999999999</v>
      </c>
      <c r="D448" s="24">
        <v>1254.5219999999999</v>
      </c>
      <c r="E448" s="24">
        <v>1254.5219999999999</v>
      </c>
      <c r="F448" s="23">
        <f t="shared" si="6"/>
        <v>9.9910475061828988E-3</v>
      </c>
    </row>
    <row r="449" spans="1:6" x14ac:dyDescent="0.35">
      <c r="A449" s="22">
        <v>45110</v>
      </c>
      <c r="B449" s="24">
        <v>1260.3920000000001</v>
      </c>
      <c r="C449" s="24">
        <v>1260.3920000000001</v>
      </c>
      <c r="D449" s="24">
        <v>1260.3920000000001</v>
      </c>
      <c r="E449" s="24">
        <v>1260.3920000000001</v>
      </c>
      <c r="F449" s="23">
        <f t="shared" si="6"/>
        <v>4.6790729855675055E-3</v>
      </c>
    </row>
    <row r="450" spans="1:6" x14ac:dyDescent="0.35">
      <c r="A450" s="22">
        <v>45111</v>
      </c>
      <c r="B450" s="24">
        <v>1261.8599999999999</v>
      </c>
      <c r="C450" s="24">
        <v>1261.8599999999999</v>
      </c>
      <c r="D450" s="24">
        <v>1261.8599999999999</v>
      </c>
      <c r="E450" s="24">
        <v>1261.8599999999999</v>
      </c>
      <c r="F450" s="23">
        <f t="shared" si="6"/>
        <v>1.1647170086765443E-3</v>
      </c>
    </row>
    <row r="451" spans="1:6" x14ac:dyDescent="0.35">
      <c r="A451" s="22">
        <v>45112</v>
      </c>
      <c r="B451" s="24">
        <v>1262.77</v>
      </c>
      <c r="C451" s="24">
        <v>1262.77</v>
      </c>
      <c r="D451" s="24">
        <v>1262.77</v>
      </c>
      <c r="E451" s="24">
        <v>1262.77</v>
      </c>
      <c r="F451" s="23">
        <f t="shared" ref="F451:F514" si="7">(B451-B450)/B450</f>
        <v>7.2115765615843428E-4</v>
      </c>
    </row>
    <row r="452" spans="1:6" x14ac:dyDescent="0.35">
      <c r="A452" s="22">
        <v>45113</v>
      </c>
      <c r="B452" s="24">
        <v>1272.672</v>
      </c>
      <c r="C452" s="24">
        <v>1272.672</v>
      </c>
      <c r="D452" s="24">
        <v>1272.672</v>
      </c>
      <c r="E452" s="24">
        <v>1272.672</v>
      </c>
      <c r="F452" s="23">
        <f t="shared" si="7"/>
        <v>7.8414913246276398E-3</v>
      </c>
    </row>
    <row r="453" spans="1:6" x14ac:dyDescent="0.35">
      <c r="A453" s="22">
        <v>45114</v>
      </c>
      <c r="B453" s="24">
        <v>1266.0730000000001</v>
      </c>
      <c r="C453" s="24">
        <v>1266.0730000000001</v>
      </c>
      <c r="D453" s="24">
        <v>1266.0730000000001</v>
      </c>
      <c r="E453" s="24">
        <v>1266.0730000000001</v>
      </c>
      <c r="F453" s="23">
        <f t="shared" si="7"/>
        <v>-5.185153755248746E-3</v>
      </c>
    </row>
    <row r="454" spans="1:6" x14ac:dyDescent="0.35">
      <c r="A454" s="22">
        <v>45117</v>
      </c>
      <c r="B454" s="24">
        <v>1261.952</v>
      </c>
      <c r="C454" s="24">
        <v>1261.952</v>
      </c>
      <c r="D454" s="24">
        <v>1261.952</v>
      </c>
      <c r="E454" s="24">
        <v>1261.952</v>
      </c>
      <c r="F454" s="23">
        <f t="shared" si="7"/>
        <v>-3.2549465947066987E-3</v>
      </c>
    </row>
    <row r="455" spans="1:6" x14ac:dyDescent="0.35">
      <c r="A455" s="22">
        <v>45118</v>
      </c>
      <c r="B455" s="24">
        <v>1271.133</v>
      </c>
      <c r="C455" s="24">
        <v>1271.133</v>
      </c>
      <c r="D455" s="24">
        <v>1271.133</v>
      </c>
      <c r="E455" s="24">
        <v>1271.133</v>
      </c>
      <c r="F455" s="23">
        <f t="shared" si="7"/>
        <v>7.275237093011493E-3</v>
      </c>
    </row>
    <row r="456" spans="1:6" x14ac:dyDescent="0.35">
      <c r="A456" s="22">
        <v>45119</v>
      </c>
      <c r="B456" s="24">
        <v>1268.0709999999999</v>
      </c>
      <c r="C456" s="24">
        <v>1268.0709999999999</v>
      </c>
      <c r="D456" s="24">
        <v>1268.0709999999999</v>
      </c>
      <c r="E456" s="24">
        <v>1268.0709999999999</v>
      </c>
      <c r="F456" s="23">
        <f t="shared" si="7"/>
        <v>-2.4088746024217176E-3</v>
      </c>
    </row>
    <row r="457" spans="1:6" x14ac:dyDescent="0.35">
      <c r="A457" s="22">
        <v>45120</v>
      </c>
      <c r="B457" s="24">
        <v>1267.528</v>
      </c>
      <c r="C457" s="24">
        <v>1267.528</v>
      </c>
      <c r="D457" s="24">
        <v>1267.528</v>
      </c>
      <c r="E457" s="24">
        <v>1267.528</v>
      </c>
      <c r="F457" s="23">
        <f t="shared" si="7"/>
        <v>-4.2820946145751519E-4</v>
      </c>
    </row>
    <row r="458" spans="1:6" x14ac:dyDescent="0.35">
      <c r="A458" s="22">
        <v>45121</v>
      </c>
      <c r="B458" s="24">
        <v>1275.579</v>
      </c>
      <c r="C458" s="24">
        <v>1275.579</v>
      </c>
      <c r="D458" s="24">
        <v>1275.579</v>
      </c>
      <c r="E458" s="24">
        <v>1275.579</v>
      </c>
      <c r="F458" s="23">
        <f t="shared" si="7"/>
        <v>6.3517334528309681E-3</v>
      </c>
    </row>
    <row r="459" spans="1:6" x14ac:dyDescent="0.35">
      <c r="A459" s="22">
        <v>45124</v>
      </c>
      <c r="B459" s="24">
        <v>1281.2660000000001</v>
      </c>
      <c r="C459" s="24">
        <v>1281.2660000000001</v>
      </c>
      <c r="D459" s="24">
        <v>1281.2660000000001</v>
      </c>
      <c r="E459" s="24">
        <v>1281.2660000000001</v>
      </c>
      <c r="F459" s="23">
        <f t="shared" si="7"/>
        <v>4.4583675334888126E-3</v>
      </c>
    </row>
    <row r="460" spans="1:6" x14ac:dyDescent="0.35">
      <c r="A460" s="22">
        <v>45125</v>
      </c>
      <c r="B460" s="24">
        <v>1282.4580000000001</v>
      </c>
      <c r="C460" s="24">
        <v>1282.4580000000001</v>
      </c>
      <c r="D460" s="24">
        <v>1282.4580000000001</v>
      </c>
      <c r="E460" s="24">
        <v>1282.4580000000001</v>
      </c>
      <c r="F460" s="23">
        <f t="shared" si="7"/>
        <v>9.303298456370552E-4</v>
      </c>
    </row>
    <row r="461" spans="1:6" x14ac:dyDescent="0.35">
      <c r="A461" s="22">
        <v>45126</v>
      </c>
      <c r="B461" s="24">
        <v>1287.7180000000001</v>
      </c>
      <c r="C461" s="24">
        <v>1287.7180000000001</v>
      </c>
      <c r="D461" s="24">
        <v>1287.7180000000001</v>
      </c>
      <c r="E461" s="24">
        <v>1287.7180000000001</v>
      </c>
      <c r="F461" s="23">
        <f t="shared" si="7"/>
        <v>4.1014988405078303E-3</v>
      </c>
    </row>
    <row r="462" spans="1:6" x14ac:dyDescent="0.35">
      <c r="A462" s="22">
        <v>45127</v>
      </c>
      <c r="B462" s="24">
        <v>1293.951</v>
      </c>
      <c r="C462" s="24">
        <v>1293.951</v>
      </c>
      <c r="D462" s="24">
        <v>1293.951</v>
      </c>
      <c r="E462" s="24">
        <v>1293.951</v>
      </c>
      <c r="F462" s="23">
        <f t="shared" si="7"/>
        <v>4.840345479367336E-3</v>
      </c>
    </row>
    <row r="463" spans="1:6" x14ac:dyDescent="0.35">
      <c r="A463" s="22">
        <v>45128</v>
      </c>
      <c r="B463" s="24">
        <v>1285.92</v>
      </c>
      <c r="C463" s="24">
        <v>1285.92</v>
      </c>
      <c r="D463" s="24">
        <v>1285.92</v>
      </c>
      <c r="E463" s="24">
        <v>1285.92</v>
      </c>
      <c r="F463" s="23">
        <f t="shared" si="7"/>
        <v>-6.206571964471567E-3</v>
      </c>
    </row>
    <row r="464" spans="1:6" x14ac:dyDescent="0.35">
      <c r="A464" s="22">
        <v>45131</v>
      </c>
      <c r="B464" s="24">
        <v>1290.02</v>
      </c>
      <c r="C464" s="24">
        <v>1290.02</v>
      </c>
      <c r="D464" s="24">
        <v>1290.02</v>
      </c>
      <c r="E464" s="24">
        <v>1290.02</v>
      </c>
      <c r="F464" s="23">
        <f t="shared" si="7"/>
        <v>3.1883787482890917E-3</v>
      </c>
    </row>
    <row r="465" spans="1:6" x14ac:dyDescent="0.35">
      <c r="A465" s="22">
        <v>45132</v>
      </c>
      <c r="B465" s="24">
        <v>1293.299</v>
      </c>
      <c r="C465" s="24">
        <v>1293.299</v>
      </c>
      <c r="D465" s="24">
        <v>1293.299</v>
      </c>
      <c r="E465" s="24">
        <v>1293.299</v>
      </c>
      <c r="F465" s="23">
        <f t="shared" si="7"/>
        <v>2.5418210570378728E-3</v>
      </c>
    </row>
    <row r="466" spans="1:6" x14ac:dyDescent="0.35">
      <c r="A466" s="22">
        <v>45133</v>
      </c>
      <c r="B466" s="24">
        <v>1296.5719999999999</v>
      </c>
      <c r="C466" s="24">
        <v>1296.5719999999999</v>
      </c>
      <c r="D466" s="24">
        <v>1296.5719999999999</v>
      </c>
      <c r="E466" s="24">
        <v>1296.5719999999999</v>
      </c>
      <c r="F466" s="23">
        <f t="shared" si="7"/>
        <v>2.5307372850361062E-3</v>
      </c>
    </row>
    <row r="467" spans="1:6" x14ac:dyDescent="0.35">
      <c r="A467" s="22">
        <v>45134</v>
      </c>
      <c r="B467" s="24">
        <v>1296.7349999999999</v>
      </c>
      <c r="C467" s="24">
        <v>1296.7349999999999</v>
      </c>
      <c r="D467" s="24">
        <v>1296.7349999999999</v>
      </c>
      <c r="E467" s="24">
        <v>1296.7349999999999</v>
      </c>
      <c r="F467" s="23">
        <f t="shared" si="7"/>
        <v>1.2571611912027324E-4</v>
      </c>
    </row>
    <row r="468" spans="1:6" x14ac:dyDescent="0.35">
      <c r="A468" s="22">
        <v>45135</v>
      </c>
      <c r="B468" s="24">
        <v>1300.8800000000001</v>
      </c>
      <c r="C468" s="24">
        <v>1300.8800000000001</v>
      </c>
      <c r="D468" s="24">
        <v>1300.8800000000001</v>
      </c>
      <c r="E468" s="24">
        <v>1300.8800000000001</v>
      </c>
      <c r="F468" s="23">
        <f t="shared" si="7"/>
        <v>3.1964896451473967E-3</v>
      </c>
    </row>
    <row r="469" spans="1:6" x14ac:dyDescent="0.35">
      <c r="A469" s="22">
        <v>45138</v>
      </c>
      <c r="B469" s="24">
        <v>1309.8800000000001</v>
      </c>
      <c r="C469" s="24">
        <v>1309.8800000000001</v>
      </c>
      <c r="D469" s="24">
        <v>1309.8800000000001</v>
      </c>
      <c r="E469" s="24">
        <v>1309.8800000000001</v>
      </c>
      <c r="F469" s="23">
        <f t="shared" si="7"/>
        <v>6.9183937027243094E-3</v>
      </c>
    </row>
    <row r="470" spans="1:6" x14ac:dyDescent="0.35">
      <c r="A470" s="22">
        <v>45139</v>
      </c>
      <c r="B470" s="24">
        <v>1311.203</v>
      </c>
      <c r="C470" s="24">
        <v>1311.203</v>
      </c>
      <c r="D470" s="24">
        <v>1311.203</v>
      </c>
      <c r="E470" s="24">
        <v>1311.203</v>
      </c>
      <c r="F470" s="23">
        <f t="shared" si="7"/>
        <v>1.0100161846885709E-3</v>
      </c>
    </row>
    <row r="471" spans="1:6" x14ac:dyDescent="0.35">
      <c r="A471" s="22">
        <v>45140</v>
      </c>
      <c r="B471" s="24">
        <v>1295.876</v>
      </c>
      <c r="C471" s="24">
        <v>1295.876</v>
      </c>
      <c r="D471" s="24">
        <v>1295.876</v>
      </c>
      <c r="E471" s="24">
        <v>1295.876</v>
      </c>
      <c r="F471" s="23">
        <f t="shared" si="7"/>
        <v>-1.1689265506561531E-2</v>
      </c>
    </row>
    <row r="472" spans="1:6" x14ac:dyDescent="0.35">
      <c r="A472" s="22">
        <v>45141</v>
      </c>
      <c r="B472" s="24">
        <v>1289.5029999999999</v>
      </c>
      <c r="C472" s="24">
        <v>1289.5029999999999</v>
      </c>
      <c r="D472" s="24">
        <v>1289.5029999999999</v>
      </c>
      <c r="E472" s="24">
        <v>1289.5029999999999</v>
      </c>
      <c r="F472" s="23">
        <f t="shared" si="7"/>
        <v>-4.9179088122629387E-3</v>
      </c>
    </row>
    <row r="473" spans="1:6" x14ac:dyDescent="0.35">
      <c r="A473" s="22">
        <v>45142</v>
      </c>
      <c r="B473" s="24">
        <v>1295.713</v>
      </c>
      <c r="C473" s="24">
        <v>1295.713</v>
      </c>
      <c r="D473" s="24">
        <v>1295.713</v>
      </c>
      <c r="E473" s="24">
        <v>1295.713</v>
      </c>
      <c r="F473" s="23">
        <f t="shared" si="7"/>
        <v>4.8158088814062756E-3</v>
      </c>
    </row>
    <row r="474" spans="1:6" x14ac:dyDescent="0.35">
      <c r="A474" s="22">
        <v>45145</v>
      </c>
      <c r="B474" s="24">
        <v>1302.133</v>
      </c>
      <c r="C474" s="24">
        <v>1302.133</v>
      </c>
      <c r="D474" s="24">
        <v>1302.133</v>
      </c>
      <c r="E474" s="24">
        <v>1302.133</v>
      </c>
      <c r="F474" s="23">
        <f t="shared" si="7"/>
        <v>4.9548009474320882E-3</v>
      </c>
    </row>
    <row r="475" spans="1:6" x14ac:dyDescent="0.35">
      <c r="A475" s="22">
        <v>45146</v>
      </c>
      <c r="B475" s="24">
        <v>1307.0340000000001</v>
      </c>
      <c r="C475" s="24">
        <v>1307.0340000000001</v>
      </c>
      <c r="D475" s="24">
        <v>1307.0340000000001</v>
      </c>
      <c r="E475" s="24">
        <v>1307.0340000000001</v>
      </c>
      <c r="F475" s="23">
        <f t="shared" si="7"/>
        <v>3.7638244326808914E-3</v>
      </c>
    </row>
    <row r="476" spans="1:6" x14ac:dyDescent="0.35">
      <c r="A476" s="22">
        <v>45147</v>
      </c>
      <c r="B476" s="24">
        <v>1312.2570000000001</v>
      </c>
      <c r="C476" s="24">
        <v>1312.2570000000001</v>
      </c>
      <c r="D476" s="24">
        <v>1312.2570000000001</v>
      </c>
      <c r="E476" s="24">
        <v>1312.2570000000001</v>
      </c>
      <c r="F476" s="23">
        <f t="shared" si="7"/>
        <v>3.9960704924278606E-3</v>
      </c>
    </row>
    <row r="477" spans="1:6" x14ac:dyDescent="0.35">
      <c r="A477" s="22">
        <v>45148</v>
      </c>
      <c r="B477" s="24">
        <v>1306.6959999999999</v>
      </c>
      <c r="C477" s="24">
        <v>1306.6959999999999</v>
      </c>
      <c r="D477" s="24">
        <v>1306.6959999999999</v>
      </c>
      <c r="E477" s="24">
        <v>1306.6959999999999</v>
      </c>
      <c r="F477" s="23">
        <f t="shared" si="7"/>
        <v>-4.2377369676825111E-3</v>
      </c>
    </row>
    <row r="478" spans="1:6" x14ac:dyDescent="0.35">
      <c r="A478" s="22">
        <v>45149</v>
      </c>
      <c r="B478" s="24">
        <v>1302.4349999999999</v>
      </c>
      <c r="C478" s="24">
        <v>1302.4349999999999</v>
      </c>
      <c r="D478" s="24">
        <v>1302.4349999999999</v>
      </c>
      <c r="E478" s="24">
        <v>1302.4349999999999</v>
      </c>
      <c r="F478" s="23">
        <f t="shared" si="7"/>
        <v>-3.2608961839631924E-3</v>
      </c>
    </row>
    <row r="479" spans="1:6" x14ac:dyDescent="0.35">
      <c r="A479" s="22">
        <v>45152</v>
      </c>
      <c r="B479" s="24">
        <v>1300.162</v>
      </c>
      <c r="C479" s="24">
        <v>1300.162</v>
      </c>
      <c r="D479" s="24">
        <v>1300.162</v>
      </c>
      <c r="E479" s="24">
        <v>1300.162</v>
      </c>
      <c r="F479" s="23">
        <f t="shared" si="7"/>
        <v>-1.74519265836676E-3</v>
      </c>
    </row>
    <row r="480" spans="1:6" x14ac:dyDescent="0.35">
      <c r="A480" s="22">
        <v>45154</v>
      </c>
      <c r="B480" s="24">
        <v>1304.8630000000001</v>
      </c>
      <c r="C480" s="24">
        <v>1304.8630000000001</v>
      </c>
      <c r="D480" s="24">
        <v>1304.8630000000001</v>
      </c>
      <c r="E480" s="24">
        <v>1304.8630000000001</v>
      </c>
      <c r="F480" s="23">
        <f t="shared" si="7"/>
        <v>3.6157032738997306E-3</v>
      </c>
    </row>
    <row r="481" spans="1:6" x14ac:dyDescent="0.35">
      <c r="A481" s="22">
        <v>45155</v>
      </c>
      <c r="B481" s="24">
        <v>1302.7429999999999</v>
      </c>
      <c r="C481" s="24">
        <v>1302.7429999999999</v>
      </c>
      <c r="D481" s="24">
        <v>1302.7429999999999</v>
      </c>
      <c r="E481" s="24">
        <v>1302.7429999999999</v>
      </c>
      <c r="F481" s="23">
        <f t="shared" si="7"/>
        <v>-1.6246916342942655E-3</v>
      </c>
    </row>
    <row r="482" spans="1:6" x14ac:dyDescent="0.35">
      <c r="A482" s="22">
        <v>45156</v>
      </c>
      <c r="B482" s="24">
        <v>1297.5160000000001</v>
      </c>
      <c r="C482" s="24">
        <v>1297.5160000000001</v>
      </c>
      <c r="D482" s="24">
        <v>1297.5160000000001</v>
      </c>
      <c r="E482" s="24">
        <v>1297.5160000000001</v>
      </c>
      <c r="F482" s="23">
        <f t="shared" si="7"/>
        <v>-4.012303270867594E-3</v>
      </c>
    </row>
    <row r="483" spans="1:6" x14ac:dyDescent="0.35">
      <c r="A483" s="22">
        <v>45159</v>
      </c>
      <c r="B483" s="24">
        <v>1302.502</v>
      </c>
      <c r="C483" s="24">
        <v>1302.502</v>
      </c>
      <c r="D483" s="24">
        <v>1302.502</v>
      </c>
      <c r="E483" s="24">
        <v>1302.502</v>
      </c>
      <c r="F483" s="23">
        <f t="shared" si="7"/>
        <v>3.8427271802427684E-3</v>
      </c>
    </row>
    <row r="484" spans="1:6" x14ac:dyDescent="0.35">
      <c r="A484" s="22">
        <v>45160</v>
      </c>
      <c r="B484" s="24">
        <v>1304.6610000000001</v>
      </c>
      <c r="C484" s="24">
        <v>1304.6610000000001</v>
      </c>
      <c r="D484" s="24">
        <v>1304.6610000000001</v>
      </c>
      <c r="E484" s="24">
        <v>1304.6610000000001</v>
      </c>
      <c r="F484" s="23">
        <f t="shared" si="7"/>
        <v>1.6575790286695188E-3</v>
      </c>
    </row>
    <row r="485" spans="1:6" x14ac:dyDescent="0.35">
      <c r="A485" s="22">
        <v>45161</v>
      </c>
      <c r="B485" s="24">
        <v>1314.3969999999999</v>
      </c>
      <c r="C485" s="24">
        <v>1314.3969999999999</v>
      </c>
      <c r="D485" s="24">
        <v>1314.3969999999999</v>
      </c>
      <c r="E485" s="24">
        <v>1314.3969999999999</v>
      </c>
      <c r="F485" s="23">
        <f t="shared" si="7"/>
        <v>7.4624749264367339E-3</v>
      </c>
    </row>
    <row r="486" spans="1:6" x14ac:dyDescent="0.35">
      <c r="A486" s="22">
        <v>45162</v>
      </c>
      <c r="B486" s="24">
        <v>1312.2159999999999</v>
      </c>
      <c r="C486" s="24">
        <v>1312.2159999999999</v>
      </c>
      <c r="D486" s="24">
        <v>1312.2159999999999</v>
      </c>
      <c r="E486" s="24">
        <v>1312.2159999999999</v>
      </c>
      <c r="F486" s="23">
        <f t="shared" si="7"/>
        <v>-1.6593160209586906E-3</v>
      </c>
    </row>
    <row r="487" spans="1:6" x14ac:dyDescent="0.35">
      <c r="A487" s="22">
        <v>45163</v>
      </c>
      <c r="B487" s="24">
        <v>1302.32</v>
      </c>
      <c r="C487" s="24">
        <v>1302.32</v>
      </c>
      <c r="D487" s="24">
        <v>1302.32</v>
      </c>
      <c r="E487" s="24">
        <v>1302.32</v>
      </c>
      <c r="F487" s="23">
        <f t="shared" si="7"/>
        <v>-7.5414413480707132E-3</v>
      </c>
    </row>
    <row r="488" spans="1:6" x14ac:dyDescent="0.35">
      <c r="A488" s="22">
        <v>45166</v>
      </c>
      <c r="B488" s="24">
        <v>1307.4739999999999</v>
      </c>
      <c r="C488" s="24">
        <v>1307.4739999999999</v>
      </c>
      <c r="D488" s="24">
        <v>1307.4739999999999</v>
      </c>
      <c r="E488" s="24">
        <v>1307.4739999999999</v>
      </c>
      <c r="F488" s="23">
        <f t="shared" si="7"/>
        <v>3.9575526752257482E-3</v>
      </c>
    </row>
    <row r="489" spans="1:6" x14ac:dyDescent="0.35">
      <c r="A489" s="22">
        <v>45167</v>
      </c>
      <c r="B489" s="24">
        <v>1312.0039999999999</v>
      </c>
      <c r="C489" s="24">
        <v>1312.0039999999999</v>
      </c>
      <c r="D489" s="24">
        <v>1312.0039999999999</v>
      </c>
      <c r="E489" s="24">
        <v>1312.0039999999999</v>
      </c>
      <c r="F489" s="23">
        <f t="shared" si="7"/>
        <v>3.4646960474930843E-3</v>
      </c>
    </row>
    <row r="490" spans="1:6" x14ac:dyDescent="0.35">
      <c r="A490" s="22">
        <v>45168</v>
      </c>
      <c r="B490" s="24">
        <v>1312.3610000000001</v>
      </c>
      <c r="C490" s="24">
        <v>1312.3610000000001</v>
      </c>
      <c r="D490" s="24">
        <v>1312.3610000000001</v>
      </c>
      <c r="E490" s="24">
        <v>1312.3610000000001</v>
      </c>
      <c r="F490" s="23">
        <f t="shared" si="7"/>
        <v>2.7210282895494091E-4</v>
      </c>
    </row>
    <row r="491" spans="1:6" x14ac:dyDescent="0.35">
      <c r="A491" s="22">
        <v>45169</v>
      </c>
      <c r="B491" s="24">
        <v>1310.4259999999999</v>
      </c>
      <c r="C491" s="24">
        <v>1310.4259999999999</v>
      </c>
      <c r="D491" s="24">
        <v>1310.4259999999999</v>
      </c>
      <c r="E491" s="24">
        <v>1310.4259999999999</v>
      </c>
      <c r="F491" s="23">
        <f t="shared" si="7"/>
        <v>-1.4744418647004694E-3</v>
      </c>
    </row>
    <row r="492" spans="1:6" x14ac:dyDescent="0.35">
      <c r="A492" s="22">
        <v>45170</v>
      </c>
      <c r="B492" s="24">
        <v>1325.145</v>
      </c>
      <c r="C492" s="24">
        <v>1325.145</v>
      </c>
      <c r="D492" s="24">
        <v>1325.145</v>
      </c>
      <c r="E492" s="24">
        <v>1325.145</v>
      </c>
      <c r="F492" s="23">
        <f t="shared" si="7"/>
        <v>1.1232225245836126E-2</v>
      </c>
    </row>
    <row r="493" spans="1:6" x14ac:dyDescent="0.35">
      <c r="A493" s="22">
        <v>45173</v>
      </c>
      <c r="B493" s="24">
        <v>1333.8420000000001</v>
      </c>
      <c r="C493" s="24">
        <v>1333.8420000000001</v>
      </c>
      <c r="D493" s="24">
        <v>1333.8420000000001</v>
      </c>
      <c r="E493" s="24">
        <v>1333.8420000000001</v>
      </c>
      <c r="F493" s="23">
        <f t="shared" si="7"/>
        <v>6.5630553637527336E-3</v>
      </c>
    </row>
    <row r="494" spans="1:6" x14ac:dyDescent="0.35">
      <c r="A494" s="22">
        <v>45174</v>
      </c>
      <c r="B494" s="24">
        <v>1333.752</v>
      </c>
      <c r="C494" s="24">
        <v>1333.752</v>
      </c>
      <c r="D494" s="24">
        <v>1333.752</v>
      </c>
      <c r="E494" s="24">
        <v>1333.752</v>
      </c>
      <c r="F494" s="23">
        <f t="shared" si="7"/>
        <v>-6.7474258570464503E-5</v>
      </c>
    </row>
    <row r="495" spans="1:6" x14ac:dyDescent="0.35">
      <c r="A495" s="22">
        <v>45175</v>
      </c>
      <c r="B495" s="24">
        <v>1335.933</v>
      </c>
      <c r="C495" s="24">
        <v>1335.933</v>
      </c>
      <c r="D495" s="24">
        <v>1335.933</v>
      </c>
      <c r="E495" s="24">
        <v>1335.933</v>
      </c>
      <c r="F495" s="23">
        <f t="shared" si="7"/>
        <v>1.6352365357278115E-3</v>
      </c>
    </row>
    <row r="496" spans="1:6" x14ac:dyDescent="0.35">
      <c r="A496" s="22">
        <v>45176</v>
      </c>
      <c r="B496" s="24">
        <v>1343.596</v>
      </c>
      <c r="C496" s="24">
        <v>1343.596</v>
      </c>
      <c r="D496" s="24">
        <v>1343.596</v>
      </c>
      <c r="E496" s="24">
        <v>1343.596</v>
      </c>
      <c r="F496" s="23">
        <f t="shared" si="7"/>
        <v>5.7360661051115668E-3</v>
      </c>
    </row>
    <row r="497" spans="1:6" x14ac:dyDescent="0.35">
      <c r="A497" s="22">
        <v>45177</v>
      </c>
      <c r="B497" s="24">
        <v>1351.894</v>
      </c>
      <c r="C497" s="24">
        <v>1351.894</v>
      </c>
      <c r="D497" s="24">
        <v>1351.894</v>
      </c>
      <c r="E497" s="24">
        <v>1351.894</v>
      </c>
      <c r="F497" s="23">
        <f t="shared" si="7"/>
        <v>6.1759636081083914E-3</v>
      </c>
    </row>
    <row r="498" spans="1:6" x14ac:dyDescent="0.35">
      <c r="A498" s="22">
        <v>45180</v>
      </c>
      <c r="B498" s="24">
        <v>1360.1189999999999</v>
      </c>
      <c r="C498" s="24">
        <v>1360.1189999999999</v>
      </c>
      <c r="D498" s="24">
        <v>1360.1189999999999</v>
      </c>
      <c r="E498" s="24">
        <v>1360.1189999999999</v>
      </c>
      <c r="F498" s="23">
        <f t="shared" si="7"/>
        <v>6.0840568861167434E-3</v>
      </c>
    </row>
    <row r="499" spans="1:6" x14ac:dyDescent="0.35">
      <c r="A499" s="22">
        <v>45181</v>
      </c>
      <c r="B499" s="24">
        <v>1347.461</v>
      </c>
      <c r="C499" s="24">
        <v>1347.461</v>
      </c>
      <c r="D499" s="24">
        <v>1347.461</v>
      </c>
      <c r="E499" s="24">
        <v>1347.461</v>
      </c>
      <c r="F499" s="23">
        <f t="shared" si="7"/>
        <v>-9.3065386190472315E-3</v>
      </c>
    </row>
    <row r="500" spans="1:6" x14ac:dyDescent="0.35">
      <c r="A500" s="22">
        <v>45182</v>
      </c>
      <c r="B500" s="24">
        <v>1354.752</v>
      </c>
      <c r="C500" s="24">
        <v>1354.752</v>
      </c>
      <c r="D500" s="24">
        <v>1354.752</v>
      </c>
      <c r="E500" s="24">
        <v>1354.752</v>
      </c>
      <c r="F500" s="23">
        <f t="shared" si="7"/>
        <v>5.4109172733013723E-3</v>
      </c>
    </row>
    <row r="501" spans="1:6" x14ac:dyDescent="0.35">
      <c r="A501" s="22">
        <v>45183</v>
      </c>
      <c r="B501" s="24">
        <v>1359.894</v>
      </c>
      <c r="C501" s="24">
        <v>1359.894</v>
      </c>
      <c r="D501" s="24">
        <v>1359.894</v>
      </c>
      <c r="E501" s="24">
        <v>1359.894</v>
      </c>
      <c r="F501" s="23">
        <f t="shared" si="7"/>
        <v>3.7955286281179529E-3</v>
      </c>
    </row>
    <row r="502" spans="1:6" x14ac:dyDescent="0.35">
      <c r="A502" s="22">
        <v>45184</v>
      </c>
      <c r="B502" s="24">
        <v>1367.9280000000001</v>
      </c>
      <c r="C502" s="24">
        <v>1367.9280000000001</v>
      </c>
      <c r="D502" s="24">
        <v>1367.9280000000001</v>
      </c>
      <c r="E502" s="24">
        <v>1367.9280000000001</v>
      </c>
      <c r="F502" s="23">
        <f t="shared" si="7"/>
        <v>5.9078134031035545E-3</v>
      </c>
    </row>
    <row r="503" spans="1:6" x14ac:dyDescent="0.35">
      <c r="A503" s="22">
        <v>45187</v>
      </c>
      <c r="B503" s="24">
        <v>1366.606</v>
      </c>
      <c r="C503" s="24">
        <v>1366.606</v>
      </c>
      <c r="D503" s="24">
        <v>1366.606</v>
      </c>
      <c r="E503" s="24">
        <v>1366.606</v>
      </c>
      <c r="F503" s="23">
        <f t="shared" si="7"/>
        <v>-9.6642513348664278E-4</v>
      </c>
    </row>
    <row r="504" spans="1:6" x14ac:dyDescent="0.35">
      <c r="A504" s="22">
        <v>45189</v>
      </c>
      <c r="B504" s="24">
        <v>1354.36</v>
      </c>
      <c r="C504" s="24">
        <v>1354.36</v>
      </c>
      <c r="D504" s="24">
        <v>1354.36</v>
      </c>
      <c r="E504" s="24">
        <v>1354.36</v>
      </c>
      <c r="F504" s="23">
        <f t="shared" si="7"/>
        <v>-8.9608855807746298E-3</v>
      </c>
    </row>
    <row r="505" spans="1:6" x14ac:dyDescent="0.35">
      <c r="A505" s="22">
        <v>45190</v>
      </c>
      <c r="B505" s="24">
        <v>1340.348</v>
      </c>
      <c r="C505" s="24">
        <v>1340.348</v>
      </c>
      <c r="D505" s="24">
        <v>1340.348</v>
      </c>
      <c r="E505" s="24">
        <v>1340.348</v>
      </c>
      <c r="F505" s="23">
        <f t="shared" si="7"/>
        <v>-1.0345846008446753E-2</v>
      </c>
    </row>
    <row r="506" spans="1:6" x14ac:dyDescent="0.35">
      <c r="A506" s="22">
        <v>45191</v>
      </c>
      <c r="B506" s="24">
        <v>1334.8440000000001</v>
      </c>
      <c r="C506" s="24">
        <v>1334.8440000000001</v>
      </c>
      <c r="D506" s="24">
        <v>1334.8440000000001</v>
      </c>
      <c r="E506" s="24">
        <v>1334.8440000000001</v>
      </c>
      <c r="F506" s="23">
        <f t="shared" si="7"/>
        <v>-4.1063962493321929E-3</v>
      </c>
    </row>
    <row r="507" spans="1:6" x14ac:dyDescent="0.35">
      <c r="A507" s="22">
        <v>45194</v>
      </c>
      <c r="B507" s="24">
        <v>1332.7090000000001</v>
      </c>
      <c r="C507" s="24">
        <v>1332.7090000000001</v>
      </c>
      <c r="D507" s="24">
        <v>1332.7090000000001</v>
      </c>
      <c r="E507" s="24">
        <v>1332.7090000000001</v>
      </c>
      <c r="F507" s="23">
        <f t="shared" si="7"/>
        <v>-1.5994378369307506E-3</v>
      </c>
    </row>
    <row r="508" spans="1:6" x14ac:dyDescent="0.35">
      <c r="A508" s="22">
        <v>45195</v>
      </c>
      <c r="B508" s="24">
        <v>1331.2809999999999</v>
      </c>
      <c r="C508" s="24">
        <v>1331.2809999999999</v>
      </c>
      <c r="D508" s="24">
        <v>1331.2809999999999</v>
      </c>
      <c r="E508" s="24">
        <v>1331.2809999999999</v>
      </c>
      <c r="F508" s="23">
        <f t="shared" si="7"/>
        <v>-1.0715017306854766E-3</v>
      </c>
    </row>
    <row r="509" spans="1:6" x14ac:dyDescent="0.35">
      <c r="A509" s="22">
        <v>45196</v>
      </c>
      <c r="B509" s="24">
        <v>1332.011</v>
      </c>
      <c r="C509" s="24">
        <v>1332.011</v>
      </c>
      <c r="D509" s="24">
        <v>1332.011</v>
      </c>
      <c r="E509" s="24">
        <v>1332.011</v>
      </c>
      <c r="F509" s="23">
        <f t="shared" si="7"/>
        <v>5.4834403856136925E-4</v>
      </c>
    </row>
    <row r="510" spans="1:6" x14ac:dyDescent="0.35">
      <c r="A510" s="22">
        <v>45198</v>
      </c>
      <c r="B510" s="24">
        <v>1335.2829999999999</v>
      </c>
      <c r="C510" s="24">
        <v>1335.2829999999999</v>
      </c>
      <c r="D510" s="24">
        <v>1335.2829999999999</v>
      </c>
      <c r="E510" s="24">
        <v>1335.2829999999999</v>
      </c>
      <c r="F510" s="23">
        <f t="shared" si="7"/>
        <v>2.4564361705721157E-3</v>
      </c>
    </row>
    <row r="511" spans="1:6" x14ac:dyDescent="0.35">
      <c r="A511" s="22">
        <v>45202</v>
      </c>
      <c r="B511" s="24">
        <v>1330.8330000000001</v>
      </c>
      <c r="C511" s="24">
        <v>1330.8330000000001</v>
      </c>
      <c r="D511" s="24">
        <v>1330.8330000000001</v>
      </c>
      <c r="E511" s="24">
        <v>1330.8330000000001</v>
      </c>
      <c r="F511" s="23">
        <f t="shared" si="7"/>
        <v>-3.3326268663645222E-3</v>
      </c>
    </row>
    <row r="512" spans="1:6" x14ac:dyDescent="0.35">
      <c r="A512" s="22">
        <v>45203</v>
      </c>
      <c r="B512" s="24">
        <v>1318.9059999999999</v>
      </c>
      <c r="C512" s="24">
        <v>1318.9059999999999</v>
      </c>
      <c r="D512" s="24">
        <v>1318.9059999999999</v>
      </c>
      <c r="E512" s="24">
        <v>1318.9059999999999</v>
      </c>
      <c r="F512" s="23">
        <f t="shared" si="7"/>
        <v>-8.9620560956935498E-3</v>
      </c>
    </row>
    <row r="513" spans="1:6" x14ac:dyDescent="0.35">
      <c r="A513" s="22">
        <v>45204</v>
      </c>
      <c r="B513" s="24">
        <v>1325.298</v>
      </c>
      <c r="C513" s="24">
        <v>1325.298</v>
      </c>
      <c r="D513" s="24">
        <v>1325.298</v>
      </c>
      <c r="E513" s="24">
        <v>1325.298</v>
      </c>
      <c r="F513" s="23">
        <f t="shared" si="7"/>
        <v>4.8464409139089924E-3</v>
      </c>
    </row>
    <row r="514" spans="1:6" x14ac:dyDescent="0.35">
      <c r="A514" s="22">
        <v>45205</v>
      </c>
      <c r="B514" s="24">
        <v>1329.0540000000001</v>
      </c>
      <c r="C514" s="24">
        <v>1329.0540000000001</v>
      </c>
      <c r="D514" s="24">
        <v>1329.0540000000001</v>
      </c>
      <c r="E514" s="24">
        <v>1329.0540000000001</v>
      </c>
      <c r="F514" s="23">
        <f t="shared" si="7"/>
        <v>2.8340795805925048E-3</v>
      </c>
    </row>
    <row r="515" spans="1:6" x14ac:dyDescent="0.35">
      <c r="A515" s="22">
        <v>45208</v>
      </c>
      <c r="B515" s="24">
        <v>1320.2329999999999</v>
      </c>
      <c r="C515" s="24">
        <v>1320.2329999999999</v>
      </c>
      <c r="D515" s="24">
        <v>1320.2329999999999</v>
      </c>
      <c r="E515" s="24">
        <v>1320.2329999999999</v>
      </c>
      <c r="F515" s="23">
        <f t="shared" ref="F515:F578" si="8">(B515-B514)/B514</f>
        <v>-6.6370516171653966E-3</v>
      </c>
    </row>
    <row r="516" spans="1:6" x14ac:dyDescent="0.35">
      <c r="A516" s="22">
        <v>45209</v>
      </c>
      <c r="B516" s="24">
        <v>1334.8440000000001</v>
      </c>
      <c r="C516" s="24">
        <v>1334.8440000000001</v>
      </c>
      <c r="D516" s="24">
        <v>1334.8440000000001</v>
      </c>
      <c r="E516" s="24">
        <v>1334.8440000000001</v>
      </c>
      <c r="F516" s="23">
        <f t="shared" si="8"/>
        <v>1.1066985903245945E-2</v>
      </c>
    </row>
    <row r="517" spans="1:6" x14ac:dyDescent="0.35">
      <c r="A517" s="22">
        <v>45210</v>
      </c>
      <c r="B517" s="24">
        <v>1339.1220000000001</v>
      </c>
      <c r="C517" s="24">
        <v>1339.1220000000001</v>
      </c>
      <c r="D517" s="24">
        <v>1339.1220000000001</v>
      </c>
      <c r="E517" s="24">
        <v>1339.1220000000001</v>
      </c>
      <c r="F517" s="23">
        <f t="shared" si="8"/>
        <v>3.2048688835549471E-3</v>
      </c>
    </row>
    <row r="518" spans="1:6" x14ac:dyDescent="0.35">
      <c r="A518" s="22">
        <v>45211</v>
      </c>
      <c r="B518" s="24">
        <v>1337.8109999999999</v>
      </c>
      <c r="C518" s="24">
        <v>1337.8109999999999</v>
      </c>
      <c r="D518" s="24">
        <v>1337.8109999999999</v>
      </c>
      <c r="E518" s="24">
        <v>1337.8109999999999</v>
      </c>
      <c r="F518" s="23">
        <f t="shared" si="8"/>
        <v>-9.7899967292012905E-4</v>
      </c>
    </row>
    <row r="519" spans="1:6" x14ac:dyDescent="0.35">
      <c r="A519" s="22">
        <v>45212</v>
      </c>
      <c r="B519" s="24">
        <v>1334.328</v>
      </c>
      <c r="C519" s="24">
        <v>1334.328</v>
      </c>
      <c r="D519" s="24">
        <v>1334.328</v>
      </c>
      <c r="E519" s="24">
        <v>1334.328</v>
      </c>
      <c r="F519" s="23">
        <f t="shared" si="8"/>
        <v>-2.6035067733782631E-3</v>
      </c>
    </row>
    <row r="520" spans="1:6" x14ac:dyDescent="0.35">
      <c r="A520" s="22">
        <v>45215</v>
      </c>
      <c r="B520" s="24">
        <v>1337.9490000000001</v>
      </c>
      <c r="C520" s="24">
        <v>1337.9490000000001</v>
      </c>
      <c r="D520" s="24">
        <v>1337.9490000000001</v>
      </c>
      <c r="E520" s="24">
        <v>1337.9490000000001</v>
      </c>
      <c r="F520" s="23">
        <f t="shared" si="8"/>
        <v>2.713725560731765E-3</v>
      </c>
    </row>
    <row r="521" spans="1:6" x14ac:dyDescent="0.35">
      <c r="A521" s="22">
        <v>45216</v>
      </c>
      <c r="B521" s="24">
        <v>1343.8789999999999</v>
      </c>
      <c r="C521" s="24">
        <v>1343.8789999999999</v>
      </c>
      <c r="D521" s="24">
        <v>1343.8789999999999</v>
      </c>
      <c r="E521" s="24">
        <v>1343.8789999999999</v>
      </c>
      <c r="F521" s="23">
        <f t="shared" si="8"/>
        <v>4.4321569805723807E-3</v>
      </c>
    </row>
    <row r="522" spans="1:6" x14ac:dyDescent="0.35">
      <c r="A522" s="22">
        <v>45217</v>
      </c>
      <c r="B522" s="24">
        <v>1339.2750000000001</v>
      </c>
      <c r="C522" s="24">
        <v>1339.2750000000001</v>
      </c>
      <c r="D522" s="24">
        <v>1339.2750000000001</v>
      </c>
      <c r="E522" s="24">
        <v>1339.2750000000001</v>
      </c>
      <c r="F522" s="23">
        <f t="shared" si="8"/>
        <v>-3.425903671386944E-3</v>
      </c>
    </row>
    <row r="523" spans="1:6" x14ac:dyDescent="0.35">
      <c r="A523" s="22">
        <v>45218</v>
      </c>
      <c r="B523" s="24">
        <v>1335.615</v>
      </c>
      <c r="C523" s="24">
        <v>1335.615</v>
      </c>
      <c r="D523" s="24">
        <v>1335.615</v>
      </c>
      <c r="E523" s="24">
        <v>1335.615</v>
      </c>
      <c r="F523" s="23">
        <f t="shared" si="8"/>
        <v>-2.7328218625749614E-3</v>
      </c>
    </row>
    <row r="524" spans="1:6" x14ac:dyDescent="0.35">
      <c r="A524" s="22">
        <v>45219</v>
      </c>
      <c r="B524" s="24">
        <v>1329.7560000000001</v>
      </c>
      <c r="C524" s="24">
        <v>1329.7560000000001</v>
      </c>
      <c r="D524" s="24">
        <v>1329.7560000000001</v>
      </c>
      <c r="E524" s="24">
        <v>1329.7560000000001</v>
      </c>
      <c r="F524" s="23">
        <f t="shared" si="8"/>
        <v>-4.3867431857233736E-3</v>
      </c>
    </row>
    <row r="525" spans="1:6" x14ac:dyDescent="0.35">
      <c r="A525" s="22">
        <v>45222</v>
      </c>
      <c r="B525" s="24">
        <v>1311.663</v>
      </c>
      <c r="C525" s="24">
        <v>1311.663</v>
      </c>
      <c r="D525" s="24">
        <v>1311.663</v>
      </c>
      <c r="E525" s="24">
        <v>1311.663</v>
      </c>
      <c r="F525" s="23">
        <f t="shared" si="8"/>
        <v>-1.3606255583731205E-2</v>
      </c>
    </row>
    <row r="526" spans="1:6" x14ac:dyDescent="0.35">
      <c r="A526" s="22">
        <v>45224</v>
      </c>
      <c r="B526" s="24">
        <v>1298.114</v>
      </c>
      <c r="C526" s="24">
        <v>1298.114</v>
      </c>
      <c r="D526" s="24">
        <v>1298.114</v>
      </c>
      <c r="E526" s="24">
        <v>1298.114</v>
      </c>
      <c r="F526" s="23">
        <f t="shared" si="8"/>
        <v>-1.0329634974837271E-2</v>
      </c>
    </row>
    <row r="527" spans="1:6" x14ac:dyDescent="0.35">
      <c r="A527" s="22">
        <v>45225</v>
      </c>
      <c r="B527" s="24">
        <v>1285.395</v>
      </c>
      <c r="C527" s="24">
        <v>1285.395</v>
      </c>
      <c r="D527" s="24">
        <v>1285.395</v>
      </c>
      <c r="E527" s="24">
        <v>1285.395</v>
      </c>
      <c r="F527" s="23">
        <f t="shared" si="8"/>
        <v>-9.7980608790907819E-3</v>
      </c>
    </row>
    <row r="528" spans="1:6" x14ac:dyDescent="0.35">
      <c r="A528" s="22">
        <v>45226</v>
      </c>
      <c r="B528" s="24">
        <v>1300.3389999999999</v>
      </c>
      <c r="C528" s="24">
        <v>1300.3389999999999</v>
      </c>
      <c r="D528" s="24">
        <v>1300.3389999999999</v>
      </c>
      <c r="E528" s="24">
        <v>1300.3389999999999</v>
      </c>
      <c r="F528" s="23">
        <f t="shared" si="8"/>
        <v>1.1625998234005858E-2</v>
      </c>
    </row>
    <row r="529" spans="1:6" x14ac:dyDescent="0.35">
      <c r="A529" s="22">
        <v>45229</v>
      </c>
      <c r="B529" s="24">
        <v>1304.7860000000001</v>
      </c>
      <c r="C529" s="24">
        <v>1304.7860000000001</v>
      </c>
      <c r="D529" s="24">
        <v>1304.7860000000001</v>
      </c>
      <c r="E529" s="24">
        <v>1304.7860000000001</v>
      </c>
      <c r="F529" s="23">
        <f t="shared" si="8"/>
        <v>3.4198774319620625E-3</v>
      </c>
    </row>
    <row r="530" spans="1:6" x14ac:dyDescent="0.35">
      <c r="A530" s="22">
        <v>45230</v>
      </c>
      <c r="B530" s="24">
        <v>1303.694</v>
      </c>
      <c r="C530" s="24">
        <v>1303.694</v>
      </c>
      <c r="D530" s="24">
        <v>1303.694</v>
      </c>
      <c r="E530" s="24">
        <v>1303.694</v>
      </c>
      <c r="F530" s="23">
        <f t="shared" si="8"/>
        <v>-8.3691885106070897E-4</v>
      </c>
    </row>
    <row r="531" spans="1:6" x14ac:dyDescent="0.35">
      <c r="A531" s="22">
        <v>45231</v>
      </c>
      <c r="B531" s="24">
        <v>1298.2080000000001</v>
      </c>
      <c r="C531" s="24">
        <v>1298.2080000000001</v>
      </c>
      <c r="D531" s="24">
        <v>1298.2080000000001</v>
      </c>
      <c r="E531" s="24">
        <v>1298.2080000000001</v>
      </c>
      <c r="F531" s="23">
        <f t="shared" si="8"/>
        <v>-4.2080426848630711E-3</v>
      </c>
    </row>
    <row r="532" spans="1:6" x14ac:dyDescent="0.35">
      <c r="A532" s="22">
        <v>45232</v>
      </c>
      <c r="B532" s="24">
        <v>1308.71</v>
      </c>
      <c r="C532" s="24">
        <v>1308.71</v>
      </c>
      <c r="D532" s="24">
        <v>1308.71</v>
      </c>
      <c r="E532" s="24">
        <v>1308.71</v>
      </c>
      <c r="F532" s="23">
        <f t="shared" si="8"/>
        <v>8.0896127585101552E-3</v>
      </c>
    </row>
    <row r="533" spans="1:6" x14ac:dyDescent="0.35">
      <c r="A533" s="22">
        <v>45233</v>
      </c>
      <c r="B533" s="24">
        <v>1319.1969999999999</v>
      </c>
      <c r="C533" s="24">
        <v>1319.1969999999999</v>
      </c>
      <c r="D533" s="24">
        <v>1319.1969999999999</v>
      </c>
      <c r="E533" s="24">
        <v>1319.1969999999999</v>
      </c>
      <c r="F533" s="23">
        <f t="shared" si="8"/>
        <v>8.013234406400083E-3</v>
      </c>
    </row>
    <row r="534" spans="1:6" x14ac:dyDescent="0.35">
      <c r="A534" s="22">
        <v>45236</v>
      </c>
      <c r="B534" s="24">
        <v>1326.9159999999999</v>
      </c>
      <c r="C534" s="24">
        <v>1326.9159999999999</v>
      </c>
      <c r="D534" s="24">
        <v>1326.9159999999999</v>
      </c>
      <c r="E534" s="24">
        <v>1326.9159999999999</v>
      </c>
      <c r="F534" s="23">
        <f t="shared" si="8"/>
        <v>5.8512868055340117E-3</v>
      </c>
    </row>
    <row r="535" spans="1:6" x14ac:dyDescent="0.35">
      <c r="A535" s="22">
        <v>45237</v>
      </c>
      <c r="B535" s="24">
        <v>1331.768</v>
      </c>
      <c r="C535" s="24">
        <v>1331.768</v>
      </c>
      <c r="D535" s="24">
        <v>1331.768</v>
      </c>
      <c r="E535" s="24">
        <v>1331.768</v>
      </c>
      <c r="F535" s="23">
        <f t="shared" si="8"/>
        <v>3.6565992120074589E-3</v>
      </c>
    </row>
    <row r="536" spans="1:6" x14ac:dyDescent="0.35">
      <c r="A536" s="22">
        <v>45238</v>
      </c>
      <c r="B536" s="24">
        <v>1333.5239999999999</v>
      </c>
      <c r="C536" s="24">
        <v>1333.5239999999999</v>
      </c>
      <c r="D536" s="24">
        <v>1333.5239999999999</v>
      </c>
      <c r="E536" s="24">
        <v>1333.5239999999999</v>
      </c>
      <c r="F536" s="23">
        <f t="shared" si="8"/>
        <v>1.3185479753229227E-3</v>
      </c>
    </row>
    <row r="537" spans="1:6" x14ac:dyDescent="0.35">
      <c r="A537" s="22">
        <v>45239</v>
      </c>
      <c r="B537" s="24">
        <v>1336.809</v>
      </c>
      <c r="C537" s="24">
        <v>1336.809</v>
      </c>
      <c r="D537" s="24">
        <v>1336.809</v>
      </c>
      <c r="E537" s="24">
        <v>1336.809</v>
      </c>
      <c r="F537" s="23">
        <f t="shared" si="8"/>
        <v>2.4633977341240818E-3</v>
      </c>
    </row>
    <row r="538" spans="1:6" x14ac:dyDescent="0.35">
      <c r="A538" s="22">
        <v>45240</v>
      </c>
      <c r="B538" s="24">
        <v>1340.3240000000001</v>
      </c>
      <c r="C538" s="24">
        <v>1340.3240000000001</v>
      </c>
      <c r="D538" s="24">
        <v>1340.3240000000001</v>
      </c>
      <c r="E538" s="24">
        <v>1340.3240000000001</v>
      </c>
      <c r="F538" s="23">
        <f t="shared" si="8"/>
        <v>2.6293958224399296E-3</v>
      </c>
    </row>
    <row r="539" spans="1:6" x14ac:dyDescent="0.35">
      <c r="A539" s="22">
        <v>45243</v>
      </c>
      <c r="B539" s="24">
        <v>1340.278</v>
      </c>
      <c r="C539" s="24">
        <v>1340.278</v>
      </c>
      <c r="D539" s="24">
        <v>1340.278</v>
      </c>
      <c r="E539" s="24">
        <v>1340.278</v>
      </c>
      <c r="F539" s="23">
        <f t="shared" si="8"/>
        <v>-3.4320059925845627E-5</v>
      </c>
    </row>
    <row r="540" spans="1:6" x14ac:dyDescent="0.35">
      <c r="A540" s="22">
        <v>45245</v>
      </c>
      <c r="B540" s="24">
        <v>1353.77</v>
      </c>
      <c r="C540" s="24">
        <v>1353.77</v>
      </c>
      <c r="D540" s="24">
        <v>1353.77</v>
      </c>
      <c r="E540" s="24">
        <v>1353.77</v>
      </c>
      <c r="F540" s="23">
        <f t="shared" si="8"/>
        <v>1.0066568279118185E-2</v>
      </c>
    </row>
    <row r="541" spans="1:6" x14ac:dyDescent="0.35">
      <c r="A541" s="22">
        <v>45246</v>
      </c>
      <c r="B541" s="24">
        <v>1363.662</v>
      </c>
      <c r="C541" s="24">
        <v>1363.662</v>
      </c>
      <c r="D541" s="24">
        <v>1363.662</v>
      </c>
      <c r="E541" s="24">
        <v>1363.662</v>
      </c>
      <c r="F541" s="23">
        <f t="shared" si="8"/>
        <v>7.3070019279493949E-3</v>
      </c>
    </row>
    <row r="542" spans="1:6" x14ac:dyDescent="0.35">
      <c r="A542" s="22">
        <v>45247</v>
      </c>
      <c r="B542" s="24">
        <v>1362.5509999999999</v>
      </c>
      <c r="C542" s="24">
        <v>1362.5509999999999</v>
      </c>
      <c r="D542" s="24">
        <v>1362.5509999999999</v>
      </c>
      <c r="E542" s="24">
        <v>1362.5509999999999</v>
      </c>
      <c r="F542" s="23">
        <f t="shared" si="8"/>
        <v>-8.1471801663469663E-4</v>
      </c>
    </row>
    <row r="543" spans="1:6" x14ac:dyDescent="0.35">
      <c r="A543" s="22">
        <v>45250</v>
      </c>
      <c r="B543" s="24">
        <v>1363.1310000000001</v>
      </c>
      <c r="C543" s="24">
        <v>1363.1310000000001</v>
      </c>
      <c r="D543" s="24">
        <v>1363.1310000000001</v>
      </c>
      <c r="E543" s="24">
        <v>1363.1310000000001</v>
      </c>
      <c r="F543" s="23">
        <f t="shared" si="8"/>
        <v>4.2567213997872716E-4</v>
      </c>
    </row>
    <row r="544" spans="1:6" x14ac:dyDescent="0.35">
      <c r="A544" s="22">
        <v>45251</v>
      </c>
      <c r="B544" s="24">
        <v>1367.644</v>
      </c>
      <c r="C544" s="24">
        <v>1367.644</v>
      </c>
      <c r="D544" s="24">
        <v>1367.644</v>
      </c>
      <c r="E544" s="24">
        <v>1367.644</v>
      </c>
      <c r="F544" s="23">
        <f t="shared" si="8"/>
        <v>3.3107603011008624E-3</v>
      </c>
    </row>
    <row r="545" spans="1:6" x14ac:dyDescent="0.35">
      <c r="A545" s="22">
        <v>45252</v>
      </c>
      <c r="B545" s="24">
        <v>1367.654</v>
      </c>
      <c r="C545" s="24">
        <v>1367.654</v>
      </c>
      <c r="D545" s="24">
        <v>1367.654</v>
      </c>
      <c r="E545" s="24">
        <v>1367.654</v>
      </c>
      <c r="F545" s="23">
        <f t="shared" si="8"/>
        <v>7.3118443103548179E-6</v>
      </c>
    </row>
    <row r="546" spans="1:6" x14ac:dyDescent="0.35">
      <c r="A546" s="22">
        <v>45253</v>
      </c>
      <c r="B546" s="24">
        <v>1363.9059999999999</v>
      </c>
      <c r="C546" s="24">
        <v>1363.9059999999999</v>
      </c>
      <c r="D546" s="24">
        <v>1363.9059999999999</v>
      </c>
      <c r="E546" s="24">
        <v>1363.9059999999999</v>
      </c>
      <c r="F546" s="23">
        <f t="shared" si="8"/>
        <v>-2.7404592097124325E-3</v>
      </c>
    </row>
    <row r="547" spans="1:6" x14ac:dyDescent="0.35">
      <c r="A547" s="22">
        <v>45254</v>
      </c>
      <c r="B547" s="24">
        <v>1369.499</v>
      </c>
      <c r="C547" s="24">
        <v>1369.499</v>
      </c>
      <c r="D547" s="24">
        <v>1369.499</v>
      </c>
      <c r="E547" s="24">
        <v>1369.499</v>
      </c>
      <c r="F547" s="23">
        <f t="shared" si="8"/>
        <v>4.1007224838075897E-3</v>
      </c>
    </row>
    <row r="548" spans="1:6" x14ac:dyDescent="0.35">
      <c r="A548" s="22">
        <v>45258</v>
      </c>
      <c r="B548" s="24">
        <v>1375.3879999999999</v>
      </c>
      <c r="C548" s="24">
        <v>1375.3879999999999</v>
      </c>
      <c r="D548" s="24">
        <v>1375.3879999999999</v>
      </c>
      <c r="E548" s="24">
        <v>1375.3879999999999</v>
      </c>
      <c r="F548" s="23">
        <f t="shared" si="8"/>
        <v>4.3001126689394412E-3</v>
      </c>
    </row>
    <row r="549" spans="1:6" x14ac:dyDescent="0.35">
      <c r="A549" s="22">
        <v>45259</v>
      </c>
      <c r="B549" s="24">
        <v>1389.537</v>
      </c>
      <c r="C549" s="24">
        <v>1389.537</v>
      </c>
      <c r="D549" s="24">
        <v>1389.537</v>
      </c>
      <c r="E549" s="24">
        <v>1389.537</v>
      </c>
      <c r="F549" s="23">
        <f t="shared" si="8"/>
        <v>1.0287278935107849E-2</v>
      </c>
    </row>
    <row r="550" spans="1:6" x14ac:dyDescent="0.35">
      <c r="A550" s="22">
        <v>45260</v>
      </c>
      <c r="B550" s="24">
        <v>1399.9580000000001</v>
      </c>
      <c r="C550" s="24">
        <v>1399.9580000000001</v>
      </c>
      <c r="D550" s="24">
        <v>1399.9580000000001</v>
      </c>
      <c r="E550" s="24">
        <v>1399.9580000000001</v>
      </c>
      <c r="F550" s="23">
        <f t="shared" si="8"/>
        <v>7.4996203771472434E-3</v>
      </c>
    </row>
    <row r="551" spans="1:6" x14ac:dyDescent="0.35">
      <c r="A551" s="22">
        <v>45261</v>
      </c>
      <c r="B551" s="24">
        <v>1410.7639999999999</v>
      </c>
      <c r="C551" s="24">
        <v>1410.7639999999999</v>
      </c>
      <c r="D551" s="24">
        <v>1410.7639999999999</v>
      </c>
      <c r="E551" s="24">
        <v>1410.7639999999999</v>
      </c>
      <c r="F551" s="23">
        <f t="shared" si="8"/>
        <v>7.7188029926610743E-3</v>
      </c>
    </row>
    <row r="552" spans="1:6" x14ac:dyDescent="0.35">
      <c r="A552" s="22">
        <v>45264</v>
      </c>
      <c r="B552" s="24">
        <v>1440.5360000000001</v>
      </c>
      <c r="C552" s="24">
        <v>1440.5360000000001</v>
      </c>
      <c r="D552" s="24">
        <v>1440.5360000000001</v>
      </c>
      <c r="E552" s="24">
        <v>1440.5360000000001</v>
      </c>
      <c r="F552" s="23">
        <f t="shared" si="8"/>
        <v>2.1103458835071042E-2</v>
      </c>
    </row>
    <row r="553" spans="1:6" x14ac:dyDescent="0.35">
      <c r="A553" s="22">
        <v>45265</v>
      </c>
      <c r="B553" s="24">
        <v>1450.963</v>
      </c>
      <c r="C553" s="24">
        <v>1450.963</v>
      </c>
      <c r="D553" s="24">
        <v>1450.963</v>
      </c>
      <c r="E553" s="24">
        <v>1450.963</v>
      </c>
      <c r="F553" s="23">
        <f t="shared" si="8"/>
        <v>7.2382779743094981E-3</v>
      </c>
    </row>
    <row r="554" spans="1:6" x14ac:dyDescent="0.35">
      <c r="A554" s="22">
        <v>45266</v>
      </c>
      <c r="B554" s="24">
        <v>1451.076</v>
      </c>
      <c r="C554" s="24">
        <v>1451.076</v>
      </c>
      <c r="D554" s="24">
        <v>1451.076</v>
      </c>
      <c r="E554" s="24">
        <v>1451.076</v>
      </c>
      <c r="F554" s="23">
        <f t="shared" si="8"/>
        <v>7.787931187773664E-5</v>
      </c>
    </row>
    <row r="555" spans="1:6" x14ac:dyDescent="0.35">
      <c r="A555" s="22">
        <v>45267</v>
      </c>
      <c r="B555" s="24">
        <v>1454.248</v>
      </c>
      <c r="C555" s="24">
        <v>1454.248</v>
      </c>
      <c r="D555" s="24">
        <v>1454.248</v>
      </c>
      <c r="E555" s="24">
        <v>1454.248</v>
      </c>
      <c r="F555" s="23">
        <f t="shared" si="8"/>
        <v>2.1859640707998927E-3</v>
      </c>
    </row>
    <row r="556" spans="1:6" x14ac:dyDescent="0.35">
      <c r="A556" s="22">
        <v>45268</v>
      </c>
      <c r="B556" s="24">
        <v>1464.5840000000001</v>
      </c>
      <c r="C556" s="24">
        <v>1464.5840000000001</v>
      </c>
      <c r="D556" s="24">
        <v>1464.5840000000001</v>
      </c>
      <c r="E556" s="24">
        <v>1464.5840000000001</v>
      </c>
      <c r="F556" s="23">
        <f t="shared" si="8"/>
        <v>7.10745347423549E-3</v>
      </c>
    </row>
    <row r="557" spans="1:6" x14ac:dyDescent="0.35">
      <c r="A557" s="22">
        <v>45271</v>
      </c>
      <c r="B557" s="24">
        <v>1466.06</v>
      </c>
      <c r="C557" s="24">
        <v>1466.06</v>
      </c>
      <c r="D557" s="24">
        <v>1466.06</v>
      </c>
      <c r="E557" s="24">
        <v>1466.06</v>
      </c>
      <c r="F557" s="23">
        <f t="shared" si="8"/>
        <v>1.0077947048444374E-3</v>
      </c>
    </row>
    <row r="558" spans="1:6" x14ac:dyDescent="0.35">
      <c r="A558" s="22">
        <v>45272</v>
      </c>
      <c r="B558" s="24">
        <v>1458.758</v>
      </c>
      <c r="C558" s="24">
        <v>1458.758</v>
      </c>
      <c r="D558" s="24">
        <v>1458.758</v>
      </c>
      <c r="E558" s="24">
        <v>1458.758</v>
      </c>
      <c r="F558" s="23">
        <f t="shared" si="8"/>
        <v>-4.9806965608501065E-3</v>
      </c>
    </row>
    <row r="559" spans="1:6" x14ac:dyDescent="0.35">
      <c r="A559" s="22">
        <v>45273</v>
      </c>
      <c r="B559" s="24">
        <v>1466.4659999999999</v>
      </c>
      <c r="C559" s="24">
        <v>1466.4659999999999</v>
      </c>
      <c r="D559" s="24">
        <v>1466.4659999999999</v>
      </c>
      <c r="E559" s="24">
        <v>1466.4659999999999</v>
      </c>
      <c r="F559" s="23">
        <f t="shared" si="8"/>
        <v>5.2839470289107971E-3</v>
      </c>
    </row>
    <row r="560" spans="1:6" x14ac:dyDescent="0.35">
      <c r="A560" s="22">
        <v>45274</v>
      </c>
      <c r="B560" s="24">
        <v>1479.3989999999999</v>
      </c>
      <c r="C560" s="24">
        <v>1479.3989999999999</v>
      </c>
      <c r="D560" s="24">
        <v>1479.3989999999999</v>
      </c>
      <c r="E560" s="24">
        <v>1479.3989999999999</v>
      </c>
      <c r="F560" s="23">
        <f t="shared" si="8"/>
        <v>8.8191611670505789E-3</v>
      </c>
    </row>
    <row r="561" spans="1:6" x14ac:dyDescent="0.35">
      <c r="A561" s="22">
        <v>45275</v>
      </c>
      <c r="B561" s="24">
        <v>1492.454</v>
      </c>
      <c r="C561" s="24">
        <v>1492.454</v>
      </c>
      <c r="D561" s="24">
        <v>1492.454</v>
      </c>
      <c r="E561" s="24">
        <v>1492.454</v>
      </c>
      <c r="F561" s="23">
        <f t="shared" si="8"/>
        <v>8.8245294203930548E-3</v>
      </c>
    </row>
    <row r="562" spans="1:6" x14ac:dyDescent="0.35">
      <c r="A562" s="22">
        <v>45278</v>
      </c>
      <c r="B562" s="24">
        <v>1489.751</v>
      </c>
      <c r="C562" s="24">
        <v>1489.751</v>
      </c>
      <c r="D562" s="24">
        <v>1489.751</v>
      </c>
      <c r="E562" s="24">
        <v>1489.751</v>
      </c>
      <c r="F562" s="23">
        <f t="shared" si="8"/>
        <v>-1.811111096221374E-3</v>
      </c>
    </row>
    <row r="563" spans="1:6" x14ac:dyDescent="0.35">
      <c r="A563" s="22">
        <v>45279</v>
      </c>
      <c r="B563" s="24">
        <v>1492.828</v>
      </c>
      <c r="C563" s="24">
        <v>1492.828</v>
      </c>
      <c r="D563" s="24">
        <v>1492.828</v>
      </c>
      <c r="E563" s="24">
        <v>1492.828</v>
      </c>
      <c r="F563" s="23">
        <f t="shared" si="8"/>
        <v>2.0654458362504863E-3</v>
      </c>
    </row>
    <row r="564" spans="1:6" x14ac:dyDescent="0.35">
      <c r="A564" s="22">
        <v>45280</v>
      </c>
      <c r="B564" s="24">
        <v>1467.2149999999999</v>
      </c>
      <c r="C564" s="24">
        <v>1467.2149999999999</v>
      </c>
      <c r="D564" s="24">
        <v>1467.2149999999999</v>
      </c>
      <c r="E564" s="24">
        <v>1467.2149999999999</v>
      </c>
      <c r="F564" s="23">
        <f t="shared" si="8"/>
        <v>-1.7157368430924431E-2</v>
      </c>
    </row>
    <row r="565" spans="1:6" x14ac:dyDescent="0.35">
      <c r="A565" s="22">
        <v>45281</v>
      </c>
      <c r="B565" s="24">
        <v>1473.847</v>
      </c>
      <c r="C565" s="24">
        <v>1473.847</v>
      </c>
      <c r="D565" s="24">
        <v>1473.847</v>
      </c>
      <c r="E565" s="24">
        <v>1473.847</v>
      </c>
      <c r="F565" s="23">
        <f t="shared" si="8"/>
        <v>4.5201282702262875E-3</v>
      </c>
    </row>
    <row r="566" spans="1:6" x14ac:dyDescent="0.35">
      <c r="A566" s="22">
        <v>45282</v>
      </c>
      <c r="B566" s="24">
        <v>1479.106</v>
      </c>
      <c r="C566" s="24">
        <v>1479.106</v>
      </c>
      <c r="D566" s="24">
        <v>1479.106</v>
      </c>
      <c r="E566" s="24">
        <v>1479.106</v>
      </c>
      <c r="F566" s="23">
        <f t="shared" si="8"/>
        <v>3.5682129827587358E-3</v>
      </c>
    </row>
    <row r="567" spans="1:6" x14ac:dyDescent="0.35">
      <c r="A567" s="22">
        <v>45286</v>
      </c>
      <c r="B567" s="24">
        <v>1491.33</v>
      </c>
      <c r="C567" s="24">
        <v>1491.33</v>
      </c>
      <c r="D567" s="24">
        <v>1491.33</v>
      </c>
      <c r="E567" s="24">
        <v>1491.33</v>
      </c>
      <c r="F567" s="23">
        <f t="shared" si="8"/>
        <v>8.2644516349740533E-3</v>
      </c>
    </row>
    <row r="568" spans="1:6" x14ac:dyDescent="0.35">
      <c r="A568" s="22">
        <v>45287</v>
      </c>
      <c r="B568" s="24">
        <v>1501.482</v>
      </c>
      <c r="C568" s="24">
        <v>1501.482</v>
      </c>
      <c r="D568" s="24">
        <v>1501.482</v>
      </c>
      <c r="E568" s="24">
        <v>1501.482</v>
      </c>
      <c r="F568" s="23">
        <f t="shared" si="8"/>
        <v>6.8073464625535889E-3</v>
      </c>
    </row>
    <row r="569" spans="1:6" x14ac:dyDescent="0.35">
      <c r="A569" s="22">
        <v>45288</v>
      </c>
      <c r="B569" s="24">
        <v>1511.66</v>
      </c>
      <c r="C569" s="24">
        <v>1511.66</v>
      </c>
      <c r="D569" s="24">
        <v>1511.66</v>
      </c>
      <c r="E569" s="24">
        <v>1511.66</v>
      </c>
      <c r="F569" s="23">
        <f t="shared" si="8"/>
        <v>6.7786360409249737E-3</v>
      </c>
    </row>
    <row r="570" spans="1:6" x14ac:dyDescent="0.35">
      <c r="A570" s="22">
        <v>45289</v>
      </c>
      <c r="B570" s="24">
        <v>1506.1410000000001</v>
      </c>
      <c r="C570" s="24">
        <v>1506.1410000000001</v>
      </c>
      <c r="D570" s="24">
        <v>1506.1410000000001</v>
      </c>
      <c r="E570" s="24">
        <v>1506.1410000000001</v>
      </c>
      <c r="F570" s="23">
        <f t="shared" si="8"/>
        <v>-3.6509532566847075E-3</v>
      </c>
    </row>
    <row r="571" spans="1:6" x14ac:dyDescent="0.35">
      <c r="A571" s="22">
        <v>45292</v>
      </c>
      <c r="B571" s="24">
        <v>1507.0119999999999</v>
      </c>
      <c r="C571" s="24">
        <v>1507.0119999999999</v>
      </c>
      <c r="D571" s="24">
        <v>1507.0119999999999</v>
      </c>
      <c r="E571" s="24">
        <v>1507.0119999999999</v>
      </c>
      <c r="F571" s="23">
        <f t="shared" si="8"/>
        <v>5.7829911010978869E-4</v>
      </c>
    </row>
    <row r="572" spans="1:6" x14ac:dyDescent="0.35">
      <c r="A572" s="22">
        <v>45293</v>
      </c>
      <c r="B572" s="24">
        <v>1501.829</v>
      </c>
      <c r="C572" s="24">
        <v>1501.829</v>
      </c>
      <c r="D572" s="24">
        <v>1501.829</v>
      </c>
      <c r="E572" s="24">
        <v>1501.829</v>
      </c>
      <c r="F572" s="23">
        <f t="shared" si="8"/>
        <v>-3.4392559581476411E-3</v>
      </c>
    </row>
    <row r="573" spans="1:6" x14ac:dyDescent="0.35">
      <c r="A573" s="22">
        <v>45294</v>
      </c>
      <c r="B573" s="24">
        <v>1503.0060000000001</v>
      </c>
      <c r="C573" s="24">
        <v>1503.0060000000001</v>
      </c>
      <c r="D573" s="24">
        <v>1503.0060000000001</v>
      </c>
      <c r="E573" s="24">
        <v>1503.0060000000001</v>
      </c>
      <c r="F573" s="23">
        <f t="shared" si="8"/>
        <v>7.8371106164558987E-4</v>
      </c>
    </row>
    <row r="574" spans="1:6" x14ac:dyDescent="0.35">
      <c r="A574" s="22">
        <v>45295</v>
      </c>
      <c r="B574" s="24">
        <v>1515.3620000000001</v>
      </c>
      <c r="C574" s="24">
        <v>1515.3620000000001</v>
      </c>
      <c r="D574" s="24">
        <v>1515.3620000000001</v>
      </c>
      <c r="E574" s="24">
        <v>1515.3620000000001</v>
      </c>
      <c r="F574" s="23">
        <f t="shared" si="8"/>
        <v>8.2208587324335333E-3</v>
      </c>
    </row>
    <row r="575" spans="1:6" x14ac:dyDescent="0.35">
      <c r="A575" s="22">
        <v>45296</v>
      </c>
      <c r="B575" s="24">
        <v>1520.4580000000001</v>
      </c>
      <c r="C575" s="24">
        <v>1520.4580000000001</v>
      </c>
      <c r="D575" s="24">
        <v>1520.4580000000001</v>
      </c>
      <c r="E575" s="24">
        <v>1520.4580000000001</v>
      </c>
      <c r="F575" s="23">
        <f t="shared" si="8"/>
        <v>3.3628928269284855E-3</v>
      </c>
    </row>
    <row r="576" spans="1:6" x14ac:dyDescent="0.35">
      <c r="A576" s="22">
        <v>45299</v>
      </c>
      <c r="B576" s="24">
        <v>1509.1610000000001</v>
      </c>
      <c r="C576" s="24">
        <v>1509.1610000000001</v>
      </c>
      <c r="D576" s="24">
        <v>1509.1610000000001</v>
      </c>
      <c r="E576" s="24">
        <v>1509.1610000000001</v>
      </c>
      <c r="F576" s="23">
        <f t="shared" si="8"/>
        <v>-7.4299980663721224E-3</v>
      </c>
    </row>
    <row r="577" spans="1:6" x14ac:dyDescent="0.35">
      <c r="A577" s="22">
        <v>45300</v>
      </c>
      <c r="B577" s="24">
        <v>1514.826</v>
      </c>
      <c r="C577" s="24">
        <v>1514.826</v>
      </c>
      <c r="D577" s="24">
        <v>1514.826</v>
      </c>
      <c r="E577" s="24">
        <v>1514.826</v>
      </c>
      <c r="F577" s="23">
        <f t="shared" si="8"/>
        <v>3.7537413171954241E-3</v>
      </c>
    </row>
    <row r="578" spans="1:6" x14ac:dyDescent="0.35">
      <c r="A578" s="22">
        <v>45301</v>
      </c>
      <c r="B578" s="24">
        <v>1520.712</v>
      </c>
      <c r="C578" s="24">
        <v>1520.712</v>
      </c>
      <c r="D578" s="24">
        <v>1520.712</v>
      </c>
      <c r="E578" s="24">
        <v>1520.712</v>
      </c>
      <c r="F578" s="23">
        <f t="shared" si="8"/>
        <v>3.8855947811827678E-3</v>
      </c>
    </row>
    <row r="579" spans="1:6" x14ac:dyDescent="0.35">
      <c r="A579" s="22">
        <v>45302</v>
      </c>
      <c r="B579" s="24">
        <v>1520.5340000000001</v>
      </c>
      <c r="C579" s="24">
        <v>1520.5340000000001</v>
      </c>
      <c r="D579" s="24">
        <v>1520.5340000000001</v>
      </c>
      <c r="E579" s="24">
        <v>1520.5340000000001</v>
      </c>
      <c r="F579" s="23">
        <f t="shared" ref="F579:F642" si="9">(B579-B578)/B578</f>
        <v>-1.1705043427018633E-4</v>
      </c>
    </row>
    <row r="580" spans="1:6" x14ac:dyDescent="0.35">
      <c r="A580" s="22">
        <v>45303</v>
      </c>
      <c r="B580" s="24">
        <v>1530.4490000000001</v>
      </c>
      <c r="C580" s="24">
        <v>1530.4490000000001</v>
      </c>
      <c r="D580" s="24">
        <v>1530.4490000000001</v>
      </c>
      <c r="E580" s="24">
        <v>1530.4490000000001</v>
      </c>
      <c r="F580" s="23">
        <f t="shared" si="9"/>
        <v>6.5207354784568858E-3</v>
      </c>
    </row>
    <row r="581" spans="1:6" x14ac:dyDescent="0.35">
      <c r="A581" s="22">
        <v>45306</v>
      </c>
      <c r="B581" s="24">
        <v>1543.538</v>
      </c>
      <c r="C581" s="24">
        <v>1543.538</v>
      </c>
      <c r="D581" s="24">
        <v>1543.538</v>
      </c>
      <c r="E581" s="24">
        <v>1543.538</v>
      </c>
      <c r="F581" s="23">
        <f t="shared" si="9"/>
        <v>8.5523921411297874E-3</v>
      </c>
    </row>
    <row r="582" spans="1:6" x14ac:dyDescent="0.35">
      <c r="A582" s="22">
        <v>45307</v>
      </c>
      <c r="B582" s="24">
        <v>1536.165</v>
      </c>
      <c r="C582" s="24">
        <v>1536.165</v>
      </c>
      <c r="D582" s="24">
        <v>1536.165</v>
      </c>
      <c r="E582" s="24">
        <v>1536.165</v>
      </c>
      <c r="F582" s="23">
        <f t="shared" si="9"/>
        <v>-4.7766883614138731E-3</v>
      </c>
    </row>
    <row r="583" spans="1:6" x14ac:dyDescent="0.35">
      <c r="A583" s="22">
        <v>45308</v>
      </c>
      <c r="B583" s="24">
        <v>1511.5250000000001</v>
      </c>
      <c r="C583" s="24">
        <v>1511.5250000000001</v>
      </c>
      <c r="D583" s="24">
        <v>1511.5250000000001</v>
      </c>
      <c r="E583" s="24">
        <v>1511.5250000000001</v>
      </c>
      <c r="F583" s="23">
        <f t="shared" si="9"/>
        <v>-1.6039943625847403E-2</v>
      </c>
    </row>
    <row r="584" spans="1:6" x14ac:dyDescent="0.35">
      <c r="A584" s="22">
        <v>45309</v>
      </c>
      <c r="B584" s="24">
        <v>1508.8420000000001</v>
      </c>
      <c r="C584" s="24">
        <v>1508.8420000000001</v>
      </c>
      <c r="D584" s="24">
        <v>1508.8420000000001</v>
      </c>
      <c r="E584" s="24">
        <v>1508.8420000000001</v>
      </c>
      <c r="F584" s="23">
        <f t="shared" si="9"/>
        <v>-1.7750285307884372E-3</v>
      </c>
    </row>
    <row r="585" spans="1:6" x14ac:dyDescent="0.35">
      <c r="A585" s="22">
        <v>45310</v>
      </c>
      <c r="B585" s="24">
        <v>1522.835</v>
      </c>
      <c r="C585" s="24">
        <v>1522.835</v>
      </c>
      <c r="D585" s="24">
        <v>1522.835</v>
      </c>
      <c r="E585" s="24">
        <v>1522.835</v>
      </c>
      <c r="F585" s="23">
        <f t="shared" si="9"/>
        <v>9.2739995307659362E-3</v>
      </c>
    </row>
    <row r="586" spans="1:6" x14ac:dyDescent="0.35">
      <c r="A586" s="22">
        <v>45314</v>
      </c>
      <c r="B586" s="24">
        <v>1505.577</v>
      </c>
      <c r="C586" s="24">
        <v>1505.577</v>
      </c>
      <c r="D586" s="24">
        <v>1505.577</v>
      </c>
      <c r="E586" s="24">
        <v>1505.577</v>
      </c>
      <c r="F586" s="23">
        <f t="shared" si="9"/>
        <v>-1.1332810186264459E-2</v>
      </c>
    </row>
    <row r="587" spans="1:6" x14ac:dyDescent="0.35">
      <c r="A587" s="22">
        <v>45315</v>
      </c>
      <c r="B587" s="24">
        <v>1522.155</v>
      </c>
      <c r="C587" s="24">
        <v>1522.155</v>
      </c>
      <c r="D587" s="24">
        <v>1522.155</v>
      </c>
      <c r="E587" s="24">
        <v>1522.155</v>
      </c>
      <c r="F587" s="23">
        <f t="shared" si="9"/>
        <v>1.1011060875664263E-2</v>
      </c>
    </row>
    <row r="588" spans="1:6" x14ac:dyDescent="0.35">
      <c r="A588" s="22">
        <v>45316</v>
      </c>
      <c r="B588" s="24">
        <v>1508.9259999999999</v>
      </c>
      <c r="C588" s="24">
        <v>1508.9259999999999</v>
      </c>
      <c r="D588" s="24">
        <v>1508.9259999999999</v>
      </c>
      <c r="E588" s="24">
        <v>1508.9259999999999</v>
      </c>
      <c r="F588" s="23">
        <f t="shared" si="9"/>
        <v>-8.690967739816275E-3</v>
      </c>
    </row>
    <row r="589" spans="1:6" x14ac:dyDescent="0.35">
      <c r="A589" s="22">
        <v>45320</v>
      </c>
      <c r="B589" s="24">
        <v>1526.7260000000001</v>
      </c>
      <c r="C589" s="24">
        <v>1526.7260000000001</v>
      </c>
      <c r="D589" s="24">
        <v>1526.7260000000001</v>
      </c>
      <c r="E589" s="24">
        <v>1526.7260000000001</v>
      </c>
      <c r="F589" s="23">
        <f t="shared" si="9"/>
        <v>1.1796469807001922E-2</v>
      </c>
    </row>
    <row r="590" spans="1:6" x14ac:dyDescent="0.35">
      <c r="A590" s="22">
        <v>45321</v>
      </c>
      <c r="B590" s="24">
        <v>1522.9349999999999</v>
      </c>
      <c r="C590" s="24">
        <v>1522.9349999999999</v>
      </c>
      <c r="D590" s="24">
        <v>1522.9349999999999</v>
      </c>
      <c r="E590" s="24">
        <v>1522.9349999999999</v>
      </c>
      <c r="F590" s="23">
        <f t="shared" si="9"/>
        <v>-2.4830912685053948E-3</v>
      </c>
    </row>
    <row r="591" spans="1:6" x14ac:dyDescent="0.35">
      <c r="A591" s="22">
        <v>45322</v>
      </c>
      <c r="B591" s="24">
        <v>1539.884</v>
      </c>
      <c r="C591" s="24">
        <v>1539.884</v>
      </c>
      <c r="D591" s="24">
        <v>1539.884</v>
      </c>
      <c r="E591" s="24">
        <v>1539.884</v>
      </c>
      <c r="F591" s="23">
        <f t="shared" si="9"/>
        <v>1.1129168349272996E-2</v>
      </c>
    </row>
    <row r="592" spans="1:6" x14ac:dyDescent="0.35">
      <c r="A592" s="22">
        <v>45323</v>
      </c>
      <c r="B592" s="24">
        <v>1546.7090000000001</v>
      </c>
      <c r="C592" s="24">
        <v>1546.7090000000001</v>
      </c>
      <c r="D592" s="24">
        <v>1546.7090000000001</v>
      </c>
      <c r="E592" s="24">
        <v>1546.7090000000001</v>
      </c>
      <c r="F592" s="23">
        <f t="shared" si="9"/>
        <v>4.4321520322310286E-3</v>
      </c>
    </row>
    <row r="593" spans="1:6" x14ac:dyDescent="0.35">
      <c r="A593" s="22">
        <v>45324</v>
      </c>
      <c r="B593" s="24">
        <v>1550.857</v>
      </c>
      <c r="C593" s="24">
        <v>1550.857</v>
      </c>
      <c r="D593" s="24">
        <v>1550.857</v>
      </c>
      <c r="E593" s="24">
        <v>1550.857</v>
      </c>
      <c r="F593" s="23">
        <f t="shared" si="9"/>
        <v>2.6818231483749758E-3</v>
      </c>
    </row>
    <row r="594" spans="1:6" x14ac:dyDescent="0.35">
      <c r="A594" s="22">
        <v>45327</v>
      </c>
      <c r="B594" s="24">
        <v>1547.62</v>
      </c>
      <c r="C594" s="24">
        <v>1547.62</v>
      </c>
      <c r="D594" s="24">
        <v>1547.62</v>
      </c>
      <c r="E594" s="24">
        <v>1547.62</v>
      </c>
      <c r="F594" s="23">
        <f t="shared" si="9"/>
        <v>-2.0872330588829788E-3</v>
      </c>
    </row>
    <row r="595" spans="1:6" x14ac:dyDescent="0.35">
      <c r="A595" s="22">
        <v>45328</v>
      </c>
      <c r="B595" s="24">
        <v>1558.165</v>
      </c>
      <c r="C595" s="24">
        <v>1558.165</v>
      </c>
      <c r="D595" s="24">
        <v>1558.165</v>
      </c>
      <c r="E595" s="24">
        <v>1558.165</v>
      </c>
      <c r="F595" s="23">
        <f t="shared" si="9"/>
        <v>6.813688114653515E-3</v>
      </c>
    </row>
    <row r="596" spans="1:6" x14ac:dyDescent="0.35">
      <c r="A596" s="22">
        <v>45329</v>
      </c>
      <c r="B596" s="24">
        <v>1557.6849999999999</v>
      </c>
      <c r="C596" s="24">
        <v>1557.6849999999999</v>
      </c>
      <c r="D596" s="24">
        <v>1557.6849999999999</v>
      </c>
      <c r="E596" s="24">
        <v>1557.6849999999999</v>
      </c>
      <c r="F596" s="23">
        <f t="shared" si="9"/>
        <v>-3.080546668677696E-4</v>
      </c>
    </row>
    <row r="597" spans="1:6" x14ac:dyDescent="0.35">
      <c r="A597" s="22">
        <v>45330</v>
      </c>
      <c r="B597" s="24">
        <v>1553.7760000000001</v>
      </c>
      <c r="C597" s="24">
        <v>1553.7760000000001</v>
      </c>
      <c r="D597" s="24">
        <v>1553.7760000000001</v>
      </c>
      <c r="E597" s="24">
        <v>1553.7760000000001</v>
      </c>
      <c r="F597" s="23">
        <f t="shared" si="9"/>
        <v>-2.5094932544127203E-3</v>
      </c>
    </row>
    <row r="598" spans="1:6" x14ac:dyDescent="0.35">
      <c r="A598" s="22">
        <v>45331</v>
      </c>
      <c r="B598" s="24">
        <v>1554.8869999999999</v>
      </c>
      <c r="C598" s="24">
        <v>1554.8869999999999</v>
      </c>
      <c r="D598" s="24">
        <v>1554.8869999999999</v>
      </c>
      <c r="E598" s="24">
        <v>1554.8869999999999</v>
      </c>
      <c r="F598" s="23">
        <f t="shared" si="9"/>
        <v>7.1503228264555268E-4</v>
      </c>
    </row>
    <row r="599" spans="1:6" x14ac:dyDescent="0.35">
      <c r="A599" s="22">
        <v>45334</v>
      </c>
      <c r="B599" s="24">
        <v>1541.39</v>
      </c>
      <c r="C599" s="24">
        <v>1541.39</v>
      </c>
      <c r="D599" s="24">
        <v>1541.39</v>
      </c>
      <c r="E599" s="24">
        <v>1541.39</v>
      </c>
      <c r="F599" s="23">
        <f t="shared" si="9"/>
        <v>-8.6803735576925171E-3</v>
      </c>
    </row>
    <row r="600" spans="1:6" x14ac:dyDescent="0.35">
      <c r="A600" s="22">
        <v>45335</v>
      </c>
      <c r="B600" s="24">
        <v>1556.566</v>
      </c>
      <c r="C600" s="24">
        <v>1556.566</v>
      </c>
      <c r="D600" s="24">
        <v>1556.566</v>
      </c>
      <c r="E600" s="24">
        <v>1556.566</v>
      </c>
      <c r="F600" s="23">
        <f t="shared" si="9"/>
        <v>9.8456587884960516E-3</v>
      </c>
    </row>
    <row r="601" spans="1:6" x14ac:dyDescent="0.35">
      <c r="A601" s="22">
        <v>45336</v>
      </c>
      <c r="B601" s="24">
        <v>1566.1890000000001</v>
      </c>
      <c r="C601" s="24">
        <v>1566.1890000000001</v>
      </c>
      <c r="D601" s="24">
        <v>1566.1890000000001</v>
      </c>
      <c r="E601" s="24">
        <v>1566.1890000000001</v>
      </c>
      <c r="F601" s="23">
        <f t="shared" si="9"/>
        <v>6.1821985061989325E-3</v>
      </c>
    </row>
    <row r="602" spans="1:6" x14ac:dyDescent="0.35">
      <c r="A602" s="22">
        <v>45337</v>
      </c>
      <c r="B602" s="24">
        <v>1575.807</v>
      </c>
      <c r="C602" s="24">
        <v>1575.807</v>
      </c>
      <c r="D602" s="24">
        <v>1575.807</v>
      </c>
      <c r="E602" s="24">
        <v>1575.807</v>
      </c>
      <c r="F602" s="23">
        <f t="shared" si="9"/>
        <v>6.1410212943648164E-3</v>
      </c>
    </row>
    <row r="603" spans="1:6" x14ac:dyDescent="0.35">
      <c r="A603" s="22">
        <v>45338</v>
      </c>
      <c r="B603" s="24">
        <v>1585.703</v>
      </c>
      <c r="C603" s="24">
        <v>1585.703</v>
      </c>
      <c r="D603" s="24">
        <v>1585.703</v>
      </c>
      <c r="E603" s="24">
        <v>1585.703</v>
      </c>
      <c r="F603" s="23">
        <f t="shared" si="9"/>
        <v>6.2799568728911332E-3</v>
      </c>
    </row>
    <row r="604" spans="1:6" x14ac:dyDescent="0.35">
      <c r="A604" s="22">
        <v>45341</v>
      </c>
      <c r="B604" s="24">
        <v>1590.028</v>
      </c>
      <c r="C604" s="24">
        <v>1590.028</v>
      </c>
      <c r="D604" s="24">
        <v>1590.028</v>
      </c>
      <c r="E604" s="24">
        <v>1590.028</v>
      </c>
      <c r="F604" s="23">
        <f t="shared" si="9"/>
        <v>2.7274968893923044E-3</v>
      </c>
    </row>
    <row r="605" spans="1:6" x14ac:dyDescent="0.35">
      <c r="A605" s="22">
        <v>45342</v>
      </c>
      <c r="B605" s="24">
        <v>1599.9960000000001</v>
      </c>
      <c r="C605" s="24">
        <v>1599.9960000000001</v>
      </c>
      <c r="D605" s="24">
        <v>1599.9960000000001</v>
      </c>
      <c r="E605" s="24">
        <v>1599.9960000000001</v>
      </c>
      <c r="F605" s="23">
        <f t="shared" si="9"/>
        <v>6.2690719911851081E-3</v>
      </c>
    </row>
    <row r="606" spans="1:6" x14ac:dyDescent="0.35">
      <c r="A606" s="22">
        <v>45343</v>
      </c>
      <c r="B606" s="24">
        <v>1589.864</v>
      </c>
      <c r="C606" s="24">
        <v>1589.864</v>
      </c>
      <c r="D606" s="24">
        <v>1589.864</v>
      </c>
      <c r="E606" s="24">
        <v>1589.864</v>
      </c>
      <c r="F606" s="23">
        <f t="shared" si="9"/>
        <v>-6.3325158312896165E-3</v>
      </c>
    </row>
    <row r="607" spans="1:6" x14ac:dyDescent="0.35">
      <c r="A607" s="22">
        <v>45344</v>
      </c>
      <c r="B607" s="24">
        <v>1599.5650000000001</v>
      </c>
      <c r="C607" s="24">
        <v>1599.5650000000001</v>
      </c>
      <c r="D607" s="24">
        <v>1599.5650000000001</v>
      </c>
      <c r="E607" s="24">
        <v>1599.5650000000001</v>
      </c>
      <c r="F607" s="23">
        <f t="shared" si="9"/>
        <v>6.1017797748738395E-3</v>
      </c>
    </row>
    <row r="608" spans="1:6" x14ac:dyDescent="0.35">
      <c r="A608" s="22">
        <v>45345</v>
      </c>
      <c r="B608" s="24">
        <v>1602.383</v>
      </c>
      <c r="C608" s="24">
        <v>1602.383</v>
      </c>
      <c r="D608" s="24">
        <v>1602.383</v>
      </c>
      <c r="E608" s="24">
        <v>1602.383</v>
      </c>
      <c r="F608" s="23">
        <f t="shared" si="9"/>
        <v>1.7617289700637257E-3</v>
      </c>
    </row>
    <row r="609" spans="1:6" x14ac:dyDescent="0.35">
      <c r="A609" s="22">
        <v>45348</v>
      </c>
      <c r="B609" s="24">
        <v>1598.5619999999999</v>
      </c>
      <c r="C609" s="24">
        <v>1598.5619999999999</v>
      </c>
      <c r="D609" s="24">
        <v>1598.5619999999999</v>
      </c>
      <c r="E609" s="24">
        <v>1598.5619999999999</v>
      </c>
      <c r="F609" s="23">
        <f t="shared" si="9"/>
        <v>-2.3845734758794496E-3</v>
      </c>
    </row>
    <row r="610" spans="1:6" x14ac:dyDescent="0.35">
      <c r="A610" s="22">
        <v>45349</v>
      </c>
      <c r="B610" s="24">
        <v>1603.2180000000001</v>
      </c>
      <c r="C610" s="24">
        <v>1603.2180000000001</v>
      </c>
      <c r="D610" s="24">
        <v>1603.2180000000001</v>
      </c>
      <c r="E610" s="24">
        <v>1603.2180000000001</v>
      </c>
      <c r="F610" s="23">
        <f t="shared" si="9"/>
        <v>2.9126177151716209E-3</v>
      </c>
    </row>
    <row r="611" spans="1:6" x14ac:dyDescent="0.35">
      <c r="A611" s="22">
        <v>45350</v>
      </c>
      <c r="B611" s="24">
        <v>1587.3979999999999</v>
      </c>
      <c r="C611" s="24">
        <v>1587.3979999999999</v>
      </c>
      <c r="D611" s="24">
        <v>1587.3979999999999</v>
      </c>
      <c r="E611" s="24">
        <v>1587.3979999999999</v>
      </c>
      <c r="F611" s="23">
        <f t="shared" si="9"/>
        <v>-9.8676536815331187E-3</v>
      </c>
    </row>
    <row r="612" spans="1:6" x14ac:dyDescent="0.35">
      <c r="A612" s="22">
        <v>45351</v>
      </c>
      <c r="B612" s="24">
        <v>1586.7829999999999</v>
      </c>
      <c r="C612" s="24">
        <v>1586.7829999999999</v>
      </c>
      <c r="D612" s="24">
        <v>1586.7829999999999</v>
      </c>
      <c r="E612" s="24">
        <v>1586.7829999999999</v>
      </c>
      <c r="F612" s="23">
        <f t="shared" si="9"/>
        <v>-3.8742646771635665E-4</v>
      </c>
    </row>
    <row r="613" spans="1:6" x14ac:dyDescent="0.35">
      <c r="A613" s="22">
        <v>45352</v>
      </c>
      <c r="B613" s="24">
        <v>1604.7560000000001</v>
      </c>
      <c r="C613" s="24">
        <v>1604.7560000000001</v>
      </c>
      <c r="D613" s="24">
        <v>1604.7560000000001</v>
      </c>
      <c r="E613" s="24">
        <v>1604.7560000000001</v>
      </c>
      <c r="F613" s="23">
        <f t="shared" si="9"/>
        <v>1.1326690543067442E-2</v>
      </c>
    </row>
    <row r="614" spans="1:6" x14ac:dyDescent="0.35">
      <c r="A614" s="22">
        <v>45355</v>
      </c>
      <c r="B614" s="24">
        <v>1609.5940000000001</v>
      </c>
      <c r="C614" s="24">
        <v>1609.5940000000001</v>
      </c>
      <c r="D614" s="24">
        <v>1609.5940000000001</v>
      </c>
      <c r="E614" s="24">
        <v>1609.5940000000001</v>
      </c>
      <c r="F614" s="23">
        <f t="shared" si="9"/>
        <v>3.0147885410616725E-3</v>
      </c>
    </row>
    <row r="615" spans="1:6" x14ac:dyDescent="0.35">
      <c r="A615" s="22">
        <v>45356</v>
      </c>
      <c r="B615" s="24">
        <v>1612.8920000000001</v>
      </c>
      <c r="C615" s="24">
        <v>1612.8920000000001</v>
      </c>
      <c r="D615" s="24">
        <v>1612.8920000000001</v>
      </c>
      <c r="E615" s="24">
        <v>1612.8920000000001</v>
      </c>
      <c r="F615" s="23">
        <f t="shared" si="9"/>
        <v>2.0489639002133466E-3</v>
      </c>
    </row>
    <row r="616" spans="1:6" x14ac:dyDescent="0.35">
      <c r="A616" s="22">
        <v>45357</v>
      </c>
      <c r="B616" s="24">
        <v>1619.2329999999999</v>
      </c>
      <c r="C616" s="24">
        <v>1619.2329999999999</v>
      </c>
      <c r="D616" s="24">
        <v>1619.2329999999999</v>
      </c>
      <c r="E616" s="24">
        <v>1619.2329999999999</v>
      </c>
      <c r="F616" s="23">
        <f t="shared" si="9"/>
        <v>3.9314473628735804E-3</v>
      </c>
    </row>
    <row r="617" spans="1:6" x14ac:dyDescent="0.35">
      <c r="A617" s="22">
        <v>45358</v>
      </c>
      <c r="B617" s="24">
        <v>1619.127</v>
      </c>
      <c r="C617" s="24">
        <v>1619.127</v>
      </c>
      <c r="D617" s="24">
        <v>1619.127</v>
      </c>
      <c r="E617" s="24">
        <v>1619.127</v>
      </c>
      <c r="F617" s="23">
        <f t="shared" si="9"/>
        <v>-6.5463092711175318E-5</v>
      </c>
    </row>
    <row r="618" spans="1:6" x14ac:dyDescent="0.35">
      <c r="A618" s="22">
        <v>45362</v>
      </c>
      <c r="B618" s="24">
        <v>1616.1880000000001</v>
      </c>
      <c r="C618" s="24">
        <v>1616.1880000000001</v>
      </c>
      <c r="D618" s="24">
        <v>1616.1880000000001</v>
      </c>
      <c r="E618" s="24">
        <v>1616.1880000000001</v>
      </c>
      <c r="F618" s="23">
        <f t="shared" si="9"/>
        <v>-1.8151757088850046E-3</v>
      </c>
    </row>
    <row r="619" spans="1:6" x14ac:dyDescent="0.35">
      <c r="A619" s="22">
        <v>45363</v>
      </c>
      <c r="B619" s="24">
        <v>1606.1279999999999</v>
      </c>
      <c r="C619" s="24">
        <v>1606.1279999999999</v>
      </c>
      <c r="D619" s="24">
        <v>1606.1279999999999</v>
      </c>
      <c r="E619" s="24">
        <v>1606.1279999999999</v>
      </c>
      <c r="F619" s="23">
        <f t="shared" si="9"/>
        <v>-6.2245233846558523E-3</v>
      </c>
    </row>
    <row r="620" spans="1:6" x14ac:dyDescent="0.35">
      <c r="A620" s="22">
        <v>45364</v>
      </c>
      <c r="B620" s="24">
        <v>1578.422</v>
      </c>
      <c r="C620" s="24">
        <v>1578.422</v>
      </c>
      <c r="D620" s="24">
        <v>1578.422</v>
      </c>
      <c r="E620" s="24">
        <v>1578.422</v>
      </c>
      <c r="F620" s="23">
        <f t="shared" si="9"/>
        <v>-1.72501818036918E-2</v>
      </c>
    </row>
    <row r="621" spans="1:6" x14ac:dyDescent="0.35">
      <c r="A621" s="22">
        <v>45365</v>
      </c>
      <c r="B621" s="24">
        <v>1588.4490000000001</v>
      </c>
      <c r="C621" s="24">
        <v>1588.4490000000001</v>
      </c>
      <c r="D621" s="24">
        <v>1588.4490000000001</v>
      </c>
      <c r="E621" s="24">
        <v>1588.4490000000001</v>
      </c>
      <c r="F621" s="23">
        <f t="shared" si="9"/>
        <v>6.3525470374842996E-3</v>
      </c>
    </row>
    <row r="622" spans="1:6" x14ac:dyDescent="0.35">
      <c r="A622" s="22">
        <v>45366</v>
      </c>
      <c r="B622" s="24">
        <v>1580.663</v>
      </c>
      <c r="C622" s="24">
        <v>1580.663</v>
      </c>
      <c r="D622" s="24">
        <v>1580.663</v>
      </c>
      <c r="E622" s="24">
        <v>1580.663</v>
      </c>
      <c r="F622" s="23">
        <f t="shared" si="9"/>
        <v>-4.9016367538397883E-3</v>
      </c>
    </row>
    <row r="623" spans="1:6" x14ac:dyDescent="0.35">
      <c r="A623" s="22">
        <v>45369</v>
      </c>
      <c r="B623" s="24">
        <v>1583.443</v>
      </c>
      <c r="C623" s="24">
        <v>1583.443</v>
      </c>
      <c r="D623" s="24">
        <v>1583.443</v>
      </c>
      <c r="E623" s="24">
        <v>1583.443</v>
      </c>
      <c r="F623" s="23">
        <f t="shared" si="9"/>
        <v>1.7587556613901714E-3</v>
      </c>
    </row>
    <row r="624" spans="1:6" x14ac:dyDescent="0.35">
      <c r="A624" s="22">
        <v>45370</v>
      </c>
      <c r="B624" s="24">
        <v>1569.2380000000001</v>
      </c>
      <c r="C624" s="24">
        <v>1569.2380000000001</v>
      </c>
      <c r="D624" s="24">
        <v>1569.2380000000001</v>
      </c>
      <c r="E624" s="24">
        <v>1569.2380000000001</v>
      </c>
      <c r="F624" s="23">
        <f t="shared" si="9"/>
        <v>-8.9709575905163163E-3</v>
      </c>
    </row>
    <row r="625" spans="1:6" x14ac:dyDescent="0.35">
      <c r="A625" s="22">
        <v>45371</v>
      </c>
      <c r="B625" s="24">
        <v>1568.6569999999999</v>
      </c>
      <c r="C625" s="24">
        <v>1568.6569999999999</v>
      </c>
      <c r="D625" s="24">
        <v>1568.6569999999999</v>
      </c>
      <c r="E625" s="24">
        <v>1568.6569999999999</v>
      </c>
      <c r="F625" s="23">
        <f t="shared" si="9"/>
        <v>-3.7024339201582613E-4</v>
      </c>
    </row>
    <row r="626" spans="1:6" x14ac:dyDescent="0.35">
      <c r="A626" s="22">
        <v>45372</v>
      </c>
      <c r="B626" s="24">
        <v>1583.405</v>
      </c>
      <c r="C626" s="24">
        <v>1583.405</v>
      </c>
      <c r="D626" s="24">
        <v>1583.405</v>
      </c>
      <c r="E626" s="24">
        <v>1583.405</v>
      </c>
      <c r="F626" s="23">
        <f t="shared" si="9"/>
        <v>9.4016728959868522E-3</v>
      </c>
    </row>
    <row r="627" spans="1:6" x14ac:dyDescent="0.35">
      <c r="A627" s="22">
        <v>45373</v>
      </c>
      <c r="B627" s="24">
        <v>1593.115</v>
      </c>
      <c r="C627" s="24">
        <v>1593.115</v>
      </c>
      <c r="D627" s="24">
        <v>1593.115</v>
      </c>
      <c r="E627" s="24">
        <v>1593.115</v>
      </c>
      <c r="F627" s="23">
        <f t="shared" si="9"/>
        <v>6.1323540092396052E-3</v>
      </c>
    </row>
    <row r="628" spans="1:6" x14ac:dyDescent="0.35">
      <c r="A628" s="22">
        <v>45377</v>
      </c>
      <c r="B628" s="24">
        <v>1590.6210000000001</v>
      </c>
      <c r="C628" s="24">
        <v>1590.6210000000001</v>
      </c>
      <c r="D628" s="24">
        <v>1590.6210000000001</v>
      </c>
      <c r="E628" s="24">
        <v>1590.6210000000001</v>
      </c>
      <c r="F628" s="23">
        <f t="shared" si="9"/>
        <v>-1.5654864840265231E-3</v>
      </c>
    </row>
    <row r="629" spans="1:6" x14ac:dyDescent="0.35">
      <c r="A629" s="22">
        <v>45378</v>
      </c>
      <c r="B629" s="24">
        <v>1593.7349999999999</v>
      </c>
      <c r="C629" s="24">
        <v>1593.7349999999999</v>
      </c>
      <c r="D629" s="24">
        <v>1593.7349999999999</v>
      </c>
      <c r="E629" s="24">
        <v>1593.7349999999999</v>
      </c>
      <c r="F629" s="23">
        <f t="shared" si="9"/>
        <v>1.957725944772391E-3</v>
      </c>
    </row>
    <row r="630" spans="1:6" x14ac:dyDescent="0.35">
      <c r="A630" s="22">
        <v>45379</v>
      </c>
      <c r="B630" s="24">
        <v>1605.808</v>
      </c>
      <c r="C630" s="24">
        <v>1605.808</v>
      </c>
      <c r="D630" s="24">
        <v>1605.808</v>
      </c>
      <c r="E630" s="24">
        <v>1605.808</v>
      </c>
      <c r="F630" s="23">
        <f t="shared" si="9"/>
        <v>7.5752869830932332E-3</v>
      </c>
    </row>
    <row r="631" spans="1:6" x14ac:dyDescent="0.35">
      <c r="A631" s="22">
        <v>45382</v>
      </c>
      <c r="B631" s="24">
        <v>1605.692</v>
      </c>
      <c r="C631" s="24">
        <v>1605.692</v>
      </c>
      <c r="D631" s="24">
        <v>1605.692</v>
      </c>
      <c r="E631" s="24">
        <v>1605.692</v>
      </c>
      <c r="F631" s="23">
        <f t="shared" si="9"/>
        <v>-7.2237776869952977E-5</v>
      </c>
    </row>
    <row r="632" spans="1:6" x14ac:dyDescent="0.35">
      <c r="A632" s="22">
        <v>45383</v>
      </c>
      <c r="B632" s="24">
        <v>1619.6969999999999</v>
      </c>
      <c r="C632" s="24">
        <v>1619.6969999999999</v>
      </c>
      <c r="D632" s="24">
        <v>1619.6969999999999</v>
      </c>
      <c r="E632" s="24">
        <v>1619.6969999999999</v>
      </c>
      <c r="F632" s="23">
        <f t="shared" si="9"/>
        <v>8.7220961429713053E-3</v>
      </c>
    </row>
    <row r="633" spans="1:6" x14ac:dyDescent="0.35">
      <c r="A633" s="22">
        <v>45384</v>
      </c>
      <c r="B633" s="24">
        <v>1621.5070000000001</v>
      </c>
      <c r="C633" s="24">
        <v>1621.5070000000001</v>
      </c>
      <c r="D633" s="24">
        <v>1621.5070000000001</v>
      </c>
      <c r="E633" s="24">
        <v>1621.5070000000001</v>
      </c>
      <c r="F633" s="23">
        <f t="shared" si="9"/>
        <v>1.1174929631901356E-3</v>
      </c>
    </row>
    <row r="634" spans="1:6" x14ac:dyDescent="0.35">
      <c r="A634" s="22">
        <v>45385</v>
      </c>
      <c r="B634" s="24">
        <v>1623.402</v>
      </c>
      <c r="C634" s="24">
        <v>1623.402</v>
      </c>
      <c r="D634" s="24">
        <v>1623.402</v>
      </c>
      <c r="E634" s="24">
        <v>1623.402</v>
      </c>
      <c r="F634" s="23">
        <f t="shared" si="9"/>
        <v>1.1686659385374109E-3</v>
      </c>
    </row>
    <row r="635" spans="1:6" x14ac:dyDescent="0.35">
      <c r="A635" s="22">
        <v>45386</v>
      </c>
      <c r="B635" s="24">
        <v>1626.867</v>
      </c>
      <c r="C635" s="24">
        <v>1626.867</v>
      </c>
      <c r="D635" s="24">
        <v>1626.867</v>
      </c>
      <c r="E635" s="24">
        <v>1626.867</v>
      </c>
      <c r="F635" s="23">
        <f t="shared" si="9"/>
        <v>2.1344066349554317E-3</v>
      </c>
    </row>
    <row r="636" spans="1:6" x14ac:dyDescent="0.35">
      <c r="A636" s="22">
        <v>45387</v>
      </c>
      <c r="B636" s="24">
        <v>1631.7829999999999</v>
      </c>
      <c r="C636" s="24">
        <v>1631.7829999999999</v>
      </c>
      <c r="D636" s="24">
        <v>1631.7829999999999</v>
      </c>
      <c r="E636" s="24">
        <v>1631.7829999999999</v>
      </c>
      <c r="F636" s="23">
        <f t="shared" si="9"/>
        <v>3.0217590005820636E-3</v>
      </c>
    </row>
    <row r="637" spans="1:6" x14ac:dyDescent="0.35">
      <c r="A637" s="22">
        <v>45390</v>
      </c>
      <c r="B637" s="24">
        <v>1638.8019999999999</v>
      </c>
      <c r="C637" s="24">
        <v>1638.8019999999999</v>
      </c>
      <c r="D637" s="24">
        <v>1638.8019999999999</v>
      </c>
      <c r="E637" s="24">
        <v>1638.8019999999999</v>
      </c>
      <c r="F637" s="23">
        <f t="shared" si="9"/>
        <v>4.3014297857006762E-3</v>
      </c>
    </row>
    <row r="638" spans="1:6" x14ac:dyDescent="0.35">
      <c r="A638" s="22">
        <v>45391</v>
      </c>
      <c r="B638" s="24">
        <v>1640.846</v>
      </c>
      <c r="C638" s="24">
        <v>1640.846</v>
      </c>
      <c r="D638" s="24">
        <v>1640.846</v>
      </c>
      <c r="E638" s="24">
        <v>1640.846</v>
      </c>
      <c r="F638" s="23">
        <f t="shared" si="9"/>
        <v>1.2472525662039079E-3</v>
      </c>
    </row>
    <row r="639" spans="1:6" x14ac:dyDescent="0.35">
      <c r="A639" s="22">
        <v>45392</v>
      </c>
      <c r="B639" s="24">
        <v>1645.133</v>
      </c>
      <c r="C639" s="24">
        <v>1645.133</v>
      </c>
      <c r="D639" s="24">
        <v>1645.133</v>
      </c>
      <c r="E639" s="24">
        <v>1645.133</v>
      </c>
      <c r="F639" s="23">
        <f t="shared" si="9"/>
        <v>2.6126766314450195E-3</v>
      </c>
    </row>
    <row r="640" spans="1:6" x14ac:dyDescent="0.35">
      <c r="A640" s="22">
        <v>45394</v>
      </c>
      <c r="B640" s="24">
        <v>1630.3689999999999</v>
      </c>
      <c r="C640" s="24">
        <v>1630.3689999999999</v>
      </c>
      <c r="D640" s="24">
        <v>1630.3689999999999</v>
      </c>
      <c r="E640" s="24">
        <v>1630.3689999999999</v>
      </c>
      <c r="F640" s="23">
        <f t="shared" si="9"/>
        <v>-8.9743504020648318E-3</v>
      </c>
    </row>
    <row r="641" spans="1:6" x14ac:dyDescent="0.35">
      <c r="A641" s="22">
        <v>45397</v>
      </c>
      <c r="B641" s="24">
        <v>1614.383</v>
      </c>
      <c r="C641" s="24">
        <v>1614.383</v>
      </c>
      <c r="D641" s="24">
        <v>1614.383</v>
      </c>
      <c r="E641" s="24">
        <v>1614.383</v>
      </c>
      <c r="F641" s="23">
        <f t="shared" si="9"/>
        <v>-9.8051422714734385E-3</v>
      </c>
    </row>
    <row r="642" spans="1:6" x14ac:dyDescent="0.35">
      <c r="A642" s="22">
        <v>45398</v>
      </c>
      <c r="B642" s="24">
        <v>1611.231</v>
      </c>
      <c r="C642" s="24">
        <v>1611.231</v>
      </c>
      <c r="D642" s="24">
        <v>1611.231</v>
      </c>
      <c r="E642" s="24">
        <v>1611.231</v>
      </c>
      <c r="F642" s="23">
        <f t="shared" si="9"/>
        <v>-1.9524487064098443E-3</v>
      </c>
    </row>
    <row r="643" spans="1:6" x14ac:dyDescent="0.35">
      <c r="A643" s="22">
        <v>45400</v>
      </c>
      <c r="B643" s="24">
        <v>1601.3789999999999</v>
      </c>
      <c r="C643" s="24">
        <v>1601.3789999999999</v>
      </c>
      <c r="D643" s="24">
        <v>1601.3789999999999</v>
      </c>
      <c r="E643" s="24">
        <v>1601.3789999999999</v>
      </c>
      <c r="F643" s="23">
        <f t="shared" ref="F643:F706" si="10">(B643-B642)/B642</f>
        <v>-6.1145794737068049E-3</v>
      </c>
    </row>
    <row r="644" spans="1:6" x14ac:dyDescent="0.35">
      <c r="A644" s="22">
        <v>45401</v>
      </c>
      <c r="B644" s="24">
        <v>1611.575</v>
      </c>
      <c r="C644" s="24">
        <v>1611.575</v>
      </c>
      <c r="D644" s="24">
        <v>1611.575</v>
      </c>
      <c r="E644" s="24">
        <v>1611.575</v>
      </c>
      <c r="F644" s="23">
        <f t="shared" si="10"/>
        <v>6.3670124311609811E-3</v>
      </c>
    </row>
    <row r="645" spans="1:6" x14ac:dyDescent="0.35">
      <c r="A645" s="22">
        <v>45404</v>
      </c>
      <c r="B645" s="24">
        <v>1624.5329999999999</v>
      </c>
      <c r="C645" s="24">
        <v>1624.5329999999999</v>
      </c>
      <c r="D645" s="24">
        <v>1624.5329999999999</v>
      </c>
      <c r="E645" s="24">
        <v>1624.5329999999999</v>
      </c>
      <c r="F645" s="23">
        <f t="shared" si="10"/>
        <v>8.040581418798291E-3</v>
      </c>
    </row>
    <row r="646" spans="1:6" x14ac:dyDescent="0.35">
      <c r="A646" s="22">
        <v>45405</v>
      </c>
      <c r="B646" s="24">
        <v>1629.7360000000001</v>
      </c>
      <c r="C646" s="24">
        <v>1629.7360000000001</v>
      </c>
      <c r="D646" s="24">
        <v>1629.7360000000001</v>
      </c>
      <c r="E646" s="24">
        <v>1629.7360000000001</v>
      </c>
      <c r="F646" s="23">
        <f t="shared" si="10"/>
        <v>3.2027665796879488E-3</v>
      </c>
    </row>
    <row r="647" spans="1:6" x14ac:dyDescent="0.35">
      <c r="A647" s="22">
        <v>45406</v>
      </c>
      <c r="B647" s="24">
        <v>1639.212</v>
      </c>
      <c r="C647" s="24">
        <v>1639.212</v>
      </c>
      <c r="D647" s="24">
        <v>1639.212</v>
      </c>
      <c r="E647" s="24">
        <v>1639.212</v>
      </c>
      <c r="F647" s="23">
        <f t="shared" si="10"/>
        <v>5.8144386575493725E-3</v>
      </c>
    </row>
    <row r="648" spans="1:6" x14ac:dyDescent="0.35">
      <c r="A648" s="22">
        <v>45407</v>
      </c>
      <c r="B648" s="24">
        <v>1655.1310000000001</v>
      </c>
      <c r="C648" s="24">
        <v>1655.1310000000001</v>
      </c>
      <c r="D648" s="24">
        <v>1655.1310000000001</v>
      </c>
      <c r="E648" s="24">
        <v>1655.1310000000001</v>
      </c>
      <c r="F648" s="23">
        <f t="shared" si="10"/>
        <v>9.7113735136151371E-3</v>
      </c>
    </row>
    <row r="649" spans="1:6" x14ac:dyDescent="0.35">
      <c r="A649" s="22">
        <v>45408</v>
      </c>
      <c r="B649" s="24">
        <v>1647.867</v>
      </c>
      <c r="C649" s="24">
        <v>1647.867</v>
      </c>
      <c r="D649" s="24">
        <v>1647.867</v>
      </c>
      <c r="E649" s="24">
        <v>1647.867</v>
      </c>
      <c r="F649" s="23">
        <f t="shared" si="10"/>
        <v>-4.3887764775115221E-3</v>
      </c>
    </row>
    <row r="650" spans="1:6" x14ac:dyDescent="0.35">
      <c r="A650" s="22">
        <v>45411</v>
      </c>
      <c r="B650" s="24">
        <v>1658.4770000000001</v>
      </c>
      <c r="C650" s="24">
        <v>1658.4770000000001</v>
      </c>
      <c r="D650" s="24">
        <v>1658.4770000000001</v>
      </c>
      <c r="E650" s="24">
        <v>1658.4770000000001</v>
      </c>
      <c r="F650" s="23">
        <f t="shared" si="10"/>
        <v>6.4386264182729113E-3</v>
      </c>
    </row>
    <row r="651" spans="1:6" x14ac:dyDescent="0.35">
      <c r="A651" s="22">
        <v>45412</v>
      </c>
      <c r="B651" s="24">
        <v>1658.096</v>
      </c>
      <c r="C651" s="24">
        <v>1658.096</v>
      </c>
      <c r="D651" s="24">
        <v>1658.096</v>
      </c>
      <c r="E651" s="24">
        <v>1658.096</v>
      </c>
      <c r="F651" s="23">
        <f t="shared" si="10"/>
        <v>-2.2972884158181602E-4</v>
      </c>
    </row>
    <row r="652" spans="1:6" x14ac:dyDescent="0.35">
      <c r="A652" s="22">
        <v>45414</v>
      </c>
      <c r="B652" s="24">
        <v>1659.443</v>
      </c>
      <c r="C652" s="24">
        <v>1659.443</v>
      </c>
      <c r="D652" s="24">
        <v>1659.443</v>
      </c>
      <c r="E652" s="24">
        <v>1659.443</v>
      </c>
      <c r="F652" s="23">
        <f t="shared" si="10"/>
        <v>8.1237757041810606E-4</v>
      </c>
    </row>
    <row r="653" spans="1:6" x14ac:dyDescent="0.35">
      <c r="A653" s="22">
        <v>45415</v>
      </c>
      <c r="B653" s="24">
        <v>1653.933</v>
      </c>
      <c r="C653" s="24">
        <v>1653.933</v>
      </c>
      <c r="D653" s="24">
        <v>1653.933</v>
      </c>
      <c r="E653" s="24">
        <v>1653.933</v>
      </c>
      <c r="F653" s="23">
        <f t="shared" si="10"/>
        <v>-3.3203912397111505E-3</v>
      </c>
    </row>
    <row r="654" spans="1:6" x14ac:dyDescent="0.35">
      <c r="A654" s="22">
        <v>45418</v>
      </c>
      <c r="B654" s="24">
        <v>1654.145</v>
      </c>
      <c r="C654" s="24">
        <v>1654.145</v>
      </c>
      <c r="D654" s="24">
        <v>1654.145</v>
      </c>
      <c r="E654" s="24">
        <v>1654.145</v>
      </c>
      <c r="F654" s="23">
        <f t="shared" si="10"/>
        <v>1.2817931560709479E-4</v>
      </c>
    </row>
    <row r="655" spans="1:6" x14ac:dyDescent="0.35">
      <c r="A655" s="22">
        <v>45419</v>
      </c>
      <c r="B655" s="24">
        <v>1636.144</v>
      </c>
      <c r="C655" s="24">
        <v>1636.144</v>
      </c>
      <c r="D655" s="24">
        <v>1636.144</v>
      </c>
      <c r="E655" s="24">
        <v>1636.144</v>
      </c>
      <c r="F655" s="23">
        <f t="shared" si="10"/>
        <v>-1.0882359164402139E-2</v>
      </c>
    </row>
    <row r="656" spans="1:6" x14ac:dyDescent="0.35">
      <c r="A656" s="22">
        <v>45420</v>
      </c>
      <c r="B656" s="24">
        <v>1640.74</v>
      </c>
      <c r="C656" s="24">
        <v>1640.74</v>
      </c>
      <c r="D656" s="24">
        <v>1640.74</v>
      </c>
      <c r="E656" s="24">
        <v>1640.74</v>
      </c>
      <c r="F656" s="23">
        <f t="shared" si="10"/>
        <v>2.8090437027547721E-3</v>
      </c>
    </row>
    <row r="657" spans="1:6" x14ac:dyDescent="0.35">
      <c r="A657" s="22">
        <v>45421</v>
      </c>
      <c r="B657" s="24">
        <v>1622.761</v>
      </c>
      <c r="C657" s="24">
        <v>1622.761</v>
      </c>
      <c r="D657" s="24">
        <v>1622.761</v>
      </c>
      <c r="E657" s="24">
        <v>1622.761</v>
      </c>
      <c r="F657" s="23">
        <f t="shared" si="10"/>
        <v>-1.0957860477589405E-2</v>
      </c>
    </row>
    <row r="658" spans="1:6" x14ac:dyDescent="0.35">
      <c r="A658" s="22">
        <v>45422</v>
      </c>
      <c r="B658" s="24">
        <v>1629.1859999999999</v>
      </c>
      <c r="C658" s="24">
        <v>1629.1859999999999</v>
      </c>
      <c r="D658" s="24">
        <v>1629.1859999999999</v>
      </c>
      <c r="E658" s="24">
        <v>1629.1859999999999</v>
      </c>
      <c r="F658" s="23">
        <f t="shared" si="10"/>
        <v>3.9593014621376495E-3</v>
      </c>
    </row>
    <row r="659" spans="1:6" x14ac:dyDescent="0.35">
      <c r="A659" s="22">
        <v>45425</v>
      </c>
      <c r="B659" s="24">
        <v>1638.105</v>
      </c>
      <c r="C659" s="24">
        <v>1638.105</v>
      </c>
      <c r="D659" s="24">
        <v>1638.105</v>
      </c>
      <c r="E659" s="24">
        <v>1638.105</v>
      </c>
      <c r="F659" s="23">
        <f t="shared" si="10"/>
        <v>5.4745130390269105E-3</v>
      </c>
    </row>
    <row r="660" spans="1:6" x14ac:dyDescent="0.35">
      <c r="A660" s="22">
        <v>45426</v>
      </c>
      <c r="B660" s="24">
        <v>1642.414</v>
      </c>
      <c r="C660" s="24">
        <v>1642.414</v>
      </c>
      <c r="D660" s="24">
        <v>1642.414</v>
      </c>
      <c r="E660" s="24">
        <v>1642.414</v>
      </c>
      <c r="F660" s="23">
        <f t="shared" si="10"/>
        <v>2.6304785102297893E-3</v>
      </c>
    </row>
    <row r="661" spans="1:6" x14ac:dyDescent="0.35">
      <c r="A661" s="22">
        <v>45427</v>
      </c>
      <c r="B661" s="24">
        <v>1651.075</v>
      </c>
      <c r="C661" s="24">
        <v>1651.075</v>
      </c>
      <c r="D661" s="24">
        <v>1651.075</v>
      </c>
      <c r="E661" s="24">
        <v>1651.075</v>
      </c>
      <c r="F661" s="23">
        <f t="shared" si="10"/>
        <v>5.2733354684020338E-3</v>
      </c>
    </row>
    <row r="662" spans="1:6" x14ac:dyDescent="0.35">
      <c r="A662" s="22">
        <v>45428</v>
      </c>
      <c r="B662" s="24">
        <v>1672.75</v>
      </c>
      <c r="C662" s="24">
        <v>1672.75</v>
      </c>
      <c r="D662" s="24">
        <v>1672.75</v>
      </c>
      <c r="E662" s="24">
        <v>1672.75</v>
      </c>
      <c r="F662" s="23">
        <f t="shared" si="10"/>
        <v>1.3127810668806658E-2</v>
      </c>
    </row>
    <row r="663" spans="1:6" x14ac:dyDescent="0.35">
      <c r="A663" s="22">
        <v>45429</v>
      </c>
      <c r="B663" s="24">
        <v>1676.2349999999999</v>
      </c>
      <c r="C663" s="24">
        <v>1676.2349999999999</v>
      </c>
      <c r="D663" s="24">
        <v>1676.2349999999999</v>
      </c>
      <c r="E663" s="24">
        <v>1676.2349999999999</v>
      </c>
      <c r="F663" s="23">
        <f t="shared" si="10"/>
        <v>2.0833956060379018E-3</v>
      </c>
    </row>
    <row r="664" spans="1:6" x14ac:dyDescent="0.35">
      <c r="A664" s="22">
        <v>45433</v>
      </c>
      <c r="B664" s="24">
        <v>1686.2760000000001</v>
      </c>
      <c r="C664" s="24">
        <v>1686.2760000000001</v>
      </c>
      <c r="D664" s="24">
        <v>1686.2760000000001</v>
      </c>
      <c r="E664" s="24">
        <v>1686.2760000000001</v>
      </c>
      <c r="F664" s="23">
        <f t="shared" si="10"/>
        <v>5.9902102032233949E-3</v>
      </c>
    </row>
    <row r="665" spans="1:6" x14ac:dyDescent="0.35">
      <c r="A665" s="22">
        <v>45434</v>
      </c>
      <c r="B665" s="24">
        <v>1689.288</v>
      </c>
      <c r="C665" s="24">
        <v>1689.288</v>
      </c>
      <c r="D665" s="24">
        <v>1689.288</v>
      </c>
      <c r="E665" s="24">
        <v>1689.288</v>
      </c>
      <c r="F665" s="23">
        <f t="shared" si="10"/>
        <v>1.7861844680229948E-3</v>
      </c>
    </row>
    <row r="666" spans="1:6" x14ac:dyDescent="0.35">
      <c r="A666" s="22">
        <v>45435</v>
      </c>
      <c r="B666" s="24">
        <v>1711.3889999999999</v>
      </c>
      <c r="C666" s="24">
        <v>1711.3889999999999</v>
      </c>
      <c r="D666" s="24">
        <v>1711.3889999999999</v>
      </c>
      <c r="E666" s="24">
        <v>1711.3889999999999</v>
      </c>
      <c r="F666" s="23">
        <f t="shared" si="10"/>
        <v>1.3083026695270365E-2</v>
      </c>
    </row>
    <row r="667" spans="1:6" x14ac:dyDescent="0.35">
      <c r="A667" s="22">
        <v>45436</v>
      </c>
      <c r="B667" s="24">
        <v>1715.336</v>
      </c>
      <c r="C667" s="24">
        <v>1715.336</v>
      </c>
      <c r="D667" s="24">
        <v>1715.336</v>
      </c>
      <c r="E667" s="24">
        <v>1715.336</v>
      </c>
      <c r="F667" s="23">
        <f t="shared" si="10"/>
        <v>2.3063137603432748E-3</v>
      </c>
    </row>
    <row r="668" spans="1:6" x14ac:dyDescent="0.35">
      <c r="A668" s="22">
        <v>45439</v>
      </c>
      <c r="B668" s="24">
        <v>1715.8779999999999</v>
      </c>
      <c r="C668" s="24">
        <v>1715.8779999999999</v>
      </c>
      <c r="D668" s="24">
        <v>1715.8779999999999</v>
      </c>
      <c r="E668" s="24">
        <v>1715.8779999999999</v>
      </c>
      <c r="F668" s="23">
        <f t="shared" si="10"/>
        <v>3.1597308049263604E-4</v>
      </c>
    </row>
    <row r="669" spans="1:6" x14ac:dyDescent="0.35">
      <c r="A669" s="22">
        <v>45440</v>
      </c>
      <c r="B669" s="24">
        <v>1711.2439999999999</v>
      </c>
      <c r="C669" s="24">
        <v>1711.2439999999999</v>
      </c>
      <c r="D669" s="24">
        <v>1711.2439999999999</v>
      </c>
      <c r="E669" s="24">
        <v>1711.2439999999999</v>
      </c>
      <c r="F669" s="23">
        <f t="shared" si="10"/>
        <v>-2.700658205303649E-3</v>
      </c>
    </row>
    <row r="670" spans="1:6" x14ac:dyDescent="0.35">
      <c r="A670" s="22">
        <v>45441</v>
      </c>
      <c r="B670" s="24">
        <v>1698.9459999999999</v>
      </c>
      <c r="C670" s="24">
        <v>1698.9459999999999</v>
      </c>
      <c r="D670" s="24">
        <v>1698.9459999999999</v>
      </c>
      <c r="E670" s="24">
        <v>1698.9459999999999</v>
      </c>
      <c r="F670" s="23">
        <f t="shared" si="10"/>
        <v>-7.186584730172905E-3</v>
      </c>
    </row>
    <row r="671" spans="1:6" x14ac:dyDescent="0.35">
      <c r="A671" s="22">
        <v>45442</v>
      </c>
      <c r="B671" s="24">
        <v>1689.999</v>
      </c>
      <c r="C671" s="24">
        <v>1689.999</v>
      </c>
      <c r="D671" s="24">
        <v>1689.999</v>
      </c>
      <c r="E671" s="24">
        <v>1689.999</v>
      </c>
      <c r="F671" s="23">
        <f t="shared" si="10"/>
        <v>-5.2662062243296077E-3</v>
      </c>
    </row>
    <row r="672" spans="1:6" x14ac:dyDescent="0.35">
      <c r="A672" s="22">
        <v>45443</v>
      </c>
      <c r="B672" s="24">
        <v>1693.1569999999999</v>
      </c>
      <c r="C672" s="24">
        <v>1693.1569999999999</v>
      </c>
      <c r="D672" s="24">
        <v>1693.1569999999999</v>
      </c>
      <c r="E672" s="24">
        <v>1693.1569999999999</v>
      </c>
      <c r="F672" s="23">
        <f t="shared" si="10"/>
        <v>1.8686401589586158E-3</v>
      </c>
    </row>
    <row r="673" spans="1:6" x14ac:dyDescent="0.35">
      <c r="A673" s="22">
        <v>45446</v>
      </c>
      <c r="B673" s="24">
        <v>1734.97</v>
      </c>
      <c r="C673" s="24">
        <v>1734.97</v>
      </c>
      <c r="D673" s="24">
        <v>1734.97</v>
      </c>
      <c r="E673" s="24">
        <v>1734.97</v>
      </c>
      <c r="F673" s="23">
        <f t="shared" si="10"/>
        <v>2.4695288151069337E-2</v>
      </c>
    </row>
    <row r="674" spans="1:6" x14ac:dyDescent="0.35">
      <c r="A674" s="22">
        <v>45447</v>
      </c>
      <c r="B674" s="24">
        <v>1645.633</v>
      </c>
      <c r="C674" s="24">
        <v>1645.633</v>
      </c>
      <c r="D674" s="24">
        <v>1645.633</v>
      </c>
      <c r="E674" s="24">
        <v>1645.633</v>
      </c>
      <c r="F674" s="23">
        <f t="shared" si="10"/>
        <v>-5.1491956633255898E-2</v>
      </c>
    </row>
    <row r="675" spans="1:6" x14ac:dyDescent="0.35">
      <c r="A675" s="22">
        <v>45448</v>
      </c>
      <c r="B675" s="24">
        <v>1697.2570000000001</v>
      </c>
      <c r="C675" s="24">
        <v>1697.2570000000001</v>
      </c>
      <c r="D675" s="24">
        <v>1697.2570000000001</v>
      </c>
      <c r="E675" s="24">
        <v>1697.2570000000001</v>
      </c>
      <c r="F675" s="23">
        <f t="shared" si="10"/>
        <v>3.1370299453158765E-2</v>
      </c>
    </row>
    <row r="676" spans="1:6" x14ac:dyDescent="0.35">
      <c r="A676" s="22">
        <v>45449</v>
      </c>
      <c r="B676" s="24">
        <v>1717.9549999999999</v>
      </c>
      <c r="C676" s="24">
        <v>1717.9549999999999</v>
      </c>
      <c r="D676" s="24">
        <v>1717.9549999999999</v>
      </c>
      <c r="E676" s="24">
        <v>1717.9549999999999</v>
      </c>
      <c r="F676" s="23">
        <f t="shared" si="10"/>
        <v>1.2194971062131348E-2</v>
      </c>
    </row>
    <row r="677" spans="1:6" x14ac:dyDescent="0.35">
      <c r="A677" s="22">
        <v>45450</v>
      </c>
      <c r="B677" s="24">
        <v>1743.4580000000001</v>
      </c>
      <c r="C677" s="24">
        <v>1743.4580000000001</v>
      </c>
      <c r="D677" s="24">
        <v>1743.4580000000001</v>
      </c>
      <c r="E677" s="24">
        <v>1743.4580000000001</v>
      </c>
      <c r="F677" s="23">
        <f t="shared" si="10"/>
        <v>1.4844975566880482E-2</v>
      </c>
    </row>
    <row r="678" spans="1:6" x14ac:dyDescent="0.35">
      <c r="A678" s="22">
        <v>45453</v>
      </c>
      <c r="B678" s="24">
        <v>1749.6379999999999</v>
      </c>
      <c r="C678" s="24">
        <v>1749.6379999999999</v>
      </c>
      <c r="D678" s="24">
        <v>1749.6379999999999</v>
      </c>
      <c r="E678" s="24">
        <v>1749.6379999999999</v>
      </c>
      <c r="F678" s="23">
        <f t="shared" si="10"/>
        <v>3.5446795965258905E-3</v>
      </c>
    </row>
    <row r="679" spans="1:6" x14ac:dyDescent="0.35">
      <c r="A679" s="22">
        <v>45454</v>
      </c>
      <c r="B679" s="24">
        <v>1750.12</v>
      </c>
      <c r="C679" s="24">
        <v>1750.12</v>
      </c>
      <c r="D679" s="24">
        <v>1750.12</v>
      </c>
      <c r="E679" s="24">
        <v>1750.12</v>
      </c>
      <c r="F679" s="23">
        <f t="shared" si="10"/>
        <v>2.7548555758389503E-4</v>
      </c>
    </row>
    <row r="680" spans="1:6" x14ac:dyDescent="0.35">
      <c r="A680" s="22">
        <v>45455</v>
      </c>
      <c r="B680" s="24">
        <v>1756.3579999999999</v>
      </c>
      <c r="C680" s="24">
        <v>1756.3579999999999</v>
      </c>
      <c r="D680" s="24">
        <v>1756.3579999999999</v>
      </c>
      <c r="E680" s="24">
        <v>1756.3579999999999</v>
      </c>
      <c r="F680" s="23">
        <f t="shared" si="10"/>
        <v>3.5643270175759701E-3</v>
      </c>
    </row>
    <row r="681" spans="1:6" x14ac:dyDescent="0.35">
      <c r="A681" s="22">
        <v>45456</v>
      </c>
      <c r="B681" s="24">
        <v>1759.797</v>
      </c>
      <c r="C681" s="24">
        <v>1759.797</v>
      </c>
      <c r="D681" s="24">
        <v>1759.797</v>
      </c>
      <c r="E681" s="24">
        <v>1759.797</v>
      </c>
      <c r="F681" s="23">
        <f t="shared" si="10"/>
        <v>1.9580290578572698E-3</v>
      </c>
    </row>
    <row r="682" spans="1:6" x14ac:dyDescent="0.35">
      <c r="A682" s="22">
        <v>45457</v>
      </c>
      <c r="B682" s="24">
        <v>1765.652</v>
      </c>
      <c r="C682" s="24">
        <v>1765.652</v>
      </c>
      <c r="D682" s="24">
        <v>1765.652</v>
      </c>
      <c r="E682" s="24">
        <v>1765.652</v>
      </c>
      <c r="F682" s="23">
        <f t="shared" si="10"/>
        <v>3.3270882948431089E-3</v>
      </c>
    </row>
    <row r="683" spans="1:6" x14ac:dyDescent="0.35">
      <c r="A683" s="22">
        <v>45461</v>
      </c>
      <c r="B683" s="24">
        <v>1774.89</v>
      </c>
      <c r="C683" s="24">
        <v>1774.89</v>
      </c>
      <c r="D683" s="24">
        <v>1774.89</v>
      </c>
      <c r="E683" s="24">
        <v>1774.89</v>
      </c>
      <c r="F683" s="23">
        <f t="shared" si="10"/>
        <v>5.2320615840494369E-3</v>
      </c>
    </row>
    <row r="684" spans="1:6" x14ac:dyDescent="0.35">
      <c r="A684" s="22">
        <v>45462</v>
      </c>
      <c r="B684" s="24">
        <v>1778.2380000000001</v>
      </c>
      <c r="C684" s="24">
        <v>1778.2380000000001</v>
      </c>
      <c r="D684" s="24">
        <v>1778.2380000000001</v>
      </c>
      <c r="E684" s="24">
        <v>1778.2380000000001</v>
      </c>
      <c r="F684" s="23">
        <f t="shared" si="10"/>
        <v>1.8863140814360079E-3</v>
      </c>
    </row>
    <row r="685" spans="1:6" x14ac:dyDescent="0.35">
      <c r="A685" s="22">
        <v>45463</v>
      </c>
      <c r="B685" s="24">
        <v>1784.1</v>
      </c>
      <c r="C685" s="24">
        <v>1784.1</v>
      </c>
      <c r="D685" s="24">
        <v>1784.1</v>
      </c>
      <c r="E685" s="24">
        <v>1784.1</v>
      </c>
      <c r="F685" s="23">
        <f t="shared" si="10"/>
        <v>3.2965216129673602E-3</v>
      </c>
    </row>
    <row r="686" spans="1:6" x14ac:dyDescent="0.35">
      <c r="A686" s="22">
        <v>45464</v>
      </c>
      <c r="B686" s="24">
        <v>1785.3710000000001</v>
      </c>
      <c r="C686" s="24">
        <v>1785.3710000000001</v>
      </c>
      <c r="D686" s="24">
        <v>1785.3710000000001</v>
      </c>
      <c r="E686" s="24">
        <v>1785.3710000000001</v>
      </c>
      <c r="F686" s="23">
        <f t="shared" si="10"/>
        <v>7.1240401322806212E-4</v>
      </c>
    </row>
    <row r="687" spans="1:6" x14ac:dyDescent="0.35">
      <c r="A687" s="22">
        <v>45467</v>
      </c>
      <c r="B687" s="24">
        <v>1789.1010000000001</v>
      </c>
      <c r="C687" s="24">
        <v>1789.1010000000001</v>
      </c>
      <c r="D687" s="24">
        <v>1789.1010000000001</v>
      </c>
      <c r="E687" s="24">
        <v>1789.1010000000001</v>
      </c>
      <c r="F687" s="23">
        <f t="shared" si="10"/>
        <v>2.0892016281210003E-3</v>
      </c>
    </row>
    <row r="688" spans="1:6" x14ac:dyDescent="0.35">
      <c r="A688" s="22">
        <v>45468</v>
      </c>
      <c r="B688" s="24">
        <v>1804.664</v>
      </c>
      <c r="C688" s="24">
        <v>1804.664</v>
      </c>
      <c r="D688" s="24">
        <v>1804.664</v>
      </c>
      <c r="E688" s="24">
        <v>1804.664</v>
      </c>
      <c r="F688" s="23">
        <f t="shared" si="10"/>
        <v>8.6987822375594638E-3</v>
      </c>
    </row>
    <row r="689" spans="1:6" x14ac:dyDescent="0.35">
      <c r="A689" s="22">
        <v>45469</v>
      </c>
      <c r="B689" s="24">
        <v>1805.7529999999999</v>
      </c>
      <c r="C689" s="24">
        <v>1805.7529999999999</v>
      </c>
      <c r="D689" s="24">
        <v>1805.7529999999999</v>
      </c>
      <c r="E689" s="24">
        <v>1805.7529999999999</v>
      </c>
      <c r="F689" s="23">
        <f t="shared" si="10"/>
        <v>6.0343642916351283E-4</v>
      </c>
    </row>
    <row r="690" spans="1:6" x14ac:dyDescent="0.35">
      <c r="A690" s="22">
        <v>45470</v>
      </c>
      <c r="B690" s="24">
        <v>1811.6179999999999</v>
      </c>
      <c r="C690" s="24">
        <v>1811.6179999999999</v>
      </c>
      <c r="D690" s="24">
        <v>1811.6179999999999</v>
      </c>
      <c r="E690" s="24">
        <v>1811.6179999999999</v>
      </c>
      <c r="F690" s="23">
        <f t="shared" si="10"/>
        <v>3.2479525162079251E-3</v>
      </c>
    </row>
    <row r="691" spans="1:6" x14ac:dyDescent="0.35">
      <c r="A691" s="22">
        <v>45471</v>
      </c>
      <c r="B691" s="24">
        <v>1803.396</v>
      </c>
      <c r="C691" s="24">
        <v>1803.396</v>
      </c>
      <c r="D691" s="24">
        <v>1803.396</v>
      </c>
      <c r="E691" s="24">
        <v>1803.396</v>
      </c>
      <c r="F691" s="23">
        <f t="shared" si="10"/>
        <v>-4.5384843824691412E-3</v>
      </c>
    </row>
    <row r="692" spans="1:6" x14ac:dyDescent="0.35">
      <c r="A692" s="22">
        <v>45474</v>
      </c>
      <c r="B692" s="24">
        <v>1811.61</v>
      </c>
      <c r="C692" s="24">
        <v>1811.61</v>
      </c>
      <c r="D692" s="24">
        <v>1811.61</v>
      </c>
      <c r="E692" s="24">
        <v>1811.61</v>
      </c>
      <c r="F692" s="23">
        <f t="shared" si="10"/>
        <v>4.5547400570922535E-3</v>
      </c>
    </row>
    <row r="693" spans="1:6" x14ac:dyDescent="0.35">
      <c r="A693" s="22">
        <v>45475</v>
      </c>
      <c r="B693" s="24">
        <v>1808.6369999999999</v>
      </c>
      <c r="C693" s="24">
        <v>1808.6369999999999</v>
      </c>
      <c r="D693" s="24">
        <v>1808.6369999999999</v>
      </c>
      <c r="E693" s="24">
        <v>1808.6369999999999</v>
      </c>
      <c r="F693" s="23">
        <f t="shared" si="10"/>
        <v>-1.6410816897676412E-3</v>
      </c>
    </row>
    <row r="694" spans="1:6" x14ac:dyDescent="0.35">
      <c r="A694" s="22">
        <v>45476</v>
      </c>
      <c r="B694" s="24">
        <v>1822.4559999999999</v>
      </c>
      <c r="C694" s="24">
        <v>1822.4559999999999</v>
      </c>
      <c r="D694" s="24">
        <v>1822.4559999999999</v>
      </c>
      <c r="E694" s="24">
        <v>1822.4559999999999</v>
      </c>
      <c r="F694" s="23">
        <f t="shared" si="10"/>
        <v>7.6405602672067197E-3</v>
      </c>
    </row>
    <row r="695" spans="1:6" x14ac:dyDescent="0.35">
      <c r="A695" s="22">
        <v>45477</v>
      </c>
      <c r="B695" s="24">
        <v>1830.5609999999999</v>
      </c>
      <c r="C695" s="24">
        <v>1830.5609999999999</v>
      </c>
      <c r="D695" s="24">
        <v>1830.5609999999999</v>
      </c>
      <c r="E695" s="24">
        <v>1830.5609999999999</v>
      </c>
      <c r="F695" s="23">
        <f t="shared" si="10"/>
        <v>4.4472952982129712E-3</v>
      </c>
    </row>
    <row r="696" spans="1:6" x14ac:dyDescent="0.35">
      <c r="A696" s="22">
        <v>45478</v>
      </c>
      <c r="B696" s="24">
        <v>1830.038</v>
      </c>
      <c r="C696" s="24">
        <v>1830.038</v>
      </c>
      <c r="D696" s="24">
        <v>1830.038</v>
      </c>
      <c r="E696" s="24">
        <v>1830.038</v>
      </c>
      <c r="F696" s="23">
        <f t="shared" si="10"/>
        <v>-2.8570476482341257E-4</v>
      </c>
    </row>
    <row r="697" spans="1:6" x14ac:dyDescent="0.35">
      <c r="A697" s="22">
        <v>45481</v>
      </c>
      <c r="B697" s="24">
        <v>1827.759</v>
      </c>
      <c r="C697" s="24">
        <v>1827.759</v>
      </c>
      <c r="D697" s="24">
        <v>1827.759</v>
      </c>
      <c r="E697" s="24">
        <v>1827.759</v>
      </c>
      <c r="F697" s="23">
        <f t="shared" si="10"/>
        <v>-1.2453293319592252E-3</v>
      </c>
    </row>
    <row r="698" spans="1:6" x14ac:dyDescent="0.35">
      <c r="A698" s="22">
        <v>45482</v>
      </c>
      <c r="B698" s="24">
        <v>1839.0309999999999</v>
      </c>
      <c r="C698" s="24">
        <v>1839.0309999999999</v>
      </c>
      <c r="D698" s="24">
        <v>1839.0309999999999</v>
      </c>
      <c r="E698" s="24">
        <v>1839.0309999999999</v>
      </c>
      <c r="F698" s="23">
        <f t="shared" si="10"/>
        <v>6.1671150299355297E-3</v>
      </c>
    </row>
    <row r="699" spans="1:6" x14ac:dyDescent="0.35">
      <c r="A699" s="22">
        <v>45483</v>
      </c>
      <c r="B699" s="24">
        <v>1834.5550000000001</v>
      </c>
      <c r="C699" s="24">
        <v>1834.5550000000001</v>
      </c>
      <c r="D699" s="24">
        <v>1834.5550000000001</v>
      </c>
      <c r="E699" s="24">
        <v>1834.5550000000001</v>
      </c>
      <c r="F699" s="23">
        <f t="shared" si="10"/>
        <v>-2.4338904564414005E-3</v>
      </c>
    </row>
    <row r="700" spans="1:6" x14ac:dyDescent="0.35">
      <c r="A700" s="22">
        <v>45484</v>
      </c>
      <c r="B700" s="24">
        <v>1834.6289999999999</v>
      </c>
      <c r="C700" s="24">
        <v>1834.6289999999999</v>
      </c>
      <c r="D700" s="24">
        <v>1834.6289999999999</v>
      </c>
      <c r="E700" s="24">
        <v>1834.6289999999999</v>
      </c>
      <c r="F700" s="23">
        <f t="shared" si="10"/>
        <v>4.0336757415199734E-5</v>
      </c>
    </row>
    <row r="701" spans="1:6" x14ac:dyDescent="0.35">
      <c r="A701" s="22">
        <v>45485</v>
      </c>
      <c r="B701" s="24">
        <v>1842.384</v>
      </c>
      <c r="C701" s="24">
        <v>1842.384</v>
      </c>
      <c r="D701" s="24">
        <v>1842.384</v>
      </c>
      <c r="E701" s="24">
        <v>1842.384</v>
      </c>
      <c r="F701" s="23">
        <f t="shared" si="10"/>
        <v>4.2270126548746966E-3</v>
      </c>
    </row>
    <row r="702" spans="1:6" x14ac:dyDescent="0.35">
      <c r="A702" s="22">
        <v>45488</v>
      </c>
      <c r="B702" s="24">
        <v>1848.69</v>
      </c>
      <c r="C702" s="24">
        <v>1848.69</v>
      </c>
      <c r="D702" s="24">
        <v>1848.69</v>
      </c>
      <c r="E702" s="24">
        <v>1848.69</v>
      </c>
      <c r="F702" s="23">
        <f t="shared" si="10"/>
        <v>3.4227392335148591E-3</v>
      </c>
    </row>
    <row r="703" spans="1:6" x14ac:dyDescent="0.35">
      <c r="A703" s="22">
        <v>45489</v>
      </c>
      <c r="B703" s="24">
        <v>1850.33</v>
      </c>
      <c r="C703" s="24">
        <v>1850.33</v>
      </c>
      <c r="D703" s="24">
        <v>1850.33</v>
      </c>
      <c r="E703" s="24">
        <v>1850.33</v>
      </c>
      <c r="F703" s="23">
        <f t="shared" si="10"/>
        <v>8.8711465956968049E-4</v>
      </c>
    </row>
    <row r="704" spans="1:6" x14ac:dyDescent="0.35">
      <c r="A704" s="22">
        <v>45491</v>
      </c>
      <c r="B704" s="24">
        <v>1856.0219999999999</v>
      </c>
      <c r="C704" s="24">
        <v>1856.0219999999999</v>
      </c>
      <c r="D704" s="24">
        <v>1856.0219999999999</v>
      </c>
      <c r="E704" s="24">
        <v>1856.0219999999999</v>
      </c>
      <c r="F704" s="23">
        <f t="shared" si="10"/>
        <v>3.0762080277572149E-3</v>
      </c>
    </row>
    <row r="705" spans="1:6" x14ac:dyDescent="0.35">
      <c r="A705" s="22">
        <v>45492</v>
      </c>
      <c r="B705" s="24">
        <v>1842.317</v>
      </c>
      <c r="C705" s="24">
        <v>1842.317</v>
      </c>
      <c r="D705" s="24">
        <v>1842.317</v>
      </c>
      <c r="E705" s="24">
        <v>1842.317</v>
      </c>
      <c r="F705" s="23">
        <f t="shared" si="10"/>
        <v>-7.3840719560435853E-3</v>
      </c>
    </row>
    <row r="706" spans="1:6" x14ac:dyDescent="0.35">
      <c r="A706" s="22">
        <v>45495</v>
      </c>
      <c r="B706" s="24">
        <v>1843.1369999999999</v>
      </c>
      <c r="C706" s="24">
        <v>1843.1369999999999</v>
      </c>
      <c r="D706" s="24">
        <v>1843.1369999999999</v>
      </c>
      <c r="E706" s="24">
        <v>1843.1369999999999</v>
      </c>
      <c r="F706" s="23">
        <f t="shared" si="10"/>
        <v>4.4509169703147523E-4</v>
      </c>
    </row>
    <row r="707" spans="1:6" x14ac:dyDescent="0.35">
      <c r="A707" s="22">
        <v>45496</v>
      </c>
      <c r="B707" s="24">
        <v>1839.0509999999999</v>
      </c>
      <c r="C707" s="24">
        <v>1839.0509999999999</v>
      </c>
      <c r="D707" s="24">
        <v>1839.0509999999999</v>
      </c>
      <c r="E707" s="24">
        <v>1839.0509999999999</v>
      </c>
      <c r="F707" s="23">
        <f t="shared" ref="F707:F770" si="11">(B707-B706)/B706</f>
        <v>-2.2168726470143093E-3</v>
      </c>
    </row>
    <row r="708" spans="1:6" x14ac:dyDescent="0.35">
      <c r="A708" s="22">
        <v>45497</v>
      </c>
      <c r="B708" s="24">
        <v>1841.4770000000001</v>
      </c>
      <c r="C708" s="24">
        <v>1841.4770000000001</v>
      </c>
      <c r="D708" s="24">
        <v>1841.4770000000001</v>
      </c>
      <c r="E708" s="24">
        <v>1841.4770000000001</v>
      </c>
      <c r="F708" s="23">
        <f t="shared" si="11"/>
        <v>1.3191586312724108E-3</v>
      </c>
    </row>
    <row r="709" spans="1:6" x14ac:dyDescent="0.35">
      <c r="A709" s="22">
        <v>45498</v>
      </c>
      <c r="B709" s="24">
        <v>1834.8679999999999</v>
      </c>
      <c r="C709" s="24">
        <v>1834.8679999999999</v>
      </c>
      <c r="D709" s="24">
        <v>1834.8679999999999</v>
      </c>
      <c r="E709" s="24">
        <v>1834.8679999999999</v>
      </c>
      <c r="F709" s="23">
        <f t="shared" si="11"/>
        <v>-3.5889668999396413E-3</v>
      </c>
    </row>
    <row r="710" spans="1:6" x14ac:dyDescent="0.35">
      <c r="A710" s="22">
        <v>45499</v>
      </c>
      <c r="B710" s="24">
        <v>1861.13</v>
      </c>
      <c r="C710" s="24">
        <v>1861.13</v>
      </c>
      <c r="D710" s="24">
        <v>1861.13</v>
      </c>
      <c r="E710" s="24">
        <v>1861.13</v>
      </c>
      <c r="F710" s="23">
        <f t="shared" si="11"/>
        <v>1.4312746202996713E-2</v>
      </c>
    </row>
    <row r="711" spans="1:6" x14ac:dyDescent="0.35">
      <c r="A711" s="22">
        <v>45502</v>
      </c>
      <c r="B711" s="24">
        <v>1858.329</v>
      </c>
      <c r="C711" s="24">
        <v>1858.329</v>
      </c>
      <c r="D711" s="24">
        <v>1858.329</v>
      </c>
      <c r="E711" s="24">
        <v>1858.329</v>
      </c>
      <c r="F711" s="23">
        <f t="shared" si="11"/>
        <v>-1.5049996507498983E-3</v>
      </c>
    </row>
    <row r="712" spans="1:6" x14ac:dyDescent="0.35">
      <c r="A712" s="22">
        <v>45503</v>
      </c>
      <c r="B712" s="24">
        <v>1856.6279999999999</v>
      </c>
      <c r="C712" s="24">
        <v>1856.6279999999999</v>
      </c>
      <c r="D712" s="24">
        <v>1856.6279999999999</v>
      </c>
      <c r="E712" s="24">
        <v>1856.6279999999999</v>
      </c>
      <c r="F712" s="23">
        <f t="shared" si="11"/>
        <v>-9.1533845729148172E-4</v>
      </c>
    </row>
    <row r="713" spans="1:6" x14ac:dyDescent="0.35">
      <c r="A713" s="22">
        <v>45504</v>
      </c>
      <c r="B713" s="24">
        <v>1862.9269999999999</v>
      </c>
      <c r="C713" s="24">
        <v>1862.9269999999999</v>
      </c>
      <c r="D713" s="24">
        <v>1862.9269999999999</v>
      </c>
      <c r="E713" s="24">
        <v>1862.9269999999999</v>
      </c>
      <c r="F713" s="23">
        <f t="shared" si="11"/>
        <v>3.392709794315274E-3</v>
      </c>
    </row>
    <row r="714" spans="1:6" x14ac:dyDescent="0.35">
      <c r="A714" s="22">
        <v>45505</v>
      </c>
      <c r="B714" s="24">
        <v>1864.9680000000001</v>
      </c>
      <c r="C714" s="24">
        <v>1864.9680000000001</v>
      </c>
      <c r="D714" s="24">
        <v>1864.9680000000001</v>
      </c>
      <c r="E714" s="24">
        <v>1864.9680000000001</v>
      </c>
      <c r="F714" s="23">
        <f t="shared" si="11"/>
        <v>1.0955877498153E-3</v>
      </c>
    </row>
    <row r="715" spans="1:6" x14ac:dyDescent="0.35">
      <c r="A715" s="22">
        <v>45506</v>
      </c>
      <c r="B715" s="24">
        <v>1849.058</v>
      </c>
      <c r="C715" s="24">
        <v>1849.058</v>
      </c>
      <c r="D715" s="24">
        <v>1849.058</v>
      </c>
      <c r="E715" s="24">
        <v>1849.058</v>
      </c>
      <c r="F715" s="23">
        <f t="shared" si="11"/>
        <v>-8.530977475216776E-3</v>
      </c>
    </row>
    <row r="716" spans="1:6" x14ac:dyDescent="0.35">
      <c r="A716" s="22">
        <v>45509</v>
      </c>
      <c r="B716" s="24">
        <v>1807.7760000000001</v>
      </c>
      <c r="C716" s="24">
        <v>1807.7760000000001</v>
      </c>
      <c r="D716" s="24">
        <v>1807.7760000000001</v>
      </c>
      <c r="E716" s="24">
        <v>1807.7760000000001</v>
      </c>
      <c r="F716" s="23">
        <f t="shared" si="11"/>
        <v>-2.2325962733456672E-2</v>
      </c>
    </row>
    <row r="717" spans="1:6" x14ac:dyDescent="0.35">
      <c r="A717" s="22">
        <v>45510</v>
      </c>
      <c r="B717" s="24">
        <v>1801.3009999999999</v>
      </c>
      <c r="C717" s="24">
        <v>1801.3009999999999</v>
      </c>
      <c r="D717" s="24">
        <v>1801.3009999999999</v>
      </c>
      <c r="E717" s="24">
        <v>1801.3009999999999</v>
      </c>
      <c r="F717" s="23">
        <f t="shared" si="11"/>
        <v>-3.5817490662560718E-3</v>
      </c>
    </row>
    <row r="718" spans="1:6" x14ac:dyDescent="0.35">
      <c r="A718" s="22">
        <v>45511</v>
      </c>
      <c r="B718" s="24">
        <v>1821.479</v>
      </c>
      <c r="C718" s="24">
        <v>1821.479</v>
      </c>
      <c r="D718" s="24">
        <v>1821.479</v>
      </c>
      <c r="E718" s="24">
        <v>1821.479</v>
      </c>
      <c r="F718" s="23">
        <f t="shared" si="11"/>
        <v>1.1201903513072002E-2</v>
      </c>
    </row>
    <row r="719" spans="1:6" x14ac:dyDescent="0.35">
      <c r="A719" s="22">
        <v>45512</v>
      </c>
      <c r="B719" s="24">
        <v>1817.296</v>
      </c>
      <c r="C719" s="24">
        <v>1817.296</v>
      </c>
      <c r="D719" s="24">
        <v>1817.296</v>
      </c>
      <c r="E719" s="24">
        <v>1817.296</v>
      </c>
      <c r="F719" s="23">
        <f t="shared" si="11"/>
        <v>-2.2964854384815814E-3</v>
      </c>
    </row>
    <row r="720" spans="1:6" x14ac:dyDescent="0.35">
      <c r="A720" s="22">
        <v>45513</v>
      </c>
      <c r="B720" s="24">
        <v>1828.836</v>
      </c>
      <c r="C720" s="24">
        <v>1828.836</v>
      </c>
      <c r="D720" s="24">
        <v>1828.836</v>
      </c>
      <c r="E720" s="24">
        <v>1828.836</v>
      </c>
      <c r="F720" s="23">
        <f t="shared" si="11"/>
        <v>6.35009376568262E-3</v>
      </c>
    </row>
    <row r="721" spans="1:6" x14ac:dyDescent="0.35">
      <c r="A721" s="22">
        <v>45516</v>
      </c>
      <c r="B721" s="24">
        <v>1833.2339999999999</v>
      </c>
      <c r="C721" s="24">
        <v>1833.2339999999999</v>
      </c>
      <c r="D721" s="24">
        <v>1833.2339999999999</v>
      </c>
      <c r="E721" s="24">
        <v>1833.2339999999999</v>
      </c>
      <c r="F721" s="23">
        <f t="shared" si="11"/>
        <v>2.4048083042984229E-3</v>
      </c>
    </row>
    <row r="722" spans="1:6" x14ac:dyDescent="0.35">
      <c r="A722" s="22">
        <v>45517</v>
      </c>
      <c r="B722" s="24">
        <v>1821.1980000000001</v>
      </c>
      <c r="C722" s="24">
        <v>1821.1980000000001</v>
      </c>
      <c r="D722" s="24">
        <v>1821.1980000000001</v>
      </c>
      <c r="E722" s="24">
        <v>1821.1980000000001</v>
      </c>
      <c r="F722" s="23">
        <f t="shared" si="11"/>
        <v>-6.5654466369267812E-3</v>
      </c>
    </row>
    <row r="723" spans="1:6" x14ac:dyDescent="0.35">
      <c r="A723" s="22">
        <v>45518</v>
      </c>
      <c r="B723" s="24">
        <v>1819.7850000000001</v>
      </c>
      <c r="C723" s="24">
        <v>1819.7850000000001</v>
      </c>
      <c r="D723" s="24">
        <v>1819.7850000000001</v>
      </c>
      <c r="E723" s="24">
        <v>1819.7850000000001</v>
      </c>
      <c r="F723" s="23">
        <f t="shared" si="11"/>
        <v>-7.7586292100035844E-4</v>
      </c>
    </row>
    <row r="724" spans="1:6" x14ac:dyDescent="0.35">
      <c r="A724" s="22">
        <v>45520</v>
      </c>
      <c r="B724" s="24">
        <v>1843.94</v>
      </c>
      <c r="C724" s="24">
        <v>1843.94</v>
      </c>
      <c r="D724" s="24">
        <v>1843.94</v>
      </c>
      <c r="E724" s="24">
        <v>1843.94</v>
      </c>
      <c r="F724" s="23">
        <f t="shared" si="11"/>
        <v>1.3273546050769719E-2</v>
      </c>
    </row>
    <row r="725" spans="1:6" x14ac:dyDescent="0.35">
      <c r="A725" s="22">
        <v>45523</v>
      </c>
      <c r="B725" s="24">
        <v>1841.557</v>
      </c>
      <c r="C725" s="24">
        <v>1841.557</v>
      </c>
      <c r="D725" s="24">
        <v>1841.557</v>
      </c>
      <c r="E725" s="24">
        <v>1841.557</v>
      </c>
      <c r="F725" s="23">
        <f t="shared" si="11"/>
        <v>-1.2923413993947948E-3</v>
      </c>
    </row>
    <row r="726" spans="1:6" x14ac:dyDescent="0.35">
      <c r="A726" s="22">
        <v>45524</v>
      </c>
      <c r="B726" s="24">
        <v>1850.183</v>
      </c>
      <c r="C726" s="24">
        <v>1850.183</v>
      </c>
      <c r="D726" s="24">
        <v>1850.183</v>
      </c>
      <c r="E726" s="24">
        <v>1850.183</v>
      </c>
      <c r="F726" s="23">
        <f t="shared" si="11"/>
        <v>4.6840798302740429E-3</v>
      </c>
    </row>
    <row r="727" spans="1:6" x14ac:dyDescent="0.35">
      <c r="A727" s="22">
        <v>45525</v>
      </c>
      <c r="B727" s="24">
        <v>1856.2760000000001</v>
      </c>
      <c r="C727" s="24">
        <v>1856.2760000000001</v>
      </c>
      <c r="D727" s="24">
        <v>1856.2760000000001</v>
      </c>
      <c r="E727" s="24">
        <v>1856.2760000000001</v>
      </c>
      <c r="F727" s="23">
        <f t="shared" si="11"/>
        <v>3.293187754941038E-3</v>
      </c>
    </row>
    <row r="728" spans="1:6" x14ac:dyDescent="0.35">
      <c r="A728" s="22">
        <v>45526</v>
      </c>
      <c r="B728" s="24">
        <v>1862.221</v>
      </c>
      <c r="C728" s="24">
        <v>1862.221</v>
      </c>
      <c r="D728" s="24">
        <v>1862.221</v>
      </c>
      <c r="E728" s="24">
        <v>1862.221</v>
      </c>
      <c r="F728" s="23">
        <f t="shared" si="11"/>
        <v>3.2026487440444933E-3</v>
      </c>
    </row>
    <row r="729" spans="1:6" x14ac:dyDescent="0.35">
      <c r="A729" s="22">
        <v>45527</v>
      </c>
      <c r="B729" s="24">
        <v>1859.8720000000001</v>
      </c>
      <c r="C729" s="24">
        <v>1859.8720000000001</v>
      </c>
      <c r="D729" s="24">
        <v>1859.8720000000001</v>
      </c>
      <c r="E729" s="24">
        <v>1859.8720000000001</v>
      </c>
      <c r="F729" s="23">
        <f t="shared" si="11"/>
        <v>-1.2613970092700774E-3</v>
      </c>
    </row>
    <row r="730" spans="1:6" x14ac:dyDescent="0.35">
      <c r="A730" s="22">
        <v>45530</v>
      </c>
      <c r="B730" s="24">
        <v>1871.309</v>
      </c>
      <c r="C730" s="24">
        <v>1871.309</v>
      </c>
      <c r="D730" s="24">
        <v>1871.309</v>
      </c>
      <c r="E730" s="24">
        <v>1871.309</v>
      </c>
      <c r="F730" s="23">
        <f t="shared" si="11"/>
        <v>6.1493479121143271E-3</v>
      </c>
    </row>
    <row r="731" spans="1:6" x14ac:dyDescent="0.35">
      <c r="A731" s="22">
        <v>45531</v>
      </c>
      <c r="B731" s="24">
        <v>1877.1880000000001</v>
      </c>
      <c r="C731" s="24">
        <v>1877.1880000000001</v>
      </c>
      <c r="D731" s="24">
        <v>1877.1880000000001</v>
      </c>
      <c r="E731" s="24">
        <v>1877.1880000000001</v>
      </c>
      <c r="F731" s="23">
        <f t="shared" si="11"/>
        <v>3.1416511116016291E-3</v>
      </c>
    </row>
    <row r="732" spans="1:6" x14ac:dyDescent="0.35">
      <c r="A732" s="22">
        <v>45532</v>
      </c>
      <c r="B732" s="24">
        <v>1879.0709999999999</v>
      </c>
      <c r="C732" s="24">
        <v>1879.0709999999999</v>
      </c>
      <c r="D732" s="24">
        <v>1879.0709999999999</v>
      </c>
      <c r="E732" s="24">
        <v>1879.0709999999999</v>
      </c>
      <c r="F732" s="23">
        <f t="shared" si="11"/>
        <v>1.0030961203671719E-3</v>
      </c>
    </row>
    <row r="733" spans="1:6" x14ac:dyDescent="0.35">
      <c r="A733" s="22">
        <v>45533</v>
      </c>
      <c r="B733" s="24">
        <v>1881.0050000000001</v>
      </c>
      <c r="C733" s="24">
        <v>1881.0050000000001</v>
      </c>
      <c r="D733" s="24">
        <v>1881.0050000000001</v>
      </c>
      <c r="E733" s="24">
        <v>1881.0050000000001</v>
      </c>
      <c r="F733" s="23">
        <f t="shared" si="11"/>
        <v>1.029231998152383E-3</v>
      </c>
    </row>
    <row r="734" spans="1:6" x14ac:dyDescent="0.35">
      <c r="A734" s="22">
        <v>45534</v>
      </c>
      <c r="B734" s="24">
        <v>1894.8109999999999</v>
      </c>
      <c r="C734" s="24">
        <v>1894.8109999999999</v>
      </c>
      <c r="D734" s="24">
        <v>1894.8109999999999</v>
      </c>
      <c r="E734" s="24">
        <v>1894.8109999999999</v>
      </c>
      <c r="F734" s="23">
        <f t="shared" si="11"/>
        <v>7.3396934085766981E-3</v>
      </c>
    </row>
    <row r="735" spans="1:6" x14ac:dyDescent="0.35">
      <c r="A735" s="22">
        <v>45537</v>
      </c>
      <c r="B735" s="24">
        <v>1898.453</v>
      </c>
      <c r="C735" s="24">
        <v>1898.453</v>
      </c>
      <c r="D735" s="24">
        <v>1898.453</v>
      </c>
      <c r="E735" s="24">
        <v>1898.453</v>
      </c>
      <c r="F735" s="23">
        <f t="shared" si="11"/>
        <v>1.9220914381434628E-3</v>
      </c>
    </row>
    <row r="736" spans="1:6" x14ac:dyDescent="0.35">
      <c r="A736" s="22">
        <v>45538</v>
      </c>
      <c r="B736" s="24">
        <v>1902.9349999999999</v>
      </c>
      <c r="C736" s="24">
        <v>1902.9349999999999</v>
      </c>
      <c r="D736" s="24">
        <v>1902.9349999999999</v>
      </c>
      <c r="E736" s="24">
        <v>1902.9349999999999</v>
      </c>
      <c r="F736" s="23">
        <f t="shared" si="11"/>
        <v>2.3608696133114548E-3</v>
      </c>
    </row>
    <row r="737" spans="1:6" x14ac:dyDescent="0.35">
      <c r="A737" s="22">
        <v>45539</v>
      </c>
      <c r="B737" s="24">
        <v>1903.492</v>
      </c>
      <c r="C737" s="24">
        <v>1903.492</v>
      </c>
      <c r="D737" s="24">
        <v>1903.492</v>
      </c>
      <c r="E737" s="24">
        <v>1903.492</v>
      </c>
      <c r="F737" s="23">
        <f t="shared" si="11"/>
        <v>2.9270574139422334E-4</v>
      </c>
    </row>
    <row r="738" spans="1:6" x14ac:dyDescent="0.35">
      <c r="A738" s="22">
        <v>45540</v>
      </c>
      <c r="B738" s="24">
        <v>1901.579</v>
      </c>
      <c r="C738" s="24">
        <v>1901.579</v>
      </c>
      <c r="D738" s="24">
        <v>1901.579</v>
      </c>
      <c r="E738" s="24">
        <v>1901.579</v>
      </c>
      <c r="F738" s="23">
        <f t="shared" si="11"/>
        <v>-1.0049950301866313E-3</v>
      </c>
    </row>
    <row r="739" spans="1:6" x14ac:dyDescent="0.35">
      <c r="A739" s="22">
        <v>45541</v>
      </c>
      <c r="B739" s="24">
        <v>1883.498</v>
      </c>
      <c r="C739" s="24">
        <v>1883.498</v>
      </c>
      <c r="D739" s="24">
        <v>1883.498</v>
      </c>
      <c r="E739" s="24">
        <v>1883.498</v>
      </c>
      <c r="F739" s="23">
        <f t="shared" si="11"/>
        <v>-9.5084137971653583E-3</v>
      </c>
    </row>
    <row r="740" spans="1:6" x14ac:dyDescent="0.35">
      <c r="A740" s="22">
        <v>45544</v>
      </c>
      <c r="B740" s="24">
        <v>1886.8389999999999</v>
      </c>
      <c r="C740" s="24">
        <v>1886.8389999999999</v>
      </c>
      <c r="D740" s="24">
        <v>1886.8389999999999</v>
      </c>
      <c r="E740" s="24">
        <v>1886.8389999999999</v>
      </c>
      <c r="F740" s="23">
        <f t="shared" si="11"/>
        <v>1.7738272087360297E-3</v>
      </c>
    </row>
    <row r="741" spans="1:6" x14ac:dyDescent="0.35">
      <c r="A741" s="22">
        <v>45545</v>
      </c>
      <c r="B741" s="24">
        <v>1900.896</v>
      </c>
      <c r="C741" s="24">
        <v>1900.896</v>
      </c>
      <c r="D741" s="24">
        <v>1900.896</v>
      </c>
      <c r="E741" s="24">
        <v>1900.896</v>
      </c>
      <c r="F741" s="23">
        <f t="shared" si="11"/>
        <v>7.4500262078534612E-3</v>
      </c>
    </row>
    <row r="742" spans="1:6" x14ac:dyDescent="0.35">
      <c r="A742" s="22">
        <v>45546</v>
      </c>
      <c r="B742" s="24">
        <v>1896.346</v>
      </c>
      <c r="C742" s="24">
        <v>1896.346</v>
      </c>
      <c r="D742" s="24">
        <v>1896.346</v>
      </c>
      <c r="E742" s="24">
        <v>1896.346</v>
      </c>
      <c r="F742" s="23">
        <f t="shared" si="11"/>
        <v>-2.3936080669326228E-3</v>
      </c>
    </row>
    <row r="743" spans="1:6" x14ac:dyDescent="0.35">
      <c r="A743" s="22">
        <v>45547</v>
      </c>
      <c r="B743" s="24">
        <v>1923.38</v>
      </c>
      <c r="C743" s="24">
        <v>1923.38</v>
      </c>
      <c r="D743" s="24">
        <v>1923.38</v>
      </c>
      <c r="E743" s="24">
        <v>1923.38</v>
      </c>
      <c r="F743" s="23">
        <f t="shared" si="11"/>
        <v>1.4255837278640136E-2</v>
      </c>
    </row>
    <row r="744" spans="1:6" x14ac:dyDescent="0.35">
      <c r="A744" s="22">
        <v>45548</v>
      </c>
      <c r="B744" s="24">
        <v>1920.5930000000001</v>
      </c>
      <c r="C744" s="24">
        <v>1920.5930000000001</v>
      </c>
      <c r="D744" s="24">
        <v>1920.5930000000001</v>
      </c>
      <c r="E744" s="24">
        <v>1920.5930000000001</v>
      </c>
      <c r="F744" s="23">
        <f t="shared" si="11"/>
        <v>-1.4490116357662212E-3</v>
      </c>
    </row>
    <row r="745" spans="1:6" x14ac:dyDescent="0.35">
      <c r="A745" s="22">
        <v>45551</v>
      </c>
      <c r="B745" s="24">
        <v>1922.7940000000001</v>
      </c>
      <c r="C745" s="24">
        <v>1922.7940000000001</v>
      </c>
      <c r="D745" s="24">
        <v>1922.7940000000001</v>
      </c>
      <c r="E745" s="24">
        <v>1922.7940000000001</v>
      </c>
      <c r="F745" s="23">
        <f t="shared" si="11"/>
        <v>1.1460002197238154E-3</v>
      </c>
    </row>
    <row r="746" spans="1:6" x14ac:dyDescent="0.35">
      <c r="A746" s="22">
        <v>45552</v>
      </c>
      <c r="B746" s="24">
        <v>1927.7339999999999</v>
      </c>
      <c r="C746" s="24">
        <v>1927.7339999999999</v>
      </c>
      <c r="D746" s="24">
        <v>1927.7339999999999</v>
      </c>
      <c r="E746" s="24">
        <v>1927.7339999999999</v>
      </c>
      <c r="F746" s="23">
        <f t="shared" si="11"/>
        <v>2.5691779774639546E-3</v>
      </c>
    </row>
    <row r="747" spans="1:6" x14ac:dyDescent="0.35">
      <c r="A747" s="22">
        <v>45553</v>
      </c>
      <c r="B747" s="24">
        <v>1925.598</v>
      </c>
      <c r="C747" s="24">
        <v>1925.598</v>
      </c>
      <c r="D747" s="24">
        <v>1925.598</v>
      </c>
      <c r="E747" s="24">
        <v>1925.598</v>
      </c>
      <c r="F747" s="23">
        <f t="shared" si="11"/>
        <v>-1.108036689709248E-3</v>
      </c>
    </row>
    <row r="748" spans="1:6" x14ac:dyDescent="0.35">
      <c r="A748" s="22">
        <v>45554</v>
      </c>
      <c r="B748" s="24">
        <v>1926.104</v>
      </c>
      <c r="C748" s="24">
        <v>1926.104</v>
      </c>
      <c r="D748" s="24">
        <v>1926.104</v>
      </c>
      <c r="E748" s="24">
        <v>1926.104</v>
      </c>
      <c r="F748" s="23">
        <f t="shared" si="11"/>
        <v>2.6277551181507538E-4</v>
      </c>
    </row>
    <row r="749" spans="1:6" x14ac:dyDescent="0.35">
      <c r="A749" s="22">
        <v>45555</v>
      </c>
      <c r="B749" s="24">
        <v>1950.521</v>
      </c>
      <c r="C749" s="24">
        <v>1950.521</v>
      </c>
      <c r="D749" s="24">
        <v>1950.521</v>
      </c>
      <c r="E749" s="24">
        <v>1950.521</v>
      </c>
      <c r="F749" s="23">
        <f t="shared" si="11"/>
        <v>1.2676885567965134E-2</v>
      </c>
    </row>
    <row r="750" spans="1:6" x14ac:dyDescent="0.35">
      <c r="A750" s="22">
        <v>45558</v>
      </c>
      <c r="B750" s="24">
        <v>1964.3109999999999</v>
      </c>
      <c r="C750" s="24">
        <v>1964.3109999999999</v>
      </c>
      <c r="D750" s="24">
        <v>1964.3109999999999</v>
      </c>
      <c r="E750" s="24">
        <v>1964.3109999999999</v>
      </c>
      <c r="F750" s="23">
        <f t="shared" si="11"/>
        <v>7.069905937951944E-3</v>
      </c>
    </row>
    <row r="751" spans="1:6" x14ac:dyDescent="0.35">
      <c r="A751" s="22">
        <v>45559</v>
      </c>
      <c r="B751" s="24">
        <v>1962.7739999999999</v>
      </c>
      <c r="C751" s="24">
        <v>1962.7739999999999</v>
      </c>
      <c r="D751" s="24">
        <v>1962.7739999999999</v>
      </c>
      <c r="E751" s="24">
        <v>1962.7739999999999</v>
      </c>
      <c r="F751" s="23">
        <f t="shared" si="11"/>
        <v>-7.8246265484438796E-4</v>
      </c>
    </row>
    <row r="752" spans="1:6" x14ac:dyDescent="0.35">
      <c r="A752" s="22">
        <v>45561</v>
      </c>
      <c r="B752" s="24">
        <v>1980.578</v>
      </c>
      <c r="C752" s="24">
        <v>1980.578</v>
      </c>
      <c r="D752" s="24">
        <v>1980.578</v>
      </c>
      <c r="E752" s="24">
        <v>1980.578</v>
      </c>
      <c r="F752" s="23">
        <f t="shared" si="11"/>
        <v>9.0708354604249336E-3</v>
      </c>
    </row>
    <row r="753" spans="1:6" x14ac:dyDescent="0.35">
      <c r="A753" s="22">
        <v>45562</v>
      </c>
      <c r="B753" s="24">
        <v>1974.7829999999999</v>
      </c>
      <c r="C753" s="24">
        <v>1974.7829999999999</v>
      </c>
      <c r="D753" s="24">
        <v>1974.7829999999999</v>
      </c>
      <c r="E753" s="24">
        <v>1974.7829999999999</v>
      </c>
      <c r="F753" s="23">
        <f t="shared" si="11"/>
        <v>-2.9259135464496087E-3</v>
      </c>
    </row>
    <row r="754" spans="1:6" x14ac:dyDescent="0.35">
      <c r="A754" s="22">
        <v>45566</v>
      </c>
      <c r="B754" s="24">
        <v>1952.7539999999999</v>
      </c>
      <c r="C754" s="24">
        <v>1952.7539999999999</v>
      </c>
      <c r="D754" s="24">
        <v>1952.7539999999999</v>
      </c>
      <c r="E754" s="24">
        <v>1952.7539999999999</v>
      </c>
      <c r="F754" s="23">
        <f t="shared" si="11"/>
        <v>-1.1155149705056201E-2</v>
      </c>
    </row>
    <row r="755" spans="1:6" x14ac:dyDescent="0.35">
      <c r="A755" s="22">
        <v>45568</v>
      </c>
      <c r="B755" s="24">
        <v>1915.4690000000001</v>
      </c>
      <c r="C755" s="24">
        <v>1915.4690000000001</v>
      </c>
      <c r="D755" s="24">
        <v>1915.4690000000001</v>
      </c>
      <c r="E755" s="24">
        <v>1915.4690000000001</v>
      </c>
      <c r="F755" s="23">
        <f t="shared" si="11"/>
        <v>-1.9093546857412585E-2</v>
      </c>
    </row>
    <row r="756" spans="1:6" x14ac:dyDescent="0.35">
      <c r="A756" s="22">
        <v>45569</v>
      </c>
      <c r="B756" s="24">
        <v>1904.376</v>
      </c>
      <c r="C756" s="24">
        <v>1904.376</v>
      </c>
      <c r="D756" s="24">
        <v>1904.376</v>
      </c>
      <c r="E756" s="24">
        <v>1904.376</v>
      </c>
      <c r="F756" s="23">
        <f t="shared" si="11"/>
        <v>-5.7912709628817139E-3</v>
      </c>
    </row>
    <row r="757" spans="1:6" x14ac:dyDescent="0.35">
      <c r="A757" s="22">
        <v>45572</v>
      </c>
      <c r="B757" s="24">
        <v>1885.5239999999999</v>
      </c>
      <c r="C757" s="24">
        <v>1885.5239999999999</v>
      </c>
      <c r="D757" s="24">
        <v>1885.5239999999999</v>
      </c>
      <c r="E757" s="24">
        <v>1885.5239999999999</v>
      </c>
      <c r="F757" s="23">
        <f t="shared" si="11"/>
        <v>-9.8993055993144684E-3</v>
      </c>
    </row>
    <row r="758" spans="1:6" x14ac:dyDescent="0.35">
      <c r="A758" s="22">
        <v>45573</v>
      </c>
      <c r="B758" s="24">
        <v>1899.2380000000001</v>
      </c>
      <c r="C758" s="24">
        <v>1899.2380000000001</v>
      </c>
      <c r="D758" s="24">
        <v>1899.2380000000001</v>
      </c>
      <c r="E758" s="24">
        <v>1899.2380000000001</v>
      </c>
      <c r="F758" s="23">
        <f t="shared" si="11"/>
        <v>7.27330970064564E-3</v>
      </c>
    </row>
    <row r="759" spans="1:6" x14ac:dyDescent="0.35">
      <c r="A759" s="22">
        <v>45574</v>
      </c>
      <c r="B759" s="24">
        <v>1912.395</v>
      </c>
      <c r="C759" s="24">
        <v>1912.395</v>
      </c>
      <c r="D759" s="24">
        <v>1912.395</v>
      </c>
      <c r="E759" s="24">
        <v>1912.395</v>
      </c>
      <c r="F759" s="23">
        <f t="shared" si="11"/>
        <v>6.9275151402825369E-3</v>
      </c>
    </row>
    <row r="760" spans="1:6" x14ac:dyDescent="0.35">
      <c r="A760" s="22">
        <v>45575</v>
      </c>
      <c r="B760" s="24">
        <v>1914.8530000000001</v>
      </c>
      <c r="C760" s="24">
        <v>1914.8530000000001</v>
      </c>
      <c r="D760" s="24">
        <v>1914.8530000000001</v>
      </c>
      <c r="E760" s="24">
        <v>1914.8530000000001</v>
      </c>
      <c r="F760" s="23">
        <f t="shared" si="11"/>
        <v>1.28529932362304E-3</v>
      </c>
    </row>
    <row r="761" spans="1:6" x14ac:dyDescent="0.35">
      <c r="A761" s="22">
        <v>45576</v>
      </c>
      <c r="B761" s="24">
        <v>1910.9449999999999</v>
      </c>
      <c r="C761" s="24">
        <v>1910.9449999999999</v>
      </c>
      <c r="D761" s="24">
        <v>1910.9449999999999</v>
      </c>
      <c r="E761" s="24">
        <v>1910.9449999999999</v>
      </c>
      <c r="F761" s="23">
        <f t="shared" si="11"/>
        <v>-2.0408877339410016E-3</v>
      </c>
    </row>
    <row r="762" spans="1:6" x14ac:dyDescent="0.35">
      <c r="A762" s="22">
        <v>45579</v>
      </c>
      <c r="B762" s="24">
        <v>1918.809</v>
      </c>
      <c r="C762" s="24">
        <v>1918.809</v>
      </c>
      <c r="D762" s="24">
        <v>1918.809</v>
      </c>
      <c r="E762" s="24">
        <v>1918.809</v>
      </c>
      <c r="F762" s="23">
        <f t="shared" si="11"/>
        <v>4.1152414119715814E-3</v>
      </c>
    </row>
    <row r="763" spans="1:6" x14ac:dyDescent="0.35">
      <c r="A763" s="22">
        <v>45580</v>
      </c>
      <c r="B763" s="24">
        <v>1921.4159999999999</v>
      </c>
      <c r="C763" s="24">
        <v>1921.4159999999999</v>
      </c>
      <c r="D763" s="24">
        <v>1921.4159999999999</v>
      </c>
      <c r="E763" s="24">
        <v>1921.4159999999999</v>
      </c>
      <c r="F763" s="23">
        <f t="shared" si="11"/>
        <v>1.3586552908600965E-3</v>
      </c>
    </row>
    <row r="764" spans="1:6" x14ac:dyDescent="0.35">
      <c r="A764" s="22">
        <v>45581</v>
      </c>
      <c r="B764" s="24">
        <v>1916.6010000000001</v>
      </c>
      <c r="C764" s="24">
        <v>1916.6010000000001</v>
      </c>
      <c r="D764" s="24">
        <v>1916.6010000000001</v>
      </c>
      <c r="E764" s="24">
        <v>1916.6010000000001</v>
      </c>
      <c r="F764" s="23">
        <f t="shared" si="11"/>
        <v>-2.5059643512908331E-3</v>
      </c>
    </row>
    <row r="765" spans="1:6" x14ac:dyDescent="0.35">
      <c r="A765" s="22">
        <v>45582</v>
      </c>
      <c r="B765" s="24">
        <v>1896.0809999999999</v>
      </c>
      <c r="C765" s="24">
        <v>1896.0809999999999</v>
      </c>
      <c r="D765" s="24">
        <v>1896.0809999999999</v>
      </c>
      <c r="E765" s="24">
        <v>1896.0809999999999</v>
      </c>
      <c r="F765" s="23">
        <f t="shared" si="11"/>
        <v>-1.0706453768937932E-2</v>
      </c>
    </row>
    <row r="766" spans="1:6" x14ac:dyDescent="0.35">
      <c r="A766" s="22">
        <v>45583</v>
      </c>
      <c r="B766" s="24">
        <v>1910.8389999999999</v>
      </c>
      <c r="C766" s="24">
        <v>1910.8389999999999</v>
      </c>
      <c r="D766" s="24">
        <v>1910.8389999999999</v>
      </c>
      <c r="E766" s="24">
        <v>1910.8389999999999</v>
      </c>
      <c r="F766" s="23">
        <f t="shared" si="11"/>
        <v>7.7834227546186262E-3</v>
      </c>
    </row>
    <row r="767" spans="1:6" x14ac:dyDescent="0.35">
      <c r="A767" s="22">
        <v>45586</v>
      </c>
      <c r="B767" s="24">
        <v>1905.1010000000001</v>
      </c>
      <c r="C767" s="24">
        <v>1905.1010000000001</v>
      </c>
      <c r="D767" s="24">
        <v>1905.1010000000001</v>
      </c>
      <c r="E767" s="24">
        <v>1905.1010000000001</v>
      </c>
      <c r="F767" s="23">
        <f t="shared" si="11"/>
        <v>-3.0028694201865405E-3</v>
      </c>
    </row>
    <row r="768" spans="1:6" x14ac:dyDescent="0.35">
      <c r="A768" s="22">
        <v>45587</v>
      </c>
      <c r="B768" s="24">
        <v>1882.4490000000001</v>
      </c>
      <c r="C768" s="24">
        <v>1882.4490000000001</v>
      </c>
      <c r="D768" s="24">
        <v>1882.4490000000001</v>
      </c>
      <c r="E768" s="24">
        <v>1882.4490000000001</v>
      </c>
      <c r="F768" s="23">
        <f t="shared" si="11"/>
        <v>-1.1890183250126918E-2</v>
      </c>
    </row>
    <row r="769" spans="1:6" x14ac:dyDescent="0.35">
      <c r="A769" s="22">
        <v>45588</v>
      </c>
      <c r="B769" s="24">
        <v>1880.442</v>
      </c>
      <c r="C769" s="24">
        <v>1880.442</v>
      </c>
      <c r="D769" s="24">
        <v>1880.442</v>
      </c>
      <c r="E769" s="24">
        <v>1880.442</v>
      </c>
      <c r="F769" s="23">
        <f t="shared" si="11"/>
        <v>-1.0661643423009399E-3</v>
      </c>
    </row>
    <row r="770" spans="1:6" x14ac:dyDescent="0.35">
      <c r="A770" s="22">
        <v>45589</v>
      </c>
      <c r="B770" s="24">
        <v>1882.7829999999999</v>
      </c>
      <c r="C770" s="24">
        <v>1882.7829999999999</v>
      </c>
      <c r="D770" s="24">
        <v>1882.7829999999999</v>
      </c>
      <c r="E770" s="24">
        <v>1882.7829999999999</v>
      </c>
      <c r="F770" s="23">
        <f t="shared" si="11"/>
        <v>1.244920077300919E-3</v>
      </c>
    </row>
    <row r="771" spans="1:6" x14ac:dyDescent="0.35">
      <c r="A771" s="22">
        <v>45590</v>
      </c>
      <c r="B771" s="24">
        <v>1875.4069999999999</v>
      </c>
      <c r="C771" s="24">
        <v>1875.4069999999999</v>
      </c>
      <c r="D771" s="24">
        <v>1875.4069999999999</v>
      </c>
      <c r="E771" s="24">
        <v>1875.4069999999999</v>
      </c>
      <c r="F771" s="23">
        <f t="shared" ref="F771:F834" si="12">(B771-B770)/B770</f>
        <v>-3.9176049496941374E-3</v>
      </c>
    </row>
    <row r="772" spans="1:6" x14ac:dyDescent="0.35">
      <c r="A772" s="22">
        <v>45593</v>
      </c>
      <c r="B772" s="24">
        <v>1880.0940000000001</v>
      </c>
      <c r="C772" s="24">
        <v>1880.0940000000001</v>
      </c>
      <c r="D772" s="24">
        <v>1880.0940000000001</v>
      </c>
      <c r="E772" s="24">
        <v>1880.0940000000001</v>
      </c>
      <c r="F772" s="23">
        <f t="shared" si="12"/>
        <v>2.4991908423078967E-3</v>
      </c>
    </row>
    <row r="773" spans="1:6" x14ac:dyDescent="0.35">
      <c r="A773" s="22">
        <v>45594</v>
      </c>
      <c r="B773" s="24">
        <v>1890.97</v>
      </c>
      <c r="C773" s="24">
        <v>1890.97</v>
      </c>
      <c r="D773" s="24">
        <v>1890.97</v>
      </c>
      <c r="E773" s="24">
        <v>1890.97</v>
      </c>
      <c r="F773" s="23">
        <f t="shared" si="12"/>
        <v>5.7848171421216047E-3</v>
      </c>
    </row>
    <row r="774" spans="1:6" x14ac:dyDescent="0.35">
      <c r="A774" s="22">
        <v>45595</v>
      </c>
      <c r="B774" s="24">
        <v>1876.877</v>
      </c>
      <c r="C774" s="24">
        <v>1876.877</v>
      </c>
      <c r="D774" s="24">
        <v>1876.877</v>
      </c>
      <c r="E774" s="24">
        <v>1876.877</v>
      </c>
      <c r="F774" s="23">
        <f t="shared" si="12"/>
        <v>-7.4527887803614414E-3</v>
      </c>
    </row>
    <row r="775" spans="1:6" x14ac:dyDescent="0.35">
      <c r="A775" s="22">
        <v>45596</v>
      </c>
      <c r="B775" s="24">
        <v>1877.4090000000001</v>
      </c>
      <c r="C775" s="24">
        <v>1877.4090000000001</v>
      </c>
      <c r="D775" s="24">
        <v>1877.4090000000001</v>
      </c>
      <c r="E775" s="24">
        <v>1877.4090000000001</v>
      </c>
      <c r="F775" s="23">
        <f t="shared" si="12"/>
        <v>2.8344958140578887E-4</v>
      </c>
    </row>
    <row r="776" spans="1:6" x14ac:dyDescent="0.35">
      <c r="A776" s="22">
        <v>45600</v>
      </c>
      <c r="B776" s="24">
        <v>1869.306</v>
      </c>
      <c r="C776" s="24">
        <v>1869.306</v>
      </c>
      <c r="D776" s="24">
        <v>1869.306</v>
      </c>
      <c r="E776" s="24">
        <v>1869.306</v>
      </c>
      <c r="F776" s="23">
        <f t="shared" si="12"/>
        <v>-4.3160547328792319E-3</v>
      </c>
    </row>
    <row r="777" spans="1:6" x14ac:dyDescent="0.35">
      <c r="A777" s="22">
        <v>45601</v>
      </c>
      <c r="B777" s="24">
        <v>1887.847</v>
      </c>
      <c r="C777" s="24">
        <v>1887.847</v>
      </c>
      <c r="D777" s="24">
        <v>1887.847</v>
      </c>
      <c r="E777" s="24">
        <v>1887.847</v>
      </c>
      <c r="F777" s="23">
        <f t="shared" si="12"/>
        <v>9.9186543027198013E-3</v>
      </c>
    </row>
    <row r="778" spans="1:6" x14ac:dyDescent="0.35">
      <c r="A778" s="22">
        <v>45602</v>
      </c>
      <c r="B778" s="24">
        <v>1905.2139999999999</v>
      </c>
      <c r="C778" s="24">
        <v>1905.2139999999999</v>
      </c>
      <c r="D778" s="24">
        <v>1905.2139999999999</v>
      </c>
      <c r="E778" s="24">
        <v>1905.2139999999999</v>
      </c>
      <c r="F778" s="23">
        <f t="shared" si="12"/>
        <v>9.1993683810181453E-3</v>
      </c>
    </row>
    <row r="779" spans="1:6" x14ac:dyDescent="0.35">
      <c r="A779" s="22">
        <v>45603</v>
      </c>
      <c r="B779" s="24">
        <v>1891.961</v>
      </c>
      <c r="C779" s="24">
        <v>1891.961</v>
      </c>
      <c r="D779" s="24">
        <v>1891.961</v>
      </c>
      <c r="E779" s="24">
        <v>1891.961</v>
      </c>
      <c r="F779" s="23">
        <f t="shared" si="12"/>
        <v>-6.9561739521124292E-3</v>
      </c>
    </row>
    <row r="780" spans="1:6" x14ac:dyDescent="0.35">
      <c r="A780" s="22">
        <v>45604</v>
      </c>
      <c r="B780" s="24">
        <v>1884.1010000000001</v>
      </c>
      <c r="C780" s="24">
        <v>1884.1010000000001</v>
      </c>
      <c r="D780" s="24">
        <v>1884.1010000000001</v>
      </c>
      <c r="E780" s="24">
        <v>1884.1010000000001</v>
      </c>
      <c r="F780" s="23">
        <f t="shared" si="12"/>
        <v>-4.1544196735555858E-3</v>
      </c>
    </row>
    <row r="781" spans="1:6" x14ac:dyDescent="0.35">
      <c r="A781" s="22">
        <v>45607</v>
      </c>
      <c r="B781" s="24">
        <v>1884.7159999999999</v>
      </c>
      <c r="C781" s="24">
        <v>1884.7159999999999</v>
      </c>
      <c r="D781" s="24">
        <v>1884.7159999999999</v>
      </c>
      <c r="E781" s="24">
        <v>1884.7159999999999</v>
      </c>
      <c r="F781" s="23">
        <f t="shared" si="12"/>
        <v>3.2641562209233032E-4</v>
      </c>
    </row>
    <row r="782" spans="1:6" x14ac:dyDescent="0.35">
      <c r="A782" s="22">
        <v>45608</v>
      </c>
      <c r="B782" s="24">
        <v>1862.1859999999999</v>
      </c>
      <c r="C782" s="24">
        <v>1862.1859999999999</v>
      </c>
      <c r="D782" s="24">
        <v>1862.1859999999999</v>
      </c>
      <c r="E782" s="24">
        <v>1862.1859999999999</v>
      </c>
      <c r="F782" s="23">
        <f t="shared" si="12"/>
        <v>-1.1954055677354029E-2</v>
      </c>
    </row>
    <row r="783" spans="1:6" x14ac:dyDescent="0.35">
      <c r="A783" s="22">
        <v>45609</v>
      </c>
      <c r="B783" s="24">
        <v>1836.528</v>
      </c>
      <c r="C783" s="24">
        <v>1836.528</v>
      </c>
      <c r="D783" s="24">
        <v>1836.528</v>
      </c>
      <c r="E783" s="24">
        <v>1836.528</v>
      </c>
      <c r="F783" s="23">
        <f t="shared" si="12"/>
        <v>-1.3778430296436502E-2</v>
      </c>
    </row>
    <row r="784" spans="1:6" x14ac:dyDescent="0.35">
      <c r="A784" s="22">
        <v>45610</v>
      </c>
      <c r="B784" s="24">
        <v>1842.2950000000001</v>
      </c>
      <c r="C784" s="24">
        <v>1842.2950000000001</v>
      </c>
      <c r="D784" s="24">
        <v>1842.2950000000001</v>
      </c>
      <c r="E784" s="24">
        <v>1842.2950000000001</v>
      </c>
      <c r="F784" s="23">
        <f t="shared" si="12"/>
        <v>3.1401644842877718E-3</v>
      </c>
    </row>
    <row r="785" spans="1:6" x14ac:dyDescent="0.35">
      <c r="A785" s="22">
        <v>45614</v>
      </c>
      <c r="B785" s="24">
        <v>1834.4380000000001</v>
      </c>
      <c r="C785" s="24">
        <v>1834.4380000000001</v>
      </c>
      <c r="D785" s="24">
        <v>1834.4380000000001</v>
      </c>
      <c r="E785" s="24">
        <v>1834.4380000000001</v>
      </c>
      <c r="F785" s="23">
        <f t="shared" si="12"/>
        <v>-4.2647892981308479E-3</v>
      </c>
    </row>
    <row r="786" spans="1:6" x14ac:dyDescent="0.35">
      <c r="A786" s="22">
        <v>45615</v>
      </c>
      <c r="B786" s="24">
        <v>1840.2180000000001</v>
      </c>
      <c r="C786" s="24">
        <v>1840.2180000000001</v>
      </c>
      <c r="D786" s="24">
        <v>1840.2180000000001</v>
      </c>
      <c r="E786" s="24">
        <v>1840.2180000000001</v>
      </c>
      <c r="F786" s="23">
        <f t="shared" si="12"/>
        <v>3.150828755182771E-3</v>
      </c>
    </row>
    <row r="787" spans="1:6" x14ac:dyDescent="0.35">
      <c r="A787" s="22">
        <v>45617</v>
      </c>
      <c r="B787" s="24">
        <v>1834.7159999999999</v>
      </c>
      <c r="C787" s="24">
        <v>1834.7159999999999</v>
      </c>
      <c r="D787" s="24">
        <v>1834.7159999999999</v>
      </c>
      <c r="E787" s="24">
        <v>1834.7159999999999</v>
      </c>
      <c r="F787" s="23">
        <f t="shared" si="12"/>
        <v>-2.9898631575173049E-3</v>
      </c>
    </row>
    <row r="788" spans="1:6" x14ac:dyDescent="0.35">
      <c r="A788" s="22">
        <v>45618</v>
      </c>
      <c r="B788" s="24">
        <v>1861.557</v>
      </c>
      <c r="C788" s="24">
        <v>1861.557</v>
      </c>
      <c r="D788" s="24">
        <v>1861.557</v>
      </c>
      <c r="E788" s="24">
        <v>1861.557</v>
      </c>
      <c r="F788" s="23">
        <f t="shared" si="12"/>
        <v>1.4629512142478793E-2</v>
      </c>
    </row>
    <row r="789" spans="1:6" x14ac:dyDescent="0.35">
      <c r="A789" s="22">
        <v>45621</v>
      </c>
      <c r="B789" s="24">
        <v>1883.704</v>
      </c>
      <c r="C789" s="24">
        <v>1883.704</v>
      </c>
      <c r="D789" s="24">
        <v>1883.704</v>
      </c>
      <c r="E789" s="24">
        <v>1883.704</v>
      </c>
      <c r="F789" s="23">
        <f t="shared" si="12"/>
        <v>1.1897030281640549E-2</v>
      </c>
    </row>
    <row r="790" spans="1:6" x14ac:dyDescent="0.35">
      <c r="A790" s="22">
        <v>45622</v>
      </c>
      <c r="B790" s="24">
        <v>1883.8150000000001</v>
      </c>
      <c r="C790" s="24">
        <v>1883.8150000000001</v>
      </c>
      <c r="D790" s="24">
        <v>1883.8150000000001</v>
      </c>
      <c r="E790" s="24">
        <v>1883.8150000000001</v>
      </c>
      <c r="F790" s="23">
        <f t="shared" si="12"/>
        <v>5.8926455536593694E-5</v>
      </c>
    </row>
    <row r="791" spans="1:6" x14ac:dyDescent="0.35">
      <c r="A791" s="22">
        <v>45623</v>
      </c>
      <c r="B791" s="24">
        <v>1887.357</v>
      </c>
      <c r="C791" s="24">
        <v>1887.357</v>
      </c>
      <c r="D791" s="24">
        <v>1887.357</v>
      </c>
      <c r="E791" s="24">
        <v>1887.357</v>
      </c>
      <c r="F791" s="23">
        <f t="shared" si="12"/>
        <v>1.8802270923630592E-3</v>
      </c>
    </row>
    <row r="792" spans="1:6" x14ac:dyDescent="0.35">
      <c r="A792" s="22">
        <v>45624</v>
      </c>
      <c r="B792" s="24">
        <v>1865.096</v>
      </c>
      <c r="C792" s="24">
        <v>1865.096</v>
      </c>
      <c r="D792" s="24">
        <v>1865.096</v>
      </c>
      <c r="E792" s="24">
        <v>1865.096</v>
      </c>
      <c r="F792" s="23">
        <f t="shared" si="12"/>
        <v>-1.1794800877629387E-2</v>
      </c>
    </row>
    <row r="793" spans="1:6" x14ac:dyDescent="0.35">
      <c r="A793" s="22">
        <v>45625</v>
      </c>
      <c r="B793" s="24">
        <v>1883.672</v>
      </c>
      <c r="C793" s="24">
        <v>1883.672</v>
      </c>
      <c r="D793" s="24">
        <v>1883.672</v>
      </c>
      <c r="E793" s="24">
        <v>1883.672</v>
      </c>
      <c r="F793" s="23">
        <f t="shared" si="12"/>
        <v>9.9598090393202398E-3</v>
      </c>
    </row>
    <row r="794" spans="1:6" x14ac:dyDescent="0.35">
      <c r="A794" s="22">
        <v>45628</v>
      </c>
      <c r="B794" s="24">
        <v>1891.182</v>
      </c>
      <c r="C794" s="24">
        <v>1891.182</v>
      </c>
      <c r="D794" s="24">
        <v>1891.182</v>
      </c>
      <c r="E794" s="24">
        <v>1891.182</v>
      </c>
      <c r="F794" s="23">
        <f t="shared" si="12"/>
        <v>3.9868936842507568E-3</v>
      </c>
    </row>
    <row r="795" spans="1:6" x14ac:dyDescent="0.35">
      <c r="A795" s="22">
        <v>45629</v>
      </c>
      <c r="B795" s="24">
        <v>1901.52</v>
      </c>
      <c r="C795" s="24">
        <v>1901.52</v>
      </c>
      <c r="D795" s="24">
        <v>1901.52</v>
      </c>
      <c r="E795" s="24">
        <v>1901.52</v>
      </c>
      <c r="F795" s="23">
        <f t="shared" si="12"/>
        <v>5.4664225865093709E-3</v>
      </c>
    </row>
    <row r="796" spans="1:6" x14ac:dyDescent="0.35">
      <c r="A796" s="22">
        <v>45630</v>
      </c>
      <c r="B796" s="24">
        <v>1903.222</v>
      </c>
      <c r="C796" s="24">
        <v>1903.222</v>
      </c>
      <c r="D796" s="24">
        <v>1903.222</v>
      </c>
      <c r="E796" s="24">
        <v>1903.222</v>
      </c>
      <c r="F796" s="23">
        <f t="shared" si="12"/>
        <v>8.9507341495224783E-4</v>
      </c>
    </row>
    <row r="797" spans="1:6" x14ac:dyDescent="0.35">
      <c r="A797" s="22">
        <v>45631</v>
      </c>
      <c r="B797" s="24">
        <v>1916.1369999999999</v>
      </c>
      <c r="C797" s="24">
        <v>1916.1369999999999</v>
      </c>
      <c r="D797" s="24">
        <v>1916.1369999999999</v>
      </c>
      <c r="E797" s="24">
        <v>1916.1369999999999</v>
      </c>
      <c r="F797" s="23">
        <f t="shared" si="12"/>
        <v>6.7858610293491583E-3</v>
      </c>
    </row>
    <row r="798" spans="1:6" x14ac:dyDescent="0.35">
      <c r="A798" s="22">
        <v>45632</v>
      </c>
      <c r="B798" s="24">
        <v>1916.502</v>
      </c>
      <c r="C798" s="24">
        <v>1916.502</v>
      </c>
      <c r="D798" s="24">
        <v>1916.502</v>
      </c>
      <c r="E798" s="24">
        <v>1916.502</v>
      </c>
      <c r="F798" s="23">
        <f t="shared" si="12"/>
        <v>1.9048742339405225E-4</v>
      </c>
    </row>
    <row r="799" spans="1:6" x14ac:dyDescent="0.35">
      <c r="A799" s="22">
        <v>45635</v>
      </c>
      <c r="B799" s="24">
        <v>1912.6379999999999</v>
      </c>
      <c r="C799" s="24">
        <v>1912.6379999999999</v>
      </c>
      <c r="D799" s="24">
        <v>1912.6379999999999</v>
      </c>
      <c r="E799" s="24">
        <v>1912.6379999999999</v>
      </c>
      <c r="F799" s="23">
        <f t="shared" si="12"/>
        <v>-2.0161732155771469E-3</v>
      </c>
    </row>
    <row r="800" spans="1:6" x14ac:dyDescent="0.35">
      <c r="A800" s="22">
        <v>45636</v>
      </c>
      <c r="B800" s="24">
        <v>1914.107</v>
      </c>
      <c r="C800" s="24">
        <v>1914.107</v>
      </c>
      <c r="D800" s="24">
        <v>1914.107</v>
      </c>
      <c r="E800" s="24">
        <v>1914.107</v>
      </c>
      <c r="F800" s="23">
        <f t="shared" si="12"/>
        <v>7.6804915514595601E-4</v>
      </c>
    </row>
    <row r="801" spans="1:6" x14ac:dyDescent="0.35">
      <c r="A801" s="22">
        <v>45637</v>
      </c>
      <c r="B801" s="24">
        <v>1912.95</v>
      </c>
      <c r="C801" s="24">
        <v>1912.95</v>
      </c>
      <c r="D801" s="24">
        <v>1912.95</v>
      </c>
      <c r="E801" s="24">
        <v>1912.95</v>
      </c>
      <c r="F801" s="23">
        <f t="shared" si="12"/>
        <v>-6.0445941632308192E-4</v>
      </c>
    </row>
    <row r="802" spans="1:6" x14ac:dyDescent="0.35">
      <c r="A802" s="22">
        <v>45638</v>
      </c>
      <c r="B802" s="24">
        <v>1905.2260000000001</v>
      </c>
      <c r="C802" s="24">
        <v>1905.2260000000001</v>
      </c>
      <c r="D802" s="24">
        <v>1905.2260000000001</v>
      </c>
      <c r="E802" s="24">
        <v>1905.2260000000001</v>
      </c>
      <c r="F802" s="23">
        <f t="shared" si="12"/>
        <v>-4.0377427533390487E-3</v>
      </c>
    </row>
    <row r="803" spans="1:6" x14ac:dyDescent="0.35">
      <c r="A803" s="22">
        <v>45639</v>
      </c>
      <c r="B803" s="24">
        <v>1916.335</v>
      </c>
      <c r="C803" s="24">
        <v>1916.335</v>
      </c>
      <c r="D803" s="24">
        <v>1916.335</v>
      </c>
      <c r="E803" s="24">
        <v>1916.335</v>
      </c>
      <c r="F803" s="23">
        <f t="shared" si="12"/>
        <v>5.8308043245262888E-3</v>
      </c>
    </row>
    <row r="804" spans="1:6" x14ac:dyDescent="0.35">
      <c r="A804" s="22">
        <v>45642</v>
      </c>
      <c r="B804" s="24">
        <v>1915.6990000000001</v>
      </c>
      <c r="C804" s="24">
        <v>1915.6990000000001</v>
      </c>
      <c r="D804" s="24">
        <v>1915.6990000000001</v>
      </c>
      <c r="E804" s="24">
        <v>1915.6990000000001</v>
      </c>
      <c r="F804" s="23">
        <f t="shared" si="12"/>
        <v>-3.3188351723470439E-4</v>
      </c>
    </row>
    <row r="805" spans="1:6" x14ac:dyDescent="0.35">
      <c r="A805" s="22">
        <v>45643</v>
      </c>
      <c r="B805" s="24">
        <v>1900.3789999999999</v>
      </c>
      <c r="C805" s="24">
        <v>1900.3789999999999</v>
      </c>
      <c r="D805" s="24">
        <v>1900.3789999999999</v>
      </c>
      <c r="E805" s="24">
        <v>1900.3789999999999</v>
      </c>
      <c r="F805" s="23">
        <f t="shared" si="12"/>
        <v>-7.9970809610487685E-3</v>
      </c>
    </row>
    <row r="806" spans="1:6" x14ac:dyDescent="0.35">
      <c r="A806" s="22">
        <v>45644</v>
      </c>
      <c r="B806" s="24">
        <v>1890.932</v>
      </c>
      <c r="C806" s="24">
        <v>1890.932</v>
      </c>
      <c r="D806" s="24">
        <v>1890.932</v>
      </c>
      <c r="E806" s="24">
        <v>1890.932</v>
      </c>
      <c r="F806" s="23">
        <f t="shared" si="12"/>
        <v>-4.971113656802085E-3</v>
      </c>
    </row>
    <row r="807" spans="1:6" x14ac:dyDescent="0.35">
      <c r="A807" s="22">
        <v>45645</v>
      </c>
      <c r="B807" s="24">
        <v>1879.472</v>
      </c>
      <c r="C807" s="24">
        <v>1879.472</v>
      </c>
      <c r="D807" s="24">
        <v>1879.472</v>
      </c>
      <c r="E807" s="24">
        <v>1879.472</v>
      </c>
      <c r="F807" s="23">
        <f t="shared" si="12"/>
        <v>-6.060503497746104E-3</v>
      </c>
    </row>
    <row r="808" spans="1:6" x14ac:dyDescent="0.35">
      <c r="A808" s="22">
        <v>45646</v>
      </c>
      <c r="B808" s="24">
        <v>1852.577</v>
      </c>
      <c r="C808" s="24">
        <v>1852.577</v>
      </c>
      <c r="D808" s="24">
        <v>1852.577</v>
      </c>
      <c r="E808" s="24">
        <v>1852.577</v>
      </c>
      <c r="F808" s="23">
        <f t="shared" si="12"/>
        <v>-1.430987000604424E-2</v>
      </c>
    </row>
    <row r="809" spans="1:6" x14ac:dyDescent="0.35">
      <c r="A809" s="22">
        <v>45649</v>
      </c>
      <c r="B809" s="24">
        <v>1861.509</v>
      </c>
      <c r="C809" s="24">
        <v>1861.509</v>
      </c>
      <c r="D809" s="24">
        <v>1861.509</v>
      </c>
      <c r="E809" s="24">
        <v>1861.509</v>
      </c>
      <c r="F809" s="23">
        <f t="shared" si="12"/>
        <v>4.8213920393052577E-3</v>
      </c>
    </row>
    <row r="810" spans="1:6" x14ac:dyDescent="0.35">
      <c r="A810" s="22">
        <v>45650</v>
      </c>
      <c r="B810" s="24">
        <v>1858.4169999999999</v>
      </c>
      <c r="C810" s="24">
        <v>1858.4169999999999</v>
      </c>
      <c r="D810" s="24">
        <v>1858.4169999999999</v>
      </c>
      <c r="E810" s="24">
        <v>1858.4169999999999</v>
      </c>
      <c r="F810" s="23">
        <f t="shared" si="12"/>
        <v>-1.6610180235497644E-3</v>
      </c>
    </row>
    <row r="811" spans="1:6" x14ac:dyDescent="0.35">
      <c r="A811" s="22">
        <v>45652</v>
      </c>
      <c r="B811" s="24">
        <v>1861.886</v>
      </c>
      <c r="C811" s="24">
        <v>1861.886</v>
      </c>
      <c r="D811" s="24">
        <v>1861.886</v>
      </c>
      <c r="E811" s="24">
        <v>1861.886</v>
      </c>
      <c r="F811" s="23">
        <f t="shared" si="12"/>
        <v>1.8666424166374129E-3</v>
      </c>
    </row>
    <row r="812" spans="1:6" x14ac:dyDescent="0.35">
      <c r="A812" s="22">
        <v>45653</v>
      </c>
      <c r="B812" s="24">
        <v>1866.6769999999999</v>
      </c>
      <c r="C812" s="24">
        <v>1866.6769999999999</v>
      </c>
      <c r="D812" s="24">
        <v>1866.6769999999999</v>
      </c>
      <c r="E812" s="24">
        <v>1866.6769999999999</v>
      </c>
      <c r="F812" s="23">
        <f t="shared" si="12"/>
        <v>2.5731972849035549E-3</v>
      </c>
    </row>
    <row r="813" spans="1:6" x14ac:dyDescent="0.35">
      <c r="A813" s="22">
        <v>45656</v>
      </c>
      <c r="B813" s="24">
        <v>1858.1489999999999</v>
      </c>
      <c r="C813" s="24">
        <v>1858.1489999999999</v>
      </c>
      <c r="D813" s="24">
        <v>1858.1489999999999</v>
      </c>
      <c r="E813" s="24">
        <v>1858.1489999999999</v>
      </c>
      <c r="F813" s="23">
        <f t="shared" si="12"/>
        <v>-4.5685461384053164E-3</v>
      </c>
    </row>
    <row r="814" spans="1:6" x14ac:dyDescent="0.35">
      <c r="A814" s="22">
        <v>45657</v>
      </c>
      <c r="B814" s="24">
        <v>1859.771</v>
      </c>
      <c r="C814" s="24">
        <v>1859.771</v>
      </c>
      <c r="D814" s="24">
        <v>1859.771</v>
      </c>
      <c r="E814" s="24">
        <v>1859.771</v>
      </c>
      <c r="F814" s="23">
        <f t="shared" si="12"/>
        <v>8.7291169868512753E-4</v>
      </c>
    </row>
    <row r="815" spans="1:6" x14ac:dyDescent="0.35">
      <c r="A815" s="22">
        <v>45658</v>
      </c>
      <c r="B815" s="24">
        <v>1866.1579999999999</v>
      </c>
      <c r="C815" s="24">
        <v>1866.1579999999999</v>
      </c>
      <c r="D815" s="24">
        <v>1866.1579999999999</v>
      </c>
      <c r="E815" s="24">
        <v>1866.1579999999999</v>
      </c>
      <c r="F815" s="23">
        <f t="shared" si="12"/>
        <v>3.4342937920851242E-3</v>
      </c>
    </row>
    <row r="816" spans="1:6" x14ac:dyDescent="0.35">
      <c r="A816" s="22">
        <v>45659</v>
      </c>
      <c r="B816" s="24">
        <v>1891.423</v>
      </c>
      <c r="C816" s="24">
        <v>1891.423</v>
      </c>
      <c r="D816" s="24">
        <v>1891.423</v>
      </c>
      <c r="E816" s="24">
        <v>1891.423</v>
      </c>
      <c r="F816" s="23">
        <f t="shared" si="12"/>
        <v>1.3538510672729803E-2</v>
      </c>
    </row>
    <row r="817" spans="1:6" x14ac:dyDescent="0.35">
      <c r="A817" s="22">
        <v>45660</v>
      </c>
      <c r="B817" s="24">
        <v>1878.3720000000001</v>
      </c>
      <c r="C817" s="24">
        <v>1878.3720000000001</v>
      </c>
      <c r="D817" s="24">
        <v>1878.3720000000001</v>
      </c>
      <c r="E817" s="24">
        <v>1878.3720000000001</v>
      </c>
      <c r="F817" s="23">
        <f t="shared" si="12"/>
        <v>-6.9000958537566324E-3</v>
      </c>
    </row>
    <row r="818" spans="1:6" x14ac:dyDescent="0.35">
      <c r="A818" s="22">
        <v>45663</v>
      </c>
      <c r="B818" s="24">
        <v>1854.3779999999999</v>
      </c>
      <c r="C818" s="24">
        <v>1854.3779999999999</v>
      </c>
      <c r="D818" s="24">
        <v>1854.3779999999999</v>
      </c>
      <c r="E818" s="24">
        <v>1854.3779999999999</v>
      </c>
      <c r="F818" s="23">
        <f t="shared" si="12"/>
        <v>-1.2773827548536787E-2</v>
      </c>
    </row>
    <row r="819" spans="1:6" x14ac:dyDescent="0.35">
      <c r="A819" s="22">
        <v>45664</v>
      </c>
      <c r="B819" s="24">
        <v>1860.701</v>
      </c>
      <c r="C819" s="24">
        <v>1860.701</v>
      </c>
      <c r="D819" s="24">
        <v>1860.701</v>
      </c>
      <c r="E819" s="24">
        <v>1860.701</v>
      </c>
      <c r="F819" s="23">
        <f t="shared" si="12"/>
        <v>3.4097686663668858E-3</v>
      </c>
    </row>
    <row r="820" spans="1:6" x14ac:dyDescent="0.35">
      <c r="A820" s="22">
        <v>45665</v>
      </c>
      <c r="B820" s="24">
        <v>1849.7180000000001</v>
      </c>
      <c r="C820" s="24">
        <v>1849.7180000000001</v>
      </c>
      <c r="D820" s="24">
        <v>1849.7180000000001</v>
      </c>
      <c r="E820" s="24">
        <v>1849.7180000000001</v>
      </c>
      <c r="F820" s="23">
        <f t="shared" si="12"/>
        <v>-5.9026141223119388E-3</v>
      </c>
    </row>
    <row r="821" spans="1:6" x14ac:dyDescent="0.35">
      <c r="A821" s="22">
        <v>45666</v>
      </c>
      <c r="B821" s="24">
        <v>1841.394</v>
      </c>
      <c r="C821" s="24">
        <v>1841.394</v>
      </c>
      <c r="D821" s="24">
        <v>1841.394</v>
      </c>
      <c r="E821" s="24">
        <v>1841.394</v>
      </c>
      <c r="F821" s="23">
        <f t="shared" si="12"/>
        <v>-4.500145427573321E-3</v>
      </c>
    </row>
    <row r="822" spans="1:6" x14ac:dyDescent="0.35">
      <c r="A822" s="22">
        <v>45667</v>
      </c>
      <c r="B822" s="24">
        <v>1824.14</v>
      </c>
      <c r="C822" s="24">
        <v>1824.14</v>
      </c>
      <c r="D822" s="24">
        <v>1824.14</v>
      </c>
      <c r="E822" s="24">
        <v>1824.14</v>
      </c>
      <c r="F822" s="23">
        <f t="shared" si="12"/>
        <v>-9.3700750626970145E-3</v>
      </c>
    </row>
    <row r="823" spans="1:6" x14ac:dyDescent="0.35">
      <c r="A823" s="22">
        <v>45670</v>
      </c>
      <c r="B823" s="24">
        <v>1801.654</v>
      </c>
      <c r="C823" s="24">
        <v>1801.654</v>
      </c>
      <c r="D823" s="24">
        <v>1801.654</v>
      </c>
      <c r="E823" s="24">
        <v>1801.654</v>
      </c>
      <c r="F823" s="23">
        <f t="shared" si="12"/>
        <v>-1.2326904733189394E-2</v>
      </c>
    </row>
    <row r="824" spans="1:6" x14ac:dyDescent="0.35">
      <c r="A824" s="22">
        <v>45671</v>
      </c>
      <c r="B824" s="24">
        <v>1807.9480000000001</v>
      </c>
      <c r="C824" s="24">
        <v>1807.9480000000001</v>
      </c>
      <c r="D824" s="24">
        <v>1807.9480000000001</v>
      </c>
      <c r="E824" s="24">
        <v>1807.9480000000001</v>
      </c>
      <c r="F824" s="23">
        <f t="shared" si="12"/>
        <v>3.4934565682423462E-3</v>
      </c>
    </row>
    <row r="825" spans="1:6" x14ac:dyDescent="0.35">
      <c r="A825" s="22">
        <v>45672</v>
      </c>
      <c r="B825" s="24">
        <v>1808.4010000000001</v>
      </c>
      <c r="C825" s="24">
        <v>1808.4010000000001</v>
      </c>
      <c r="D825" s="24">
        <v>1808.4010000000001</v>
      </c>
      <c r="E825" s="24">
        <v>1808.4010000000001</v>
      </c>
      <c r="F825" s="23">
        <f t="shared" si="12"/>
        <v>2.5056030372553554E-4</v>
      </c>
    </row>
    <row r="826" spans="1:6" x14ac:dyDescent="0.35">
      <c r="A826" s="22">
        <v>45673</v>
      </c>
      <c r="B826" s="24">
        <v>1820.2249999999999</v>
      </c>
      <c r="C826" s="24">
        <v>1820.2249999999999</v>
      </c>
      <c r="D826" s="24">
        <v>1820.2249999999999</v>
      </c>
      <c r="E826" s="24">
        <v>1820.2249999999999</v>
      </c>
      <c r="F826" s="23">
        <f t="shared" si="12"/>
        <v>6.5383728498269143E-3</v>
      </c>
    </row>
    <row r="827" spans="1:6" x14ac:dyDescent="0.35">
      <c r="A827" s="22">
        <v>45674</v>
      </c>
      <c r="B827" s="24">
        <v>1806.8140000000001</v>
      </c>
      <c r="C827" s="24">
        <v>1806.8140000000001</v>
      </c>
      <c r="D827" s="24">
        <v>1806.8140000000001</v>
      </c>
      <c r="E827" s="24">
        <v>1806.8140000000001</v>
      </c>
      <c r="F827" s="23">
        <f t="shared" si="12"/>
        <v>-7.3677704679365637E-3</v>
      </c>
    </row>
    <row r="828" spans="1:6" x14ac:dyDescent="0.35">
      <c r="A828" s="22">
        <v>45677</v>
      </c>
      <c r="B828" s="24">
        <v>1818.155</v>
      </c>
      <c r="C828" s="24">
        <v>1818.155</v>
      </c>
      <c r="D828" s="24">
        <v>1818.155</v>
      </c>
      <c r="E828" s="24">
        <v>1818.155</v>
      </c>
      <c r="F828" s="23">
        <f t="shared" si="12"/>
        <v>6.2767944016372985E-3</v>
      </c>
    </row>
    <row r="829" spans="1:6" x14ac:dyDescent="0.35">
      <c r="A829" s="22">
        <v>45678</v>
      </c>
      <c r="B829" s="24">
        <v>1795.2670000000001</v>
      </c>
      <c r="C829" s="24">
        <v>1795.2670000000001</v>
      </c>
      <c r="D829" s="24">
        <v>1795.2670000000001</v>
      </c>
      <c r="E829" s="24">
        <v>1795.2670000000001</v>
      </c>
      <c r="F829" s="23">
        <f t="shared" si="12"/>
        <v>-1.258858568163876E-2</v>
      </c>
    </row>
    <row r="830" spans="1:6" x14ac:dyDescent="0.35">
      <c r="A830" s="22">
        <v>45679</v>
      </c>
      <c r="B830" s="24">
        <v>1798.5719999999999</v>
      </c>
      <c r="C830" s="24">
        <v>1798.5719999999999</v>
      </c>
      <c r="D830" s="24">
        <v>1798.5719999999999</v>
      </c>
      <c r="E830" s="24">
        <v>1798.5719999999999</v>
      </c>
      <c r="F830" s="23">
        <f t="shared" si="12"/>
        <v>1.8409517915718588E-3</v>
      </c>
    </row>
    <row r="831" spans="1:6" x14ac:dyDescent="0.35">
      <c r="A831" s="22">
        <v>45680</v>
      </c>
      <c r="B831" s="24">
        <v>1799.617</v>
      </c>
      <c r="C831" s="24">
        <v>1799.617</v>
      </c>
      <c r="D831" s="24">
        <v>1799.617</v>
      </c>
      <c r="E831" s="24">
        <v>1799.617</v>
      </c>
      <c r="F831" s="23">
        <f t="shared" si="12"/>
        <v>5.8101649530854077E-4</v>
      </c>
    </row>
    <row r="832" spans="1:6" x14ac:dyDescent="0.35">
      <c r="A832" s="22">
        <v>45681</v>
      </c>
      <c r="B832" s="24">
        <v>1786.0530000000001</v>
      </c>
      <c r="C832" s="24">
        <v>1786.0530000000001</v>
      </c>
      <c r="D832" s="24">
        <v>1786.0530000000001</v>
      </c>
      <c r="E832" s="24">
        <v>1786.0530000000001</v>
      </c>
      <c r="F832" s="23">
        <f t="shared" si="12"/>
        <v>-7.5371592955611397E-3</v>
      </c>
    </row>
    <row r="833" spans="1:6" x14ac:dyDescent="0.35">
      <c r="A833" s="22">
        <v>45684</v>
      </c>
      <c r="B833" s="24">
        <v>1767.21</v>
      </c>
      <c r="C833" s="24">
        <v>1767.21</v>
      </c>
      <c r="D833" s="24">
        <v>1767.21</v>
      </c>
      <c r="E833" s="24">
        <v>1767.21</v>
      </c>
      <c r="F833" s="23">
        <f t="shared" si="12"/>
        <v>-1.0550078861041678E-2</v>
      </c>
    </row>
    <row r="834" spans="1:6" x14ac:dyDescent="0.35">
      <c r="A834" s="22">
        <v>45685</v>
      </c>
      <c r="B834" s="24">
        <v>1779.9159999999999</v>
      </c>
      <c r="C834" s="24">
        <v>1779.9159999999999</v>
      </c>
      <c r="D834" s="24">
        <v>1779.9159999999999</v>
      </c>
      <c r="E834" s="24">
        <v>1779.9159999999999</v>
      </c>
      <c r="F834" s="23">
        <f t="shared" si="12"/>
        <v>7.1898642492968599E-3</v>
      </c>
    </row>
    <row r="835" spans="1:6" x14ac:dyDescent="0.35">
      <c r="A835" s="22">
        <v>45686</v>
      </c>
      <c r="B835" s="24">
        <v>1797.1489999999999</v>
      </c>
      <c r="C835" s="24">
        <v>1797.1489999999999</v>
      </c>
      <c r="D835" s="24">
        <v>1797.1489999999999</v>
      </c>
      <c r="E835" s="24">
        <v>1797.1489999999999</v>
      </c>
      <c r="F835" s="23">
        <f t="shared" ref="F835:F898" si="13">(B835-B834)/B834</f>
        <v>9.6819175736382775E-3</v>
      </c>
    </row>
    <row r="836" spans="1:6" x14ac:dyDescent="0.35">
      <c r="A836" s="22">
        <v>45687</v>
      </c>
      <c r="B836" s="24">
        <v>1802.732</v>
      </c>
      <c r="C836" s="24">
        <v>1802.732</v>
      </c>
      <c r="D836" s="24">
        <v>1802.732</v>
      </c>
      <c r="E836" s="24">
        <v>1802.732</v>
      </c>
      <c r="F836" s="23">
        <f t="shared" si="13"/>
        <v>3.1065871555447456E-3</v>
      </c>
    </row>
    <row r="837" spans="1:6" x14ac:dyDescent="0.35">
      <c r="A837" s="22">
        <v>45688</v>
      </c>
      <c r="B837" s="24">
        <v>1814.3389999999999</v>
      </c>
      <c r="C837" s="24">
        <v>1814.3389999999999</v>
      </c>
      <c r="D837" s="24">
        <v>1814.3389999999999</v>
      </c>
      <c r="E837" s="24">
        <v>1814.3389999999999</v>
      </c>
      <c r="F837" s="23">
        <f t="shared" si="13"/>
        <v>6.4385610284834194E-3</v>
      </c>
    </row>
    <row r="838" spans="1:6" x14ac:dyDescent="0.35">
      <c r="A838" s="22">
        <v>45691</v>
      </c>
      <c r="B838" s="24">
        <v>1813.8710000000001</v>
      </c>
      <c r="C838" s="24">
        <v>1813.8710000000001</v>
      </c>
      <c r="D838" s="24">
        <v>1813.8710000000001</v>
      </c>
      <c r="E838" s="24">
        <v>1813.8710000000001</v>
      </c>
      <c r="F838" s="23">
        <f t="shared" si="13"/>
        <v>-2.5794518003517935E-4</v>
      </c>
    </row>
    <row r="839" spans="1:6" x14ac:dyDescent="0.35">
      <c r="A839" s="22">
        <v>45692</v>
      </c>
      <c r="B839" s="24">
        <v>1833.4349999999999</v>
      </c>
      <c r="C839" s="24">
        <v>1833.4349999999999</v>
      </c>
      <c r="D839" s="24">
        <v>1833.4349999999999</v>
      </c>
      <c r="E839" s="24">
        <v>1833.4349999999999</v>
      </c>
      <c r="F839" s="23">
        <f t="shared" si="13"/>
        <v>1.0785772527373694E-2</v>
      </c>
    </row>
    <row r="840" spans="1:6" x14ac:dyDescent="0.35">
      <c r="A840" s="22">
        <v>45693</v>
      </c>
      <c r="B840" s="24">
        <v>1834.29</v>
      </c>
      <c r="C840" s="24">
        <v>1834.29</v>
      </c>
      <c r="D840" s="24">
        <v>1834.29</v>
      </c>
      <c r="E840" s="24">
        <v>1834.29</v>
      </c>
      <c r="F840" s="23">
        <f t="shared" si="13"/>
        <v>4.6633777581426021E-4</v>
      </c>
    </row>
    <row r="841" spans="1:6" x14ac:dyDescent="0.35">
      <c r="A841" s="22">
        <v>45694</v>
      </c>
      <c r="B841" s="24">
        <v>1833.568</v>
      </c>
      <c r="C841" s="24">
        <v>1833.568</v>
      </c>
      <c r="D841" s="24">
        <v>1833.568</v>
      </c>
      <c r="E841" s="24">
        <v>1833.568</v>
      </c>
      <c r="F841" s="23">
        <f t="shared" si="13"/>
        <v>-3.9361278750905254E-4</v>
      </c>
    </row>
    <row r="842" spans="1:6" x14ac:dyDescent="0.35">
      <c r="A842" s="22">
        <v>45695</v>
      </c>
      <c r="B842" s="24">
        <v>1836.617</v>
      </c>
      <c r="C842" s="24">
        <v>1836.617</v>
      </c>
      <c r="D842" s="24">
        <v>1836.617</v>
      </c>
      <c r="E842" s="24">
        <v>1836.617</v>
      </c>
      <c r="F842" s="23">
        <f t="shared" si="13"/>
        <v>1.6628780606991278E-3</v>
      </c>
    </row>
    <row r="843" spans="1:6" x14ac:dyDescent="0.35">
      <c r="A843" s="22">
        <v>45698</v>
      </c>
      <c r="B843" s="24">
        <v>1823.1220000000001</v>
      </c>
      <c r="C843" s="24">
        <v>1823.1220000000001</v>
      </c>
      <c r="D843" s="24">
        <v>1823.1220000000001</v>
      </c>
      <c r="E843" s="24">
        <v>1823.1220000000001</v>
      </c>
      <c r="F843" s="23">
        <f t="shared" si="13"/>
        <v>-7.347748605180008E-3</v>
      </c>
    </row>
    <row r="844" spans="1:6" x14ac:dyDescent="0.35">
      <c r="A844" s="22">
        <v>45699</v>
      </c>
      <c r="B844" s="24">
        <v>1795.625</v>
      </c>
      <c r="C844" s="24">
        <v>1795.625</v>
      </c>
      <c r="D844" s="24">
        <v>1795.625</v>
      </c>
      <c r="E844" s="24">
        <v>1795.625</v>
      </c>
      <c r="F844" s="23">
        <f t="shared" si="13"/>
        <v>-1.5082369693306355E-2</v>
      </c>
    </row>
    <row r="845" spans="1:6" x14ac:dyDescent="0.35">
      <c r="A845" s="22">
        <v>45700</v>
      </c>
      <c r="B845" s="24">
        <v>1793.019</v>
      </c>
      <c r="C845" s="24">
        <v>1793.019</v>
      </c>
      <c r="D845" s="24">
        <v>1793.019</v>
      </c>
      <c r="E845" s="24">
        <v>1793.019</v>
      </c>
      <c r="F845" s="23">
        <f t="shared" si="13"/>
        <v>-1.4513052558301396E-3</v>
      </c>
    </row>
    <row r="846" spans="1:6" x14ac:dyDescent="0.35">
      <c r="A846" s="22">
        <v>45701</v>
      </c>
      <c r="B846" s="24">
        <v>1795.9079999999999</v>
      </c>
      <c r="C846" s="24">
        <v>1795.9079999999999</v>
      </c>
      <c r="D846" s="24">
        <v>1795.9079999999999</v>
      </c>
      <c r="E846" s="24">
        <v>1795.9079999999999</v>
      </c>
      <c r="F846" s="23">
        <f t="shared" si="13"/>
        <v>1.6112489605519496E-3</v>
      </c>
    </row>
    <row r="847" spans="1:6" x14ac:dyDescent="0.35">
      <c r="A847" s="22">
        <v>45702</v>
      </c>
      <c r="B847" s="24">
        <v>1780.954</v>
      </c>
      <c r="C847" s="24">
        <v>1780.954</v>
      </c>
      <c r="D847" s="24">
        <v>1780.954</v>
      </c>
      <c r="E847" s="24">
        <v>1780.954</v>
      </c>
      <c r="F847" s="23">
        <f t="shared" si="13"/>
        <v>-8.3267071587185704E-3</v>
      </c>
    </row>
    <row r="848" spans="1:6" x14ac:dyDescent="0.35">
      <c r="A848" s="22">
        <v>45721</v>
      </c>
      <c r="B848" s="24">
        <v>1753.2840000000001</v>
      </c>
      <c r="C848" s="24">
        <v>1753.2840000000001</v>
      </c>
      <c r="D848" s="24">
        <v>1753.2840000000001</v>
      </c>
      <c r="E848" s="24">
        <v>1753.2840000000001</v>
      </c>
      <c r="F848" s="23">
        <f t="shared" si="13"/>
        <v>-1.5536616891845521E-2</v>
      </c>
    </row>
    <row r="849" spans="1:6" x14ac:dyDescent="0.35">
      <c r="A849" s="22">
        <v>45722</v>
      </c>
      <c r="B849" s="24">
        <v>1766.8240000000001</v>
      </c>
      <c r="C849" s="24">
        <v>1766.8240000000001</v>
      </c>
      <c r="D849" s="24">
        <v>1766.8240000000001</v>
      </c>
      <c r="E849" s="24">
        <v>1766.8240000000001</v>
      </c>
      <c r="F849" s="23">
        <f t="shared" si="13"/>
        <v>7.7226507513899418E-3</v>
      </c>
    </row>
    <row r="850" spans="1:6" x14ac:dyDescent="0.35">
      <c r="A850" s="22">
        <v>45723</v>
      </c>
      <c r="B850" s="24">
        <v>1764.3689999999999</v>
      </c>
      <c r="C850" s="24">
        <v>1764.3689999999999</v>
      </c>
      <c r="D850" s="24">
        <v>1764.3689999999999</v>
      </c>
      <c r="E850" s="24">
        <v>1764.3689999999999</v>
      </c>
      <c r="F850" s="23">
        <f t="shared" si="13"/>
        <v>-1.3894988974567667E-3</v>
      </c>
    </row>
    <row r="851" spans="1:6" x14ac:dyDescent="0.35">
      <c r="A851" s="22">
        <v>45726</v>
      </c>
      <c r="B851" s="24">
        <v>1756.963</v>
      </c>
      <c r="C851" s="24">
        <v>1756.963</v>
      </c>
      <c r="D851" s="24">
        <v>1756.963</v>
      </c>
      <c r="E851" s="24">
        <v>1756.963</v>
      </c>
      <c r="F851" s="23">
        <f t="shared" si="13"/>
        <v>-4.1975346426965958E-3</v>
      </c>
    </row>
    <row r="852" spans="1:6" x14ac:dyDescent="0.35">
      <c r="A852" s="22">
        <v>45727</v>
      </c>
      <c r="B852" s="24">
        <v>1757.883</v>
      </c>
      <c r="C852" s="24">
        <v>1757.883</v>
      </c>
      <c r="D852" s="24">
        <v>1757.883</v>
      </c>
      <c r="E852" s="24">
        <v>1757.883</v>
      </c>
      <c r="F852" s="23">
        <f t="shared" si="13"/>
        <v>5.2363083343250419E-4</v>
      </c>
    </row>
    <row r="853" spans="1:6" x14ac:dyDescent="0.35">
      <c r="A853" s="22">
        <v>45728</v>
      </c>
      <c r="B853" s="24">
        <v>1756.1010000000001</v>
      </c>
      <c r="C853" s="24">
        <v>1756.1010000000001</v>
      </c>
      <c r="D853" s="24">
        <v>1756.1010000000001</v>
      </c>
      <c r="E853" s="24">
        <v>1756.1010000000001</v>
      </c>
      <c r="F853" s="23">
        <f t="shared" si="13"/>
        <v>-1.0137193430961703E-3</v>
      </c>
    </row>
    <row r="854" spans="1:6" x14ac:dyDescent="0.35">
      <c r="A854" s="22">
        <v>45729</v>
      </c>
      <c r="B854" s="24">
        <v>1750.0830000000001</v>
      </c>
      <c r="C854" s="24">
        <v>1750.0830000000001</v>
      </c>
      <c r="D854" s="24">
        <v>1750.0830000000001</v>
      </c>
      <c r="E854" s="24">
        <v>1750.0830000000001</v>
      </c>
      <c r="F854" s="23">
        <f t="shared" si="13"/>
        <v>-3.4269099556346865E-3</v>
      </c>
    </row>
    <row r="855" spans="1:6" x14ac:dyDescent="0.35">
      <c r="A855" s="22">
        <v>45733</v>
      </c>
      <c r="B855" s="24">
        <v>1763.6</v>
      </c>
      <c r="C855" s="24">
        <v>1763.6</v>
      </c>
      <c r="D855" s="24">
        <v>1763.6</v>
      </c>
      <c r="E855" s="24">
        <v>1763.6</v>
      </c>
      <c r="F855" s="23">
        <f t="shared" si="13"/>
        <v>7.7236336790882628E-3</v>
      </c>
    </row>
    <row r="856" spans="1:6" x14ac:dyDescent="0.35">
      <c r="A856" s="22">
        <v>45734</v>
      </c>
      <c r="B856" s="24">
        <v>1788.6289999999999</v>
      </c>
      <c r="C856" s="24">
        <v>1788.6289999999999</v>
      </c>
      <c r="D856" s="24">
        <v>1788.6289999999999</v>
      </c>
      <c r="E856" s="24">
        <v>1788.6289999999999</v>
      </c>
      <c r="F856" s="23">
        <f t="shared" si="13"/>
        <v>1.4191993649353593E-2</v>
      </c>
    </row>
    <row r="857" spans="1:6" x14ac:dyDescent="0.35">
      <c r="A857" s="22">
        <v>45735</v>
      </c>
      <c r="B857" s="24">
        <v>1799.953</v>
      </c>
      <c r="C857" s="24">
        <v>1799.953</v>
      </c>
      <c r="D857" s="24">
        <v>1799.953</v>
      </c>
      <c r="E857" s="24">
        <v>1799.953</v>
      </c>
      <c r="F857" s="23">
        <f t="shared" si="13"/>
        <v>6.3311061153543133E-3</v>
      </c>
    </row>
    <row r="858" spans="1:6" x14ac:dyDescent="0.35">
      <c r="A858" s="22">
        <v>45736</v>
      </c>
      <c r="B858" s="24">
        <v>1816.472</v>
      </c>
      <c r="C858" s="24">
        <v>1816.472</v>
      </c>
      <c r="D858" s="24">
        <v>1816.472</v>
      </c>
      <c r="E858" s="24">
        <v>1816.472</v>
      </c>
      <c r="F858" s="23">
        <f t="shared" si="13"/>
        <v>9.1774618559484645E-3</v>
      </c>
    </row>
    <row r="859" spans="1:6" x14ac:dyDescent="0.35">
      <c r="A859" s="22">
        <v>45737</v>
      </c>
      <c r="B859" s="24">
        <v>1833.64</v>
      </c>
      <c r="C859" s="24">
        <v>1833.64</v>
      </c>
      <c r="D859" s="24">
        <v>1833.64</v>
      </c>
      <c r="E859" s="24">
        <v>1833.64</v>
      </c>
      <c r="F859" s="23">
        <f t="shared" si="13"/>
        <v>9.4512879912270163E-3</v>
      </c>
    </row>
    <row r="860" spans="1:6" x14ac:dyDescent="0.35">
      <c r="A860" s="22">
        <v>45740</v>
      </c>
      <c r="B860" s="24">
        <v>1857.1510000000001</v>
      </c>
      <c r="C860" s="24">
        <v>1857.1510000000001</v>
      </c>
      <c r="D860" s="24">
        <v>1857.1510000000001</v>
      </c>
      <c r="E860" s="24">
        <v>1857.1510000000001</v>
      </c>
      <c r="F860" s="23">
        <f t="shared" si="13"/>
        <v>1.2822037041076748E-2</v>
      </c>
    </row>
    <row r="861" spans="1:6" x14ac:dyDescent="0.35">
      <c r="A861" s="22">
        <v>45741</v>
      </c>
      <c r="B861" s="24">
        <v>1857.3050000000001</v>
      </c>
      <c r="C861" s="24">
        <v>1857.3050000000001</v>
      </c>
      <c r="D861" s="24">
        <v>1857.3050000000001</v>
      </c>
      <c r="E861" s="24">
        <v>1857.3050000000001</v>
      </c>
      <c r="F861" s="23">
        <f t="shared" si="13"/>
        <v>8.2922713338870317E-5</v>
      </c>
    </row>
    <row r="862" spans="1:6" x14ac:dyDescent="0.35">
      <c r="A862" s="22">
        <v>45742</v>
      </c>
      <c r="B862" s="24">
        <v>1842.615</v>
      </c>
      <c r="C862" s="24">
        <v>1842.615</v>
      </c>
      <c r="D862" s="24">
        <v>1842.615</v>
      </c>
      <c r="E862" s="24">
        <v>1842.615</v>
      </c>
      <c r="F862" s="23">
        <f t="shared" si="13"/>
        <v>-7.9093094564436396E-3</v>
      </c>
    </row>
    <row r="863" spans="1:6" x14ac:dyDescent="0.35">
      <c r="A863" s="22">
        <v>45743</v>
      </c>
      <c r="B863" s="24">
        <v>1849.348</v>
      </c>
      <c r="C863" s="24">
        <v>1849.348</v>
      </c>
      <c r="D863" s="24">
        <v>1849.348</v>
      </c>
      <c r="E863" s="24">
        <v>1849.348</v>
      </c>
      <c r="F863" s="23">
        <f t="shared" si="13"/>
        <v>3.6540460161237952E-3</v>
      </c>
    </row>
    <row r="864" spans="1:6" x14ac:dyDescent="0.35">
      <c r="A864" s="22">
        <v>45744</v>
      </c>
      <c r="B864" s="24">
        <v>1846.3320000000001</v>
      </c>
      <c r="C864" s="24">
        <v>1846.3320000000001</v>
      </c>
      <c r="D864" s="24">
        <v>1846.3320000000001</v>
      </c>
      <c r="E864" s="24">
        <v>1846.3320000000001</v>
      </c>
      <c r="F864" s="23">
        <f t="shared" si="13"/>
        <v>-1.6308450329520724E-3</v>
      </c>
    </row>
    <row r="865" spans="1:6" x14ac:dyDescent="0.35">
      <c r="A865" s="22">
        <v>45747</v>
      </c>
      <c r="B865" s="24">
        <v>1846.2170000000001</v>
      </c>
      <c r="C865" s="24">
        <v>1846.2170000000001</v>
      </c>
      <c r="D865" s="24">
        <v>1846.2170000000001</v>
      </c>
      <c r="E865" s="24">
        <v>1846.2170000000001</v>
      </c>
      <c r="F865" s="23">
        <f t="shared" si="13"/>
        <v>-6.2285656100857851E-5</v>
      </c>
    </row>
    <row r="866" spans="1:6" x14ac:dyDescent="0.35">
      <c r="A866" s="22">
        <v>45748</v>
      </c>
      <c r="B866" s="24">
        <v>1827.5050000000001</v>
      </c>
      <c r="C866" s="24">
        <v>1827.5050000000001</v>
      </c>
      <c r="D866" s="24">
        <v>1827.5050000000001</v>
      </c>
      <c r="E866" s="24">
        <v>1827.5050000000001</v>
      </c>
      <c r="F866" s="23">
        <f t="shared" si="13"/>
        <v>-1.0135319954263224E-2</v>
      </c>
    </row>
    <row r="867" spans="1:6" x14ac:dyDescent="0.35">
      <c r="A867" s="22">
        <v>45749</v>
      </c>
      <c r="B867" s="24">
        <v>1840.19</v>
      </c>
      <c r="C867" s="24">
        <v>1840.19</v>
      </c>
      <c r="D867" s="24">
        <v>1840.19</v>
      </c>
      <c r="E867" s="24">
        <v>1840.19</v>
      </c>
      <c r="F867" s="23">
        <f t="shared" si="13"/>
        <v>6.9411574797332669E-3</v>
      </c>
    </row>
    <row r="868" spans="1:6" x14ac:dyDescent="0.35">
      <c r="A868" s="22">
        <v>45750</v>
      </c>
      <c r="B868" s="24">
        <v>1839.3240000000001</v>
      </c>
      <c r="C868" s="24">
        <v>1839.3240000000001</v>
      </c>
      <c r="D868" s="24">
        <v>1839.3240000000001</v>
      </c>
      <c r="E868" s="24">
        <v>1839.3240000000001</v>
      </c>
      <c r="F868" s="23">
        <f t="shared" si="13"/>
        <v>-4.7060357897824978E-4</v>
      </c>
    </row>
    <row r="869" spans="1:6" x14ac:dyDescent="0.35">
      <c r="A869" s="22">
        <v>45751</v>
      </c>
      <c r="B869" s="24">
        <v>1817.491</v>
      </c>
      <c r="C869" s="24">
        <v>1817.491</v>
      </c>
      <c r="D869" s="24">
        <v>1817.491</v>
      </c>
      <c r="E869" s="24">
        <v>1817.491</v>
      </c>
      <c r="F869" s="23">
        <f t="shared" si="13"/>
        <v>-1.1870121849114176E-2</v>
      </c>
    </row>
    <row r="870" spans="1:6" x14ac:dyDescent="0.35">
      <c r="A870" s="22">
        <v>45754</v>
      </c>
      <c r="B870" s="24">
        <v>1763.5229999999999</v>
      </c>
      <c r="C870" s="24">
        <v>1763.5229999999999</v>
      </c>
      <c r="D870" s="24">
        <v>1763.5229999999999</v>
      </c>
      <c r="E870" s="24">
        <v>1763.5229999999999</v>
      </c>
      <c r="F870" s="23">
        <f t="shared" si="13"/>
        <v>-2.9693682114519452E-2</v>
      </c>
    </row>
    <row r="871" spans="1:6" x14ac:dyDescent="0.35">
      <c r="A871" s="22">
        <v>45755</v>
      </c>
      <c r="B871" s="24">
        <v>1790.057</v>
      </c>
      <c r="C871" s="24">
        <v>1790.057</v>
      </c>
      <c r="D871" s="24">
        <v>1790.057</v>
      </c>
      <c r="E871" s="24">
        <v>1790.057</v>
      </c>
      <c r="F871" s="23">
        <f t="shared" si="13"/>
        <v>1.5046018679654367E-2</v>
      </c>
    </row>
    <row r="872" spans="1:6" x14ac:dyDescent="0.35">
      <c r="A872" s="22">
        <v>45756</v>
      </c>
      <c r="B872" s="24">
        <v>1781.2809999999999</v>
      </c>
      <c r="C872" s="24">
        <v>1781.2809999999999</v>
      </c>
      <c r="D872" s="24">
        <v>1781.2809999999999</v>
      </c>
      <c r="E872" s="24">
        <v>1781.2809999999999</v>
      </c>
      <c r="F872" s="23">
        <f t="shared" si="13"/>
        <v>-4.9026371785926741E-3</v>
      </c>
    </row>
    <row r="873" spans="1:6" x14ac:dyDescent="0.35">
      <c r="A873" s="22">
        <v>45758</v>
      </c>
      <c r="B873" s="24">
        <v>1811.46</v>
      </c>
      <c r="C873" s="24">
        <v>1811.46</v>
      </c>
      <c r="D873" s="24">
        <v>1811.46</v>
      </c>
      <c r="E873" s="24">
        <v>1811.46</v>
      </c>
      <c r="F873" s="23">
        <f t="shared" si="13"/>
        <v>1.6942301635732987E-2</v>
      </c>
    </row>
    <row r="874" spans="1:6" x14ac:dyDescent="0.35">
      <c r="A874" s="22">
        <v>45762</v>
      </c>
      <c r="B874" s="24">
        <v>1849.9290000000001</v>
      </c>
      <c r="C874" s="24">
        <v>1849.9290000000001</v>
      </c>
      <c r="D874" s="24">
        <v>1849.9290000000001</v>
      </c>
      <c r="E874" s="24">
        <v>1849.9290000000001</v>
      </c>
      <c r="F874" s="23">
        <f t="shared" si="13"/>
        <v>2.1236461197045507E-2</v>
      </c>
    </row>
    <row r="875" spans="1:6" x14ac:dyDescent="0.35">
      <c r="A875" s="22">
        <v>45763</v>
      </c>
      <c r="B875" s="24">
        <v>1861.44</v>
      </c>
      <c r="C875" s="24">
        <v>1861.44</v>
      </c>
      <c r="D875" s="24">
        <v>1861.44</v>
      </c>
      <c r="E875" s="24">
        <v>1861.44</v>
      </c>
      <c r="F875" s="23">
        <f t="shared" si="13"/>
        <v>6.2224009678209088E-3</v>
      </c>
    </row>
    <row r="876" spans="1:6" x14ac:dyDescent="0.35">
      <c r="A876" s="22">
        <v>45764</v>
      </c>
      <c r="B876" s="24">
        <v>1887.893</v>
      </c>
      <c r="C876" s="24">
        <v>1887.893</v>
      </c>
      <c r="D876" s="24">
        <v>1887.893</v>
      </c>
      <c r="E876" s="24">
        <v>1887.893</v>
      </c>
      <c r="F876" s="23">
        <f t="shared" si="13"/>
        <v>1.4211040914560756E-2</v>
      </c>
    </row>
    <row r="877" spans="1:6" x14ac:dyDescent="0.35">
      <c r="A877" s="22">
        <v>45768</v>
      </c>
      <c r="B877" s="24">
        <v>1914.04</v>
      </c>
      <c r="C877" s="24">
        <v>1914.04</v>
      </c>
      <c r="D877" s="24">
        <v>1914.04</v>
      </c>
      <c r="E877" s="24">
        <v>1914.04</v>
      </c>
      <c r="F877" s="23">
        <f t="shared" si="13"/>
        <v>1.3849831531765801E-2</v>
      </c>
    </row>
    <row r="878" spans="1:6" x14ac:dyDescent="0.35">
      <c r="A878" s="22">
        <v>45769</v>
      </c>
      <c r="B878" s="24">
        <v>1919.307</v>
      </c>
      <c r="C878" s="24">
        <v>1919.307</v>
      </c>
      <c r="D878" s="24">
        <v>1919.307</v>
      </c>
      <c r="E878" s="24">
        <v>1919.307</v>
      </c>
      <c r="F878" s="23">
        <f t="shared" si="13"/>
        <v>2.7517711228605738E-3</v>
      </c>
    </row>
    <row r="879" spans="1:6" x14ac:dyDescent="0.35">
      <c r="A879" s="22">
        <v>45770</v>
      </c>
      <c r="B879" s="24">
        <v>1926.0719999999999</v>
      </c>
      <c r="C879" s="24">
        <v>1926.0719999999999</v>
      </c>
      <c r="D879" s="24">
        <v>1926.0719999999999</v>
      </c>
      <c r="E879" s="24">
        <v>1926.0719999999999</v>
      </c>
      <c r="F879" s="23">
        <f t="shared" si="13"/>
        <v>3.5247096999072437E-3</v>
      </c>
    </row>
    <row r="880" spans="1:6" x14ac:dyDescent="0.35">
      <c r="A880" s="22">
        <v>45771</v>
      </c>
      <c r="B880" s="24">
        <v>1919.8620000000001</v>
      </c>
      <c r="C880" s="24">
        <v>1919.8620000000001</v>
      </c>
      <c r="D880" s="24">
        <v>1919.8620000000001</v>
      </c>
      <c r="E880" s="24">
        <v>1919.8620000000001</v>
      </c>
      <c r="F880" s="23">
        <f t="shared" si="13"/>
        <v>-3.2241785353817557E-3</v>
      </c>
    </row>
    <row r="881" spans="1:6" x14ac:dyDescent="0.35">
      <c r="A881" s="22">
        <v>45772</v>
      </c>
      <c r="B881" s="24">
        <v>1901.2639999999999</v>
      </c>
      <c r="C881" s="24">
        <v>1901.2639999999999</v>
      </c>
      <c r="D881" s="24">
        <v>1901.2639999999999</v>
      </c>
      <c r="E881" s="24">
        <v>1901.2639999999999</v>
      </c>
      <c r="F881" s="23">
        <f t="shared" si="13"/>
        <v>-9.6871545975701287E-3</v>
      </c>
    </row>
    <row r="882" spans="1:6" x14ac:dyDescent="0.35">
      <c r="A882" s="22">
        <v>45775</v>
      </c>
      <c r="B882" s="24">
        <v>1920.1469999999999</v>
      </c>
      <c r="C882" s="24">
        <v>1920.1469999999999</v>
      </c>
      <c r="D882" s="24">
        <v>1920.1469999999999</v>
      </c>
      <c r="E882" s="24">
        <v>1920.1469999999999</v>
      </c>
      <c r="F882" s="23">
        <f t="shared" si="13"/>
        <v>9.9318137828308117E-3</v>
      </c>
    </row>
    <row r="883" spans="1:6" x14ac:dyDescent="0.35">
      <c r="A883" s="22">
        <v>45776</v>
      </c>
      <c r="B883" s="24">
        <v>1916.665</v>
      </c>
      <c r="C883" s="24">
        <v>1916.665</v>
      </c>
      <c r="D883" s="24">
        <v>1916.665</v>
      </c>
      <c r="E883" s="24">
        <v>1916.665</v>
      </c>
      <c r="F883" s="23">
        <f t="shared" si="13"/>
        <v>-1.8134028280126317E-3</v>
      </c>
    </row>
    <row r="884" spans="1:6" x14ac:dyDescent="0.35">
      <c r="A884" s="22">
        <v>45777</v>
      </c>
      <c r="B884" s="24">
        <v>1920.9369999999999</v>
      </c>
      <c r="C884" s="24">
        <v>1920.9369999999999</v>
      </c>
      <c r="D884" s="24">
        <v>1920.9369999999999</v>
      </c>
      <c r="E884" s="24">
        <v>1920.9369999999999</v>
      </c>
      <c r="F884" s="23">
        <f t="shared" si="13"/>
        <v>2.2288715033664907E-3</v>
      </c>
    </row>
    <row r="885" spans="1:6" x14ac:dyDescent="0.35">
      <c r="A885" s="22">
        <v>45779</v>
      </c>
      <c r="B885" s="24">
        <v>1916.268</v>
      </c>
      <c r="C885" s="24">
        <v>1916.268</v>
      </c>
      <c r="D885" s="24">
        <v>1916.268</v>
      </c>
      <c r="E885" s="24">
        <v>1916.268</v>
      </c>
      <c r="F885" s="23">
        <f t="shared" si="13"/>
        <v>-2.4305846573832819E-3</v>
      </c>
    </row>
    <row r="886" spans="1:6" x14ac:dyDescent="0.35">
      <c r="A886" s="22">
        <v>45782</v>
      </c>
      <c r="B886" s="24">
        <v>1918.1659999999999</v>
      </c>
      <c r="C886" s="24">
        <v>1918.1659999999999</v>
      </c>
      <c r="D886" s="24">
        <v>1918.1659999999999</v>
      </c>
      <c r="E886" s="24">
        <v>1918.1659999999999</v>
      </c>
      <c r="F886" s="23">
        <f t="shared" si="13"/>
        <v>9.9046688667759979E-4</v>
      </c>
    </row>
    <row r="887" spans="1:6" x14ac:dyDescent="0.35">
      <c r="A887" s="22">
        <v>45783</v>
      </c>
      <c r="B887" s="24">
        <v>1908.31</v>
      </c>
      <c r="C887" s="24">
        <v>1908.31</v>
      </c>
      <c r="D887" s="24">
        <v>1908.31</v>
      </c>
      <c r="E887" s="24">
        <v>1908.31</v>
      </c>
      <c r="F887" s="23">
        <f t="shared" si="13"/>
        <v>-5.138241424360558E-3</v>
      </c>
    </row>
    <row r="888" spans="1:6" x14ac:dyDescent="0.35">
      <c r="A888" s="22">
        <v>45784</v>
      </c>
      <c r="B888" s="24">
        <v>1916.2840000000001</v>
      </c>
      <c r="C888" s="24">
        <v>1916.2840000000001</v>
      </c>
      <c r="D888" s="24">
        <v>1916.2840000000001</v>
      </c>
      <c r="E888" s="24">
        <v>1916.2840000000001</v>
      </c>
      <c r="F888" s="23">
        <f t="shared" si="13"/>
        <v>4.1785663754841515E-3</v>
      </c>
    </row>
    <row r="889" spans="1:6" x14ac:dyDescent="0.35">
      <c r="A889" s="22">
        <v>45785</v>
      </c>
      <c r="B889" s="24">
        <v>1901.79</v>
      </c>
      <c r="C889" s="24">
        <v>1901.79</v>
      </c>
      <c r="D889" s="24">
        <v>1901.79</v>
      </c>
      <c r="E889" s="24">
        <v>1901.79</v>
      </c>
      <c r="F889" s="23">
        <f t="shared" si="13"/>
        <v>-7.5635970451144721E-3</v>
      </c>
    </row>
    <row r="890" spans="1:6" x14ac:dyDescent="0.35">
      <c r="A890" s="22">
        <v>45786</v>
      </c>
      <c r="B890" s="24">
        <v>1882.942</v>
      </c>
      <c r="C890" s="24">
        <v>1882.942</v>
      </c>
      <c r="D890" s="24">
        <v>1882.942</v>
      </c>
      <c r="E890" s="24">
        <v>1882.942</v>
      </c>
      <c r="F890" s="23">
        <f t="shared" si="13"/>
        <v>-9.9106631121206636E-3</v>
      </c>
    </row>
    <row r="891" spans="1:6" x14ac:dyDescent="0.35">
      <c r="A891" s="22">
        <v>45789</v>
      </c>
      <c r="B891" s="24">
        <v>1942.635</v>
      </c>
      <c r="C891" s="24">
        <v>1942.635</v>
      </c>
      <c r="D891" s="24">
        <v>1942.635</v>
      </c>
      <c r="E891" s="24">
        <v>1942.635</v>
      </c>
      <c r="F891" s="23">
        <f t="shared" si="13"/>
        <v>3.1701985509909485E-2</v>
      </c>
    </row>
    <row r="892" spans="1:6" x14ac:dyDescent="0.35">
      <c r="A892" s="22">
        <v>45790</v>
      </c>
      <c r="B892" s="24">
        <v>1929.433</v>
      </c>
      <c r="C892" s="24">
        <v>1929.433</v>
      </c>
      <c r="D892" s="24">
        <v>1929.433</v>
      </c>
      <c r="E892" s="24">
        <v>1929.433</v>
      </c>
      <c r="F892" s="23">
        <f t="shared" si="13"/>
        <v>-6.7959240927914907E-3</v>
      </c>
    </row>
    <row r="893" spans="1:6" x14ac:dyDescent="0.35">
      <c r="A893" s="22">
        <v>45791</v>
      </c>
      <c r="B893" s="24">
        <v>1935.47</v>
      </c>
      <c r="C893" s="24">
        <v>1935.47</v>
      </c>
      <c r="D893" s="24">
        <v>1935.47</v>
      </c>
      <c r="E893" s="24">
        <v>1935.47</v>
      </c>
      <c r="F893" s="23">
        <f t="shared" si="13"/>
        <v>3.1288984898672485E-3</v>
      </c>
    </row>
    <row r="894" spans="1:6" x14ac:dyDescent="0.35">
      <c r="A894" s="22">
        <v>45792</v>
      </c>
      <c r="B894" s="24">
        <v>1956.768</v>
      </c>
      <c r="C894" s="24">
        <v>1956.768</v>
      </c>
      <c r="D894" s="24">
        <v>1956.768</v>
      </c>
      <c r="E894" s="24">
        <v>1956.768</v>
      </c>
      <c r="F894" s="23">
        <f t="shared" si="13"/>
        <v>1.1004045528992959E-2</v>
      </c>
    </row>
    <row r="895" spans="1:6" x14ac:dyDescent="0.35">
      <c r="A895" s="22">
        <v>45793</v>
      </c>
      <c r="B895" s="24">
        <v>1956.932</v>
      </c>
      <c r="C895" s="24">
        <v>1956.932</v>
      </c>
      <c r="D895" s="24">
        <v>1956.932</v>
      </c>
      <c r="E895" s="24">
        <v>1956.932</v>
      </c>
      <c r="F895" s="23">
        <f t="shared" si="13"/>
        <v>8.3811673126291551E-5</v>
      </c>
    </row>
    <row r="896" spans="1:6" x14ac:dyDescent="0.35">
      <c r="A896" s="22">
        <v>45796</v>
      </c>
      <c r="B896" s="24">
        <v>1957.816</v>
      </c>
      <c r="C896" s="24">
        <v>1957.816</v>
      </c>
      <c r="D896" s="24">
        <v>1957.816</v>
      </c>
      <c r="E896" s="24">
        <v>1957.816</v>
      </c>
      <c r="F896" s="23">
        <f t="shared" si="13"/>
        <v>4.5172749998467732E-4</v>
      </c>
    </row>
    <row r="897" spans="1:6" x14ac:dyDescent="0.35">
      <c r="A897" s="22">
        <v>45797</v>
      </c>
      <c r="B897" s="24">
        <v>1940.732</v>
      </c>
      <c r="C897" s="24">
        <v>1940.732</v>
      </c>
      <c r="D897" s="24">
        <v>1940.732</v>
      </c>
      <c r="E897" s="24">
        <v>1940.732</v>
      </c>
      <c r="F897" s="23">
        <f t="shared" si="13"/>
        <v>-8.7260498432948034E-3</v>
      </c>
    </row>
    <row r="898" spans="1:6" x14ac:dyDescent="0.35">
      <c r="A898" s="22">
        <v>45798</v>
      </c>
      <c r="B898" s="24">
        <v>1947.9359999999999</v>
      </c>
      <c r="C898" s="24">
        <v>1947.9469999999999</v>
      </c>
      <c r="D898" s="24">
        <v>1947.9469999999999</v>
      </c>
      <c r="E898" s="24">
        <v>1947.9359999999999</v>
      </c>
      <c r="F898" s="23">
        <f t="shared" si="13"/>
        <v>3.7120014509988762E-3</v>
      </c>
    </row>
    <row r="899" spans="1:6" x14ac:dyDescent="0.35">
      <c r="A899" s="22">
        <v>45799</v>
      </c>
      <c r="B899" s="24">
        <v>1940.0730000000001</v>
      </c>
      <c r="C899" s="24">
        <v>1940.0730000000001</v>
      </c>
      <c r="D899" s="24">
        <v>1940.0730000000001</v>
      </c>
      <c r="E899" s="24">
        <v>1940.0730000000001</v>
      </c>
      <c r="F899" s="23">
        <f t="shared" ref="F899:F962" si="14">(B899-B898)/B898</f>
        <v>-4.036580257256824E-3</v>
      </c>
    </row>
    <row r="900" spans="1:6" x14ac:dyDescent="0.35">
      <c r="A900" s="22">
        <v>45800</v>
      </c>
      <c r="B900" s="24">
        <v>1956.2909999999999</v>
      </c>
      <c r="C900" s="24">
        <v>1956.2909999999999</v>
      </c>
      <c r="D900" s="24">
        <v>1956.2909999999999</v>
      </c>
      <c r="E900" s="24">
        <v>1956.2909999999999</v>
      </c>
      <c r="F900" s="23">
        <f t="shared" si="14"/>
        <v>8.3594792567083017E-3</v>
      </c>
    </row>
    <row r="901" spans="1:6" x14ac:dyDescent="0.35">
      <c r="A901" s="22">
        <v>45803</v>
      </c>
      <c r="B901" s="24">
        <v>1961.5409999999999</v>
      </c>
      <c r="C901" s="24">
        <v>1961.5409999999999</v>
      </c>
      <c r="D901" s="24">
        <v>1961.5409999999999</v>
      </c>
      <c r="E901" s="24">
        <v>1961.5409999999999</v>
      </c>
      <c r="F901" s="23">
        <f t="shared" si="14"/>
        <v>2.6836498251027073E-3</v>
      </c>
    </row>
    <row r="902" spans="1:6" x14ac:dyDescent="0.35">
      <c r="A902" s="22">
        <v>45804</v>
      </c>
      <c r="B902" s="24">
        <v>1950.296</v>
      </c>
      <c r="C902" s="24">
        <v>1950.296</v>
      </c>
      <c r="D902" s="24">
        <v>1961.5409999999999</v>
      </c>
      <c r="E902" s="24">
        <v>1950.296</v>
      </c>
      <c r="F902" s="23">
        <f t="shared" si="14"/>
        <v>-5.732737679202164E-3</v>
      </c>
    </row>
    <row r="903" spans="1:6" x14ac:dyDescent="0.35">
      <c r="A903" s="22">
        <v>45805</v>
      </c>
      <c r="B903" s="24">
        <v>1945.6320000000001</v>
      </c>
      <c r="C903" s="24">
        <v>1945.6320000000001</v>
      </c>
      <c r="D903" s="24">
        <v>1945.6320000000001</v>
      </c>
      <c r="E903" s="24">
        <v>1945.6320000000001</v>
      </c>
      <c r="F903" s="23">
        <f t="shared" si="14"/>
        <v>-2.3914318647015567E-3</v>
      </c>
    </row>
    <row r="904" spans="1:6" x14ac:dyDescent="0.35">
      <c r="A904" s="22">
        <v>45806</v>
      </c>
      <c r="B904" s="24">
        <v>1952.4559999999999</v>
      </c>
      <c r="C904" s="24">
        <v>1952.4559999999999</v>
      </c>
      <c r="D904" s="24">
        <v>1952.4559999999999</v>
      </c>
      <c r="E904" s="24">
        <v>1952.4559999999999</v>
      </c>
      <c r="F904" s="23">
        <f t="shared" si="14"/>
        <v>3.5073436292165435E-3</v>
      </c>
    </row>
    <row r="905" spans="1:6" x14ac:dyDescent="0.35">
      <c r="A905" s="22">
        <v>45807</v>
      </c>
      <c r="B905" s="24">
        <v>1946.115</v>
      </c>
      <c r="C905" s="24">
        <v>1946.115</v>
      </c>
      <c r="D905" s="24">
        <v>1946.115</v>
      </c>
      <c r="E905" s="24">
        <v>1946.115</v>
      </c>
      <c r="F905" s="23">
        <f t="shared" si="14"/>
        <v>-3.2477044297028433E-3</v>
      </c>
    </row>
    <row r="906" spans="1:6" x14ac:dyDescent="0.35">
      <c r="A906" s="22">
        <v>45810</v>
      </c>
      <c r="B906" s="24">
        <v>1944.442</v>
      </c>
      <c r="C906" s="24">
        <v>1944.442</v>
      </c>
      <c r="D906" s="24">
        <v>1944.442</v>
      </c>
      <c r="E906" s="24">
        <v>1944.442</v>
      </c>
      <c r="F906" s="23">
        <f t="shared" si="14"/>
        <v>-8.5966142802455239E-4</v>
      </c>
    </row>
    <row r="907" spans="1:6" x14ac:dyDescent="0.35">
      <c r="A907" s="22">
        <v>45811</v>
      </c>
      <c r="B907" s="24">
        <v>1933.921</v>
      </c>
      <c r="C907" s="24">
        <v>1933.921</v>
      </c>
      <c r="D907" s="24">
        <v>1933.921</v>
      </c>
      <c r="E907" s="24">
        <v>1933.921</v>
      </c>
      <c r="F907" s="23">
        <f t="shared" si="14"/>
        <v>-5.4108068021571009E-3</v>
      </c>
    </row>
    <row r="908" spans="1:6" x14ac:dyDescent="0.35">
      <c r="A908" s="22">
        <v>45812</v>
      </c>
      <c r="B908" s="24">
        <v>1936.5909999999999</v>
      </c>
      <c r="C908" s="24">
        <v>1936.5909999999999</v>
      </c>
      <c r="D908" s="24">
        <v>1936.5909999999999</v>
      </c>
      <c r="E908" s="24">
        <v>1936.5909999999999</v>
      </c>
      <c r="F908" s="23">
        <f t="shared" si="14"/>
        <v>1.3806148234596167E-3</v>
      </c>
    </row>
    <row r="909" spans="1:6" x14ac:dyDescent="0.35">
      <c r="A909" s="22">
        <v>45813</v>
      </c>
      <c r="B909" s="24">
        <v>1942.8810000000001</v>
      </c>
      <c r="C909" s="24">
        <v>1942.8810000000001</v>
      </c>
      <c r="D909" s="24">
        <v>1942.8810000000001</v>
      </c>
      <c r="E909" s="24">
        <v>1942.8810000000001</v>
      </c>
      <c r="F909" s="23">
        <f t="shared" si="14"/>
        <v>3.247975437250401E-3</v>
      </c>
    </row>
    <row r="910" spans="1:6" x14ac:dyDescent="0.35">
      <c r="A910" s="22">
        <v>45814</v>
      </c>
      <c r="B910" s="24">
        <v>1961.1949999999999</v>
      </c>
      <c r="C910" s="24">
        <v>1961.1949999999999</v>
      </c>
      <c r="D910" s="24">
        <v>1961.1949999999999</v>
      </c>
      <c r="E910" s="24">
        <v>1961.1949999999999</v>
      </c>
      <c r="F910" s="23">
        <f t="shared" si="14"/>
        <v>9.426207781124964E-3</v>
      </c>
    </row>
    <row r="911" spans="1:6" x14ac:dyDescent="0.35">
      <c r="A911" s="22">
        <v>45817</v>
      </c>
      <c r="B911" s="24">
        <v>1973.8209999999999</v>
      </c>
      <c r="C911" s="24">
        <v>1973.8209999999999</v>
      </c>
      <c r="D911" s="24">
        <v>1973.8209999999999</v>
      </c>
      <c r="E911" s="24">
        <v>1973.8209999999999</v>
      </c>
      <c r="F911" s="23">
        <f t="shared" si="14"/>
        <v>6.4379115794196791E-3</v>
      </c>
    </row>
    <row r="912" spans="1:6" x14ac:dyDescent="0.35">
      <c r="A912" s="22">
        <v>45818</v>
      </c>
      <c r="B912" s="24">
        <v>1971.5129999999999</v>
      </c>
      <c r="C912" s="24">
        <v>1971.5129999999999</v>
      </c>
      <c r="D912" s="24">
        <v>1971.5129999999999</v>
      </c>
      <c r="E912" s="24">
        <v>1971.5129999999999</v>
      </c>
      <c r="F912" s="23">
        <f t="shared" si="14"/>
        <v>-1.1693056259914111E-3</v>
      </c>
    </row>
    <row r="913" spans="1:6" x14ac:dyDescent="0.35">
      <c r="A913" s="22">
        <v>45819</v>
      </c>
      <c r="B913" s="24">
        <v>1973.6</v>
      </c>
      <c r="C913" s="24">
        <v>1973.6</v>
      </c>
      <c r="D913" s="24">
        <v>1973.6</v>
      </c>
      <c r="E913" s="24">
        <v>1973.6</v>
      </c>
      <c r="F913" s="23">
        <f t="shared" si="14"/>
        <v>1.0585778536585807E-3</v>
      </c>
    </row>
    <row r="914" spans="1:6" x14ac:dyDescent="0.35">
      <c r="A914" s="22">
        <v>45820</v>
      </c>
      <c r="B914" s="24">
        <v>1956.0229999999999</v>
      </c>
      <c r="C914" s="24">
        <v>1956.0229999999999</v>
      </c>
      <c r="D914" s="24">
        <v>1956.0229999999999</v>
      </c>
      <c r="E914" s="24">
        <v>1956.0229999999999</v>
      </c>
      <c r="F914" s="23">
        <f t="shared" si="14"/>
        <v>-8.906059991892987E-3</v>
      </c>
    </row>
    <row r="915" spans="1:6" x14ac:dyDescent="0.35">
      <c r="A915" s="22">
        <v>45821</v>
      </c>
      <c r="B915" s="24">
        <v>1944.35</v>
      </c>
      <c r="C915" s="24">
        <v>1944.35</v>
      </c>
      <c r="D915" s="24">
        <v>1944.35</v>
      </c>
      <c r="E915" s="24">
        <v>1944.35</v>
      </c>
      <c r="F915" s="23">
        <f t="shared" si="14"/>
        <v>-5.9677212384516964E-3</v>
      </c>
    </row>
    <row r="916" spans="1:6" x14ac:dyDescent="0.35">
      <c r="A916" s="22">
        <v>45824</v>
      </c>
      <c r="B916" s="24">
        <v>1960.9380000000001</v>
      </c>
      <c r="C916" s="24">
        <v>1960.9380000000001</v>
      </c>
      <c r="D916" s="24">
        <v>1960.9380000000001</v>
      </c>
      <c r="E916" s="24">
        <v>1960.9380000000001</v>
      </c>
      <c r="F916" s="23">
        <f t="shared" si="14"/>
        <v>8.5313858101680219E-3</v>
      </c>
    </row>
    <row r="917" spans="1:6" x14ac:dyDescent="0.35">
      <c r="A917" s="22">
        <v>45825</v>
      </c>
      <c r="B917" s="24">
        <v>1955.1010000000001</v>
      </c>
      <c r="C917" s="24">
        <v>1955.1010000000001</v>
      </c>
      <c r="D917" s="24">
        <v>1955.1010000000001</v>
      </c>
      <c r="E917" s="24">
        <v>1955.1010000000001</v>
      </c>
      <c r="F917" s="23">
        <f t="shared" si="14"/>
        <v>-2.9766366912161368E-3</v>
      </c>
    </row>
    <row r="918" spans="1:6" x14ac:dyDescent="0.35">
      <c r="A918" s="22">
        <v>45826</v>
      </c>
      <c r="B918" s="24">
        <v>1953.674</v>
      </c>
      <c r="C918" s="24">
        <v>1953.674</v>
      </c>
      <c r="D918" s="24">
        <v>1953.674</v>
      </c>
      <c r="E918" s="24">
        <v>1953.674</v>
      </c>
      <c r="F918" s="23">
        <f t="shared" si="14"/>
        <v>-7.2988556601430541E-4</v>
      </c>
    </row>
    <row r="919" spans="1:6" x14ac:dyDescent="0.35">
      <c r="A919" s="22">
        <v>45827</v>
      </c>
      <c r="B919" s="24">
        <v>1950.16</v>
      </c>
      <c r="C919" s="24">
        <v>1950.16</v>
      </c>
      <c r="D919" s="24">
        <v>1950.16</v>
      </c>
      <c r="E919" s="24">
        <v>1950.16</v>
      </c>
      <c r="F919" s="23">
        <f t="shared" si="14"/>
        <v>-1.7986624175783147E-3</v>
      </c>
    </row>
    <row r="920" spans="1:6" x14ac:dyDescent="0.35">
      <c r="A920" s="22">
        <v>45828</v>
      </c>
      <c r="B920" s="24">
        <v>1970.049</v>
      </c>
      <c r="C920" s="24">
        <v>1970.049</v>
      </c>
      <c r="D920" s="24">
        <v>1970.049</v>
      </c>
      <c r="E920" s="24">
        <v>1970.049</v>
      </c>
      <c r="F920" s="23">
        <f t="shared" si="14"/>
        <v>1.0198650367149309E-2</v>
      </c>
    </row>
    <row r="921" spans="1:6" x14ac:dyDescent="0.35">
      <c r="A921" s="22">
        <v>45831</v>
      </c>
      <c r="B921" s="24">
        <v>1963.7080000000001</v>
      </c>
      <c r="C921" s="24">
        <v>1963.7080000000001</v>
      </c>
      <c r="D921" s="24">
        <v>1963.7080000000001</v>
      </c>
      <c r="E921" s="24">
        <v>1963.7080000000001</v>
      </c>
      <c r="F921" s="23">
        <f t="shared" si="14"/>
        <v>-3.2187016668112794E-3</v>
      </c>
    </row>
    <row r="922" spans="1:6" x14ac:dyDescent="0.35">
      <c r="A922" s="22">
        <v>45832</v>
      </c>
      <c r="B922" s="24">
        <v>1972.671</v>
      </c>
      <c r="C922" s="24">
        <v>1972.671</v>
      </c>
      <c r="D922" s="24">
        <v>1972.671</v>
      </c>
      <c r="E922" s="24">
        <v>1972.671</v>
      </c>
      <c r="F922" s="23">
        <f t="shared" si="14"/>
        <v>4.5643242274309445E-3</v>
      </c>
    </row>
    <row r="923" spans="1:6" x14ac:dyDescent="0.35">
      <c r="A923" s="22">
        <v>45833</v>
      </c>
      <c r="B923" s="24">
        <v>1984.403</v>
      </c>
      <c r="C923" s="24">
        <v>1984.403</v>
      </c>
      <c r="D923" s="24">
        <v>1984.403</v>
      </c>
      <c r="E923" s="24">
        <v>1984.403</v>
      </c>
      <c r="F923" s="23">
        <f t="shared" si="14"/>
        <v>5.9472664220237281E-3</v>
      </c>
    </row>
    <row r="924" spans="1:6" x14ac:dyDescent="0.35">
      <c r="A924" s="22">
        <v>45834</v>
      </c>
      <c r="B924" s="24">
        <v>1998.663</v>
      </c>
      <c r="C924" s="24">
        <v>1998.663</v>
      </c>
      <c r="D924" s="24">
        <v>1998.663</v>
      </c>
      <c r="E924" s="24">
        <v>1998.663</v>
      </c>
      <c r="F924" s="23">
        <f t="shared" si="14"/>
        <v>7.1860403355568352E-3</v>
      </c>
    </row>
    <row r="925" spans="1:6" x14ac:dyDescent="0.35">
      <c r="A925" s="22">
        <v>45835</v>
      </c>
      <c r="B925" s="24">
        <v>2007.184</v>
      </c>
      <c r="C925" s="24">
        <v>2007.184</v>
      </c>
      <c r="D925" s="24">
        <v>2007.184</v>
      </c>
      <c r="E925" s="24">
        <v>2007.184</v>
      </c>
      <c r="F925" s="23">
        <f t="shared" si="14"/>
        <v>4.2633500495080755E-3</v>
      </c>
    </row>
    <row r="926" spans="1:6" x14ac:dyDescent="0.35">
      <c r="A926" s="22">
        <v>45838</v>
      </c>
      <c r="B926" s="24">
        <v>1998.76</v>
      </c>
      <c r="C926" s="24">
        <v>1998.76</v>
      </c>
      <c r="D926" s="24">
        <v>1998.76</v>
      </c>
      <c r="E926" s="24">
        <v>1998.76</v>
      </c>
      <c r="F926" s="23">
        <f t="shared" si="14"/>
        <v>-4.1969246466691534E-3</v>
      </c>
    </row>
    <row r="927" spans="1:6" x14ac:dyDescent="0.35">
      <c r="A927" s="22">
        <v>45839</v>
      </c>
      <c r="B927" s="24">
        <v>1998.68</v>
      </c>
      <c r="C927" s="24">
        <v>1998.68</v>
      </c>
      <c r="D927" s="24">
        <v>1998.68</v>
      </c>
      <c r="E927" s="24">
        <v>1998.68</v>
      </c>
      <c r="F927" s="23">
        <f t="shared" si="14"/>
        <v>-4.0024815385502629E-5</v>
      </c>
    </row>
    <row r="928" spans="1:6" x14ac:dyDescent="0.35">
      <c r="A928" s="22">
        <v>45840</v>
      </c>
      <c r="B928" s="24">
        <v>1992.9739999999999</v>
      </c>
      <c r="C928" s="24">
        <v>1992.9739999999999</v>
      </c>
      <c r="D928" s="24">
        <v>1992.9739999999999</v>
      </c>
      <c r="E928" s="24">
        <v>1992.9739999999999</v>
      </c>
      <c r="F928" s="23">
        <f t="shared" si="14"/>
        <v>-2.854884223587633E-3</v>
      </c>
    </row>
    <row r="929" spans="1:6" x14ac:dyDescent="0.35">
      <c r="A929" s="22">
        <v>45841</v>
      </c>
      <c r="B929" s="24">
        <v>1987.5319999999999</v>
      </c>
      <c r="C929" s="24">
        <v>1987.5319999999999</v>
      </c>
      <c r="D929" s="24">
        <v>1987.5319999999999</v>
      </c>
      <c r="E929" s="24">
        <v>1987.5319999999999</v>
      </c>
      <c r="F929" s="23">
        <f t="shared" si="14"/>
        <v>-2.7305925717044013E-3</v>
      </c>
    </row>
    <row r="930" spans="1:6" x14ac:dyDescent="0.35">
      <c r="A930" s="22">
        <v>45842</v>
      </c>
      <c r="B930" s="24">
        <v>1992.616</v>
      </c>
      <c r="C930" s="24">
        <v>1992.616</v>
      </c>
      <c r="D930" s="24">
        <v>1992.616</v>
      </c>
      <c r="E930" s="24">
        <v>1992.616</v>
      </c>
      <c r="F930" s="23">
        <f t="shared" si="14"/>
        <v>2.5579462368404936E-3</v>
      </c>
    </row>
    <row r="931" spans="1:6" x14ac:dyDescent="0.35">
      <c r="A931" s="22">
        <v>45845</v>
      </c>
      <c r="B931" s="24">
        <v>1992.4290000000001</v>
      </c>
      <c r="C931" s="24">
        <v>1992.4290000000001</v>
      </c>
      <c r="D931" s="24">
        <v>1992.4290000000001</v>
      </c>
      <c r="E931" s="24">
        <v>1992.4290000000001</v>
      </c>
      <c r="F931" s="23">
        <f t="shared" si="14"/>
        <v>-9.3846481208571114E-5</v>
      </c>
    </row>
    <row r="932" spans="1:6" x14ac:dyDescent="0.35">
      <c r="A932" s="22">
        <v>45846</v>
      </c>
      <c r="B932" s="24">
        <v>1992.9</v>
      </c>
      <c r="C932" s="24">
        <v>1992.9</v>
      </c>
      <c r="D932" s="24">
        <v>1992.9</v>
      </c>
      <c r="E932" s="24">
        <v>1992.9</v>
      </c>
      <c r="F932" s="23">
        <f t="shared" si="14"/>
        <v>2.3639487279095197E-4</v>
      </c>
    </row>
    <row r="933" spans="1:6" x14ac:dyDescent="0.35">
      <c r="A933" s="22">
        <v>45847</v>
      </c>
      <c r="B933" s="24">
        <v>1994.384</v>
      </c>
      <c r="C933" s="24">
        <v>1994.384</v>
      </c>
      <c r="D933" s="24">
        <v>1994.384</v>
      </c>
      <c r="E933" s="24">
        <v>1994.384</v>
      </c>
      <c r="F933" s="23">
        <f t="shared" si="14"/>
        <v>7.4464348436947337E-4</v>
      </c>
    </row>
    <row r="934" spans="1:6" x14ac:dyDescent="0.35">
      <c r="A934" s="22">
        <v>45848</v>
      </c>
      <c r="B934" s="24">
        <v>1989.098</v>
      </c>
      <c r="C934" s="24">
        <v>1989.098</v>
      </c>
      <c r="D934" s="24">
        <v>1989.098</v>
      </c>
      <c r="E934" s="24">
        <v>1989.098</v>
      </c>
      <c r="F934" s="23">
        <f t="shared" si="14"/>
        <v>-2.6504424423782272E-3</v>
      </c>
    </row>
    <row r="935" spans="1:6" x14ac:dyDescent="0.35">
      <c r="A935" s="22">
        <v>45849</v>
      </c>
      <c r="B935" s="24">
        <v>1983.2180000000001</v>
      </c>
      <c r="C935" s="24">
        <v>1983.2180000000001</v>
      </c>
      <c r="D935" s="24">
        <v>1983.2180000000001</v>
      </c>
      <c r="E935" s="24">
        <v>1983.2180000000001</v>
      </c>
      <c r="F935" s="23">
        <f t="shared" si="14"/>
        <v>-2.9561137761939743E-3</v>
      </c>
    </row>
    <row r="936" spans="1:6" x14ac:dyDescent="0.35">
      <c r="A936" s="22">
        <v>45852</v>
      </c>
      <c r="B936" s="24">
        <v>1986.37</v>
      </c>
      <c r="C936" s="24">
        <v>1986.37</v>
      </c>
      <c r="D936" s="24">
        <v>1986.37</v>
      </c>
      <c r="E936" s="24">
        <v>1986.37</v>
      </c>
      <c r="F936" s="23">
        <f t="shared" si="14"/>
        <v>1.5893361193776057E-3</v>
      </c>
    </row>
    <row r="937" spans="1:6" x14ac:dyDescent="0.35">
      <c r="A937" s="22">
        <v>45853</v>
      </c>
      <c r="B937" s="24">
        <v>1992.3720000000001</v>
      </c>
      <c r="C937" s="24">
        <v>1992.3720000000001</v>
      </c>
      <c r="D937" s="24">
        <v>1992.3720000000001</v>
      </c>
      <c r="E937" s="24">
        <v>1992.3720000000001</v>
      </c>
      <c r="F937" s="23">
        <f t="shared" si="14"/>
        <v>3.0215921505057871E-3</v>
      </c>
    </row>
    <row r="938" spans="1:6" x14ac:dyDescent="0.35">
      <c r="A938" s="22">
        <v>45854</v>
      </c>
      <c r="B938" s="24">
        <v>1993.278</v>
      </c>
      <c r="C938" s="24">
        <v>1993.278</v>
      </c>
      <c r="D938" s="24">
        <v>1993.278</v>
      </c>
      <c r="E938" s="24">
        <v>1993.278</v>
      </c>
      <c r="F938" s="23">
        <f t="shared" si="14"/>
        <v>4.5473435683695065E-4</v>
      </c>
    </row>
    <row r="939" spans="1:6" x14ac:dyDescent="0.35">
      <c r="A939" s="22">
        <v>45855</v>
      </c>
      <c r="B939" s="24">
        <v>1989.8330000000001</v>
      </c>
      <c r="C939" s="24">
        <v>1989.8330000000001</v>
      </c>
      <c r="D939" s="24">
        <v>1989.8330000000001</v>
      </c>
      <c r="E939" s="24">
        <v>1989.8330000000001</v>
      </c>
      <c r="F939" s="23">
        <f t="shared" si="14"/>
        <v>-1.7283088460314799E-3</v>
      </c>
    </row>
    <row r="940" spans="1:6" x14ac:dyDescent="0.35">
      <c r="A940" s="22">
        <v>45856</v>
      </c>
      <c r="B940" s="24">
        <v>1974.0840000000001</v>
      </c>
      <c r="C940" s="24">
        <v>1974.0840000000001</v>
      </c>
      <c r="D940" s="24">
        <v>1974.0840000000001</v>
      </c>
      <c r="E940" s="24">
        <v>1974.0840000000001</v>
      </c>
      <c r="F940" s="23">
        <f t="shared" si="14"/>
        <v>-7.9147345531006986E-3</v>
      </c>
    </row>
    <row r="941" spans="1:6" x14ac:dyDescent="0.35">
      <c r="A941" s="22">
        <v>45859</v>
      </c>
      <c r="B941" s="24">
        <v>1985.6369999999999</v>
      </c>
      <c r="C941" s="24">
        <v>1985.6369999999999</v>
      </c>
      <c r="D941" s="24">
        <v>1985.6369999999999</v>
      </c>
      <c r="E941" s="24">
        <v>1985.6369999999999</v>
      </c>
      <c r="F941" s="23">
        <f t="shared" si="14"/>
        <v>5.8523345511132677E-3</v>
      </c>
    </row>
    <row r="942" spans="1:6" x14ac:dyDescent="0.35">
      <c r="A942" s="22">
        <v>45860</v>
      </c>
      <c r="B942" s="24">
        <v>1982.952</v>
      </c>
      <c r="C942" s="24">
        <v>1982.952</v>
      </c>
      <c r="D942" s="24">
        <v>1982.952</v>
      </c>
      <c r="E942" s="24">
        <v>1982.952</v>
      </c>
      <c r="F942" s="23">
        <f t="shared" si="14"/>
        <v>-1.3522109025969728E-3</v>
      </c>
    </row>
    <row r="943" spans="1:6" x14ac:dyDescent="0.35">
      <c r="A943" s="22">
        <v>45861</v>
      </c>
      <c r="B943" s="24">
        <v>1993.6959999999999</v>
      </c>
      <c r="C943" s="24">
        <v>1993.6959999999999</v>
      </c>
      <c r="D943" s="24">
        <v>1993.6959999999999</v>
      </c>
      <c r="E943" s="24">
        <v>1993.6959999999999</v>
      </c>
      <c r="F943" s="23">
        <f t="shared" si="14"/>
        <v>5.4181846055779033E-3</v>
      </c>
    </row>
    <row r="944" spans="1:6" x14ac:dyDescent="0.35">
      <c r="A944" s="22">
        <v>45862</v>
      </c>
      <c r="B944" s="24">
        <v>1985.4960000000001</v>
      </c>
      <c r="C944" s="24">
        <v>1985.4960000000001</v>
      </c>
      <c r="D944" s="24">
        <v>1985.4960000000001</v>
      </c>
      <c r="E944" s="24">
        <v>1985.4960000000001</v>
      </c>
      <c r="F944" s="23">
        <f t="shared" si="14"/>
        <v>-4.11296406272562E-3</v>
      </c>
    </row>
    <row r="945" spans="1:6" x14ac:dyDescent="0.35">
      <c r="A945" s="22">
        <v>45863</v>
      </c>
      <c r="B945" s="24">
        <v>1975.0619999999999</v>
      </c>
      <c r="C945" s="24">
        <v>1975.0619999999999</v>
      </c>
      <c r="D945" s="24">
        <v>1975.0619999999999</v>
      </c>
      <c r="E945" s="24">
        <v>1975.0619999999999</v>
      </c>
      <c r="F945" s="23">
        <f t="shared" si="14"/>
        <v>-5.2551100581417418E-3</v>
      </c>
    </row>
    <row r="946" spans="1:6" x14ac:dyDescent="0.35">
      <c r="A946" s="22">
        <v>45866</v>
      </c>
      <c r="B946" s="24">
        <v>1964.5540000000001</v>
      </c>
      <c r="C946" s="24">
        <v>1964.5540000000001</v>
      </c>
      <c r="D946" s="24">
        <v>1964.5540000000001</v>
      </c>
      <c r="E946" s="24">
        <v>1964.5540000000001</v>
      </c>
      <c r="F946" s="23">
        <f t="shared" si="14"/>
        <v>-5.3203393108671075E-3</v>
      </c>
    </row>
    <row r="947" spans="1:6" x14ac:dyDescent="0.35">
      <c r="A947" s="22">
        <v>45867</v>
      </c>
      <c r="B947" s="24">
        <v>1972.2619999999999</v>
      </c>
      <c r="C947" s="24">
        <v>1972.2619999999999</v>
      </c>
      <c r="D947" s="24">
        <v>1972.2619999999999</v>
      </c>
      <c r="E947" s="24">
        <v>1972.2619999999999</v>
      </c>
      <c r="F947" s="23">
        <f t="shared" si="14"/>
        <v>3.9235368434768682E-3</v>
      </c>
    </row>
    <row r="948" spans="1:6" x14ac:dyDescent="0.35">
      <c r="A948" s="22">
        <v>45868</v>
      </c>
      <c r="B948" s="24">
        <v>1972.731</v>
      </c>
      <c r="C948" s="24">
        <v>1972.731</v>
      </c>
      <c r="D948" s="24">
        <v>1972.731</v>
      </c>
      <c r="E948" s="24">
        <v>1972.731</v>
      </c>
      <c r="F948" s="23">
        <f t="shared" si="14"/>
        <v>2.3779802074980452E-4</v>
      </c>
    </row>
    <row r="949" spans="1:6" x14ac:dyDescent="0.35">
      <c r="A949" s="22">
        <v>45869</v>
      </c>
      <c r="B949" s="24">
        <v>1969.163</v>
      </c>
      <c r="C949" s="24">
        <v>1969.163</v>
      </c>
      <c r="D949" s="24">
        <v>1969.163</v>
      </c>
      <c r="E949" s="24">
        <v>1969.163</v>
      </c>
      <c r="F949" s="23">
        <f t="shared" si="14"/>
        <v>-1.8086601771858321E-3</v>
      </c>
    </row>
    <row r="950" spans="1:6" x14ac:dyDescent="0.35">
      <c r="A950" s="22">
        <v>45870</v>
      </c>
      <c r="B950" s="24">
        <v>1953.6420000000001</v>
      </c>
      <c r="C950" s="24">
        <v>1953.6420000000001</v>
      </c>
      <c r="D950" s="24">
        <v>1953.6420000000001</v>
      </c>
      <c r="E950" s="24">
        <v>1953.6420000000001</v>
      </c>
      <c r="F950" s="23">
        <f t="shared" si="14"/>
        <v>-7.8820290651408532E-3</v>
      </c>
    </row>
    <row r="951" spans="1:6" x14ac:dyDescent="0.35">
      <c r="A951" s="22">
        <v>45873</v>
      </c>
      <c r="B951" s="24">
        <v>1964.0550000000001</v>
      </c>
      <c r="C951" s="24">
        <v>1964.0550000000001</v>
      </c>
      <c r="D951" s="24">
        <v>1964.0550000000001</v>
      </c>
      <c r="E951" s="24">
        <v>1964.0550000000001</v>
      </c>
      <c r="F951" s="23">
        <f t="shared" si="14"/>
        <v>5.3300451157376888E-3</v>
      </c>
    </row>
    <row r="952" spans="1:6" x14ac:dyDescent="0.35">
      <c r="A952" s="22">
        <v>45874</v>
      </c>
      <c r="B952" s="24">
        <v>1962.663</v>
      </c>
      <c r="C952" s="24">
        <v>1962.663</v>
      </c>
      <c r="D952" s="24">
        <v>1962.663</v>
      </c>
      <c r="E952" s="24">
        <v>1962.663</v>
      </c>
      <c r="F952" s="23">
        <f t="shared" si="14"/>
        <v>-7.0873778992953495E-4</v>
      </c>
    </row>
    <row r="953" spans="1:6" x14ac:dyDescent="0.35">
      <c r="A953" s="22">
        <v>45875</v>
      </c>
      <c r="B953" s="24">
        <v>1955.556</v>
      </c>
      <c r="C953" s="24">
        <v>1955.556</v>
      </c>
      <c r="D953" s="24">
        <v>1955.556</v>
      </c>
      <c r="E953" s="24">
        <v>1955.556</v>
      </c>
      <c r="F953" s="23">
        <f t="shared" si="14"/>
        <v>-3.621100514963583E-3</v>
      </c>
    </row>
    <row r="954" spans="1:6" x14ac:dyDescent="0.35">
      <c r="A954" s="22">
        <v>45876</v>
      </c>
      <c r="B954" s="24">
        <v>1960.7639999999999</v>
      </c>
      <c r="C954" s="24">
        <v>1960.7639999999999</v>
      </c>
      <c r="D954" s="24">
        <v>1960.7639999999999</v>
      </c>
      <c r="E954" s="24">
        <v>1960.7639999999999</v>
      </c>
      <c r="F954" s="23">
        <f t="shared" si="14"/>
        <v>2.663181212913287E-3</v>
      </c>
    </row>
    <row r="955" spans="1:6" x14ac:dyDescent="0.35">
      <c r="A955" s="22">
        <v>45877</v>
      </c>
      <c r="B955" s="24">
        <v>1944.7819999999999</v>
      </c>
      <c r="C955" s="24">
        <v>1944.7819999999999</v>
      </c>
      <c r="D955" s="24">
        <v>1944.7819999999999</v>
      </c>
      <c r="E955" s="24">
        <v>1944.7819999999999</v>
      </c>
      <c r="F955" s="23">
        <f t="shared" si="14"/>
        <v>-8.1509044433700183E-3</v>
      </c>
    </row>
    <row r="956" spans="1:6" x14ac:dyDescent="0.35">
      <c r="A956" s="22">
        <v>45880</v>
      </c>
      <c r="B956" s="24">
        <v>1959.895</v>
      </c>
      <c r="C956" s="24">
        <v>1959.895</v>
      </c>
      <c r="D956" s="24">
        <v>1959.895</v>
      </c>
      <c r="E956" s="24">
        <v>1959.895</v>
      </c>
      <c r="F956" s="23">
        <f t="shared" si="14"/>
        <v>7.7710509455558808E-3</v>
      </c>
    </row>
    <row r="957" spans="1:6" x14ac:dyDescent="0.35">
      <c r="A957" s="22">
        <v>45881</v>
      </c>
      <c r="B957" s="24">
        <v>1958.3620000000001</v>
      </c>
      <c r="C957" s="24">
        <v>1958.3620000000001</v>
      </c>
      <c r="D957" s="24">
        <v>1958.3620000000001</v>
      </c>
      <c r="E957" s="24">
        <v>1958.3620000000001</v>
      </c>
      <c r="F957" s="23">
        <f t="shared" si="14"/>
        <v>-7.8218475989780159E-4</v>
      </c>
    </row>
    <row r="958" spans="1:6" x14ac:dyDescent="0.35">
      <c r="A958" s="22">
        <v>45882</v>
      </c>
      <c r="B958" s="24">
        <v>1969.402</v>
      </c>
      <c r="C958" s="24">
        <v>1969.402</v>
      </c>
      <c r="D958" s="24">
        <v>1969.402</v>
      </c>
      <c r="E958" s="24">
        <v>1969.402</v>
      </c>
      <c r="F958" s="23">
        <f t="shared" si="14"/>
        <v>5.6373642870929698E-3</v>
      </c>
    </row>
    <row r="959" spans="1:6" x14ac:dyDescent="0.35">
      <c r="A959" s="22">
        <v>45883</v>
      </c>
      <c r="B959" s="24">
        <v>1970.856</v>
      </c>
      <c r="C959" s="24">
        <v>1970.856</v>
      </c>
      <c r="D959" s="24">
        <v>1970.856</v>
      </c>
      <c r="E959" s="24">
        <v>1970.856</v>
      </c>
      <c r="F959" s="23">
        <f t="shared" si="14"/>
        <v>7.3829517792708185E-4</v>
      </c>
    </row>
    <row r="960" spans="1:6" x14ac:dyDescent="0.35">
      <c r="A960" s="22">
        <v>45887</v>
      </c>
      <c r="B960" s="24">
        <v>1999.8689999999999</v>
      </c>
      <c r="C960" s="24">
        <v>1999.8689999999999</v>
      </c>
      <c r="D960" s="24">
        <v>1999.8689999999999</v>
      </c>
      <c r="E960" s="24">
        <v>1999.8689999999999</v>
      </c>
      <c r="F960" s="23">
        <f t="shared" si="14"/>
        <v>1.4721014625117167E-2</v>
      </c>
    </row>
    <row r="961" spans="1:6" x14ac:dyDescent="0.35">
      <c r="A961" s="22">
        <v>45888</v>
      </c>
      <c r="B961" s="24">
        <v>2008.952</v>
      </c>
      <c r="C961" s="24">
        <v>2008.952</v>
      </c>
      <c r="D961" s="24">
        <v>2008.952</v>
      </c>
      <c r="E961" s="24">
        <v>2008.952</v>
      </c>
      <c r="F961" s="23">
        <f t="shared" si="14"/>
        <v>4.5417974877354885E-3</v>
      </c>
    </row>
    <row r="962" spans="1:6" x14ac:dyDescent="0.35">
      <c r="A962" s="22">
        <v>45889</v>
      </c>
      <c r="B962" s="24">
        <v>2009.723</v>
      </c>
      <c r="C962" s="24">
        <v>2009.723</v>
      </c>
      <c r="D962" s="24">
        <v>2009.723</v>
      </c>
      <c r="E962" s="24">
        <v>2009.723</v>
      </c>
      <c r="F962" s="23">
        <f t="shared" si="14"/>
        <v>3.8378219091345046E-4</v>
      </c>
    </row>
    <row r="963" spans="1:6" x14ac:dyDescent="0.35">
      <c r="A963" s="22">
        <v>45890</v>
      </c>
      <c r="B963" s="24">
        <v>2011.845</v>
      </c>
      <c r="C963" s="24">
        <v>2011.845</v>
      </c>
      <c r="D963" s="24">
        <v>2011.845</v>
      </c>
      <c r="E963" s="24">
        <v>2011.845</v>
      </c>
      <c r="F963" s="23">
        <f t="shared" ref="F963:F1026" si="15">(B963-B962)/B962</f>
        <v>1.0558669030508539E-3</v>
      </c>
    </row>
    <row r="964" spans="1:6" x14ac:dyDescent="0.35">
      <c r="A964" s="22">
        <v>45891</v>
      </c>
      <c r="B964" s="24">
        <v>1998.3430000000001</v>
      </c>
      <c r="C964" s="24">
        <v>1998.3430000000001</v>
      </c>
      <c r="D964" s="24">
        <v>1998.3430000000001</v>
      </c>
      <c r="E964" s="24">
        <v>1998.3430000000001</v>
      </c>
      <c r="F964" s="23">
        <f t="shared" si="15"/>
        <v>-6.7112526064383449E-3</v>
      </c>
    </row>
    <row r="965" spans="1:6" x14ac:dyDescent="0.35">
      <c r="A965" s="22">
        <v>45894</v>
      </c>
      <c r="B965" s="24">
        <v>2003.924</v>
      </c>
      <c r="C965" s="24">
        <v>2003.924</v>
      </c>
      <c r="D965" s="24">
        <v>2003.924</v>
      </c>
      <c r="E965" s="24">
        <v>2003.924</v>
      </c>
      <c r="F965" s="23">
        <f t="shared" si="15"/>
        <v>2.7928138462715879E-3</v>
      </c>
    </row>
    <row r="966" spans="1:6" x14ac:dyDescent="0.35">
      <c r="A966" s="22">
        <v>45895</v>
      </c>
      <c r="B966" s="24">
        <v>1987.373</v>
      </c>
      <c r="C966" s="24">
        <v>1987.373</v>
      </c>
      <c r="D966" s="24">
        <v>1987.373</v>
      </c>
      <c r="E966" s="24">
        <v>1987.373</v>
      </c>
      <c r="F966" s="23">
        <f t="shared" si="15"/>
        <v>-8.2592952626945586E-3</v>
      </c>
    </row>
    <row r="967" spans="1:6" x14ac:dyDescent="0.35">
      <c r="A967" s="22">
        <v>45897</v>
      </c>
      <c r="B967" s="24">
        <v>1972.6310000000001</v>
      </c>
      <c r="C967" s="24">
        <v>1972.6310000000001</v>
      </c>
      <c r="D967" s="24">
        <v>1972.6310000000001</v>
      </c>
      <c r="E967" s="24">
        <v>1972.6310000000001</v>
      </c>
      <c r="F967" s="23">
        <f t="shared" si="15"/>
        <v>-7.4178324853965321E-3</v>
      </c>
    </row>
    <row r="968" spans="1:6" x14ac:dyDescent="0.35">
      <c r="A968" s="22">
        <v>45898</v>
      </c>
      <c r="B968" s="24">
        <v>1970.1610000000001</v>
      </c>
      <c r="C968" s="24">
        <v>1970.1610000000001</v>
      </c>
      <c r="D968" s="24">
        <v>1970.1610000000001</v>
      </c>
      <c r="E968" s="24">
        <v>1970.1610000000001</v>
      </c>
      <c r="F968" s="23">
        <f t="shared" si="15"/>
        <v>-1.2521348392071437E-3</v>
      </c>
    </row>
    <row r="969" spans="1:6" x14ac:dyDescent="0.35">
      <c r="A969" s="22">
        <v>45901</v>
      </c>
      <c r="B969" s="24">
        <v>1986.1310000000001</v>
      </c>
      <c r="C969" s="24">
        <v>1986.1310000000001</v>
      </c>
      <c r="D969" s="24">
        <v>1986.1310000000001</v>
      </c>
      <c r="E969" s="24">
        <v>1986.1310000000001</v>
      </c>
      <c r="F969" s="23">
        <f t="shared" si="15"/>
        <v>8.1059365199087925E-3</v>
      </c>
    </row>
    <row r="970" spans="1:6" x14ac:dyDescent="0.35">
      <c r="A970" s="22">
        <v>45902</v>
      </c>
      <c r="B970" s="24">
        <v>1982.8440000000001</v>
      </c>
      <c r="C970" s="24">
        <v>1982.8440000000001</v>
      </c>
      <c r="D970" s="24">
        <v>1982.8440000000001</v>
      </c>
      <c r="E970" s="24">
        <v>1982.8440000000001</v>
      </c>
      <c r="F970" s="23">
        <f t="shared" si="15"/>
        <v>-1.65497643408216E-3</v>
      </c>
    </row>
    <row r="971" spans="1:6" x14ac:dyDescent="0.35">
      <c r="A971" s="22">
        <v>45903</v>
      </c>
      <c r="B971" s="24">
        <v>1998.0989999999999</v>
      </c>
      <c r="C971" s="24">
        <v>1998.0989999999999</v>
      </c>
      <c r="D971" s="24">
        <v>1998.0989999999999</v>
      </c>
      <c r="E971" s="24">
        <v>1998.0989999999999</v>
      </c>
      <c r="F971" s="23">
        <f t="shared" si="15"/>
        <v>7.6934947983804481E-3</v>
      </c>
    </row>
    <row r="972" spans="1:6" x14ac:dyDescent="0.35">
      <c r="A972" s="22">
        <v>45904</v>
      </c>
      <c r="B972" s="24">
        <v>1991.4760000000001</v>
      </c>
      <c r="C972" s="24">
        <v>1991.4760000000001</v>
      </c>
      <c r="D972" s="24">
        <v>1991.4760000000001</v>
      </c>
      <c r="E972" s="24">
        <v>1991.4760000000001</v>
      </c>
      <c r="F972" s="23">
        <f t="shared" si="15"/>
        <v>-3.3146505753718011E-3</v>
      </c>
    </row>
    <row r="973" spans="1:6" x14ac:dyDescent="0.35">
      <c r="A973" s="22">
        <v>45905</v>
      </c>
      <c r="B973" s="24">
        <v>1995.2239999999999</v>
      </c>
      <c r="C973" s="24">
        <v>1995.2239999999999</v>
      </c>
      <c r="D973" s="24">
        <v>1995.2239999999999</v>
      </c>
      <c r="E973" s="24">
        <v>1995.2239999999999</v>
      </c>
      <c r="F973" s="23">
        <f t="shared" si="15"/>
        <v>1.88202117424454E-3</v>
      </c>
    </row>
    <row r="974" spans="1:6" x14ac:dyDescent="0.35">
      <c r="A974" s="22">
        <v>45908</v>
      </c>
      <c r="B974" s="24">
        <v>2000.1</v>
      </c>
      <c r="C974" s="24">
        <v>2000.1</v>
      </c>
      <c r="D974" s="24">
        <v>2000.1</v>
      </c>
      <c r="E974" s="24">
        <v>2000.1</v>
      </c>
      <c r="F974" s="23">
        <f t="shared" si="15"/>
        <v>2.4438358800816231E-3</v>
      </c>
    </row>
    <row r="975" spans="1:6" x14ac:dyDescent="0.35">
      <c r="A975" s="22">
        <v>45909</v>
      </c>
      <c r="B975" s="24">
        <v>2003.855</v>
      </c>
      <c r="C975" s="24">
        <v>2003.855</v>
      </c>
      <c r="D975" s="24">
        <v>2003.855</v>
      </c>
      <c r="E975" s="24">
        <v>2003.855</v>
      </c>
      <c r="F975" s="23">
        <f t="shared" si="15"/>
        <v>1.87740612969357E-3</v>
      </c>
    </row>
    <row r="976" spans="1:6" x14ac:dyDescent="0.35">
      <c r="A976" s="22">
        <v>45910</v>
      </c>
      <c r="B976" s="24">
        <v>2009.7249999999999</v>
      </c>
      <c r="C976" s="24">
        <v>2009.7249999999999</v>
      </c>
      <c r="D976" s="24">
        <v>2009.7249999999999</v>
      </c>
      <c r="E976" s="24">
        <v>2009.7249999999999</v>
      </c>
      <c r="F976" s="23">
        <f t="shared" si="15"/>
        <v>2.9293536707994793E-3</v>
      </c>
    </row>
    <row r="977" spans="1:6" x14ac:dyDescent="0.35">
      <c r="A977" s="22">
        <v>45911</v>
      </c>
      <c r="B977" s="24">
        <v>2011.0519999999999</v>
      </c>
      <c r="C977" s="24">
        <v>2011.0519999999999</v>
      </c>
      <c r="D977" s="24">
        <v>2011.0519999999999</v>
      </c>
      <c r="E977" s="24">
        <v>2011.0519999999999</v>
      </c>
      <c r="F977" s="23">
        <f t="shared" si="15"/>
        <v>6.6028934306932457E-4</v>
      </c>
    </row>
    <row r="978" spans="1:6" x14ac:dyDescent="0.35">
      <c r="A978" s="22">
        <v>45912</v>
      </c>
      <c r="B978" s="24">
        <v>2019.933</v>
      </c>
      <c r="C978" s="24">
        <v>2019.933</v>
      </c>
      <c r="D978" s="24">
        <v>2019.933</v>
      </c>
      <c r="E978" s="24">
        <v>2019.933</v>
      </c>
      <c r="F978" s="23">
        <f t="shared" si="15"/>
        <v>4.4160966499126259E-3</v>
      </c>
    </row>
    <row r="979" spans="1:6" x14ac:dyDescent="0.35">
      <c r="A979" s="22">
        <v>45915</v>
      </c>
      <c r="B979" s="24">
        <v>2019.3440000000001</v>
      </c>
      <c r="C979" s="24">
        <v>2019.3440000000001</v>
      </c>
      <c r="D979" s="24">
        <v>2019.3440000000001</v>
      </c>
      <c r="E979" s="24">
        <v>2019.3440000000001</v>
      </c>
      <c r="F979" s="23">
        <f t="shared" si="15"/>
        <v>-2.9159383009235546E-4</v>
      </c>
    </row>
    <row r="980" spans="1:6" x14ac:dyDescent="0.35">
      <c r="A980" s="22">
        <v>45916</v>
      </c>
      <c r="B980" s="24">
        <v>2037.3879999999999</v>
      </c>
      <c r="C980" s="24">
        <v>2037.3879999999999</v>
      </c>
      <c r="D980" s="24">
        <v>2037.3879999999999</v>
      </c>
      <c r="E980" s="24">
        <v>2037.3879999999999</v>
      </c>
      <c r="F980" s="23">
        <f t="shared" si="15"/>
        <v>8.9355751174638245E-3</v>
      </c>
    </row>
    <row r="981" spans="1:6" x14ac:dyDescent="0.35">
      <c r="A981" s="22">
        <v>45917</v>
      </c>
      <c r="B981" s="24">
        <v>2042.771</v>
      </c>
      <c r="C981" s="24">
        <v>2042.771</v>
      </c>
      <c r="D981" s="24">
        <v>2042.771</v>
      </c>
      <c r="E981" s="24">
        <v>2042.771</v>
      </c>
      <c r="F981" s="23">
        <f t="shared" si="15"/>
        <v>2.642108425101178E-3</v>
      </c>
    </row>
    <row r="982" spans="1:6" x14ac:dyDescent="0.35">
      <c r="A982" s="22">
        <v>45918</v>
      </c>
      <c r="B982" s="24">
        <v>2052.6460000000002</v>
      </c>
      <c r="C982" s="24">
        <v>2052.6460000000002</v>
      </c>
      <c r="D982" s="24">
        <v>2052.6460000000002</v>
      </c>
      <c r="E982" s="24">
        <v>2052.6460000000002</v>
      </c>
      <c r="F982" s="23">
        <f t="shared" si="15"/>
        <v>4.8341199282740102E-3</v>
      </c>
    </row>
    <row r="983" spans="1:6" x14ac:dyDescent="0.35">
      <c r="A983" s="22">
        <v>45919</v>
      </c>
      <c r="B983" s="24">
        <v>2051.5320000000002</v>
      </c>
      <c r="C983" s="24">
        <v>2051.5320000000002</v>
      </c>
      <c r="D983" s="24">
        <v>2051.5320000000002</v>
      </c>
      <c r="E983" s="24">
        <v>2051.5320000000002</v>
      </c>
      <c r="F983" s="23">
        <f t="shared" si="15"/>
        <v>-5.4271413580326687E-4</v>
      </c>
    </row>
    <row r="984" spans="1:6" x14ac:dyDescent="0.35">
      <c r="A984" s="22">
        <v>45922</v>
      </c>
      <c r="B984" s="24">
        <v>2042.066</v>
      </c>
      <c r="C984" s="24">
        <v>2042.066</v>
      </c>
      <c r="D984" s="24">
        <v>2042.066</v>
      </c>
      <c r="E984" s="24">
        <v>2042.066</v>
      </c>
      <c r="F984" s="23">
        <f t="shared" si="15"/>
        <v>-4.6141127703589911E-3</v>
      </c>
    </row>
    <row r="985" spans="1:6" x14ac:dyDescent="0.35">
      <c r="A985" s="22">
        <v>45923</v>
      </c>
      <c r="B985" s="24">
        <v>2043.3240000000001</v>
      </c>
      <c r="C985" s="24">
        <v>2043.3240000000001</v>
      </c>
      <c r="D985" s="24">
        <v>2043.3240000000001</v>
      </c>
      <c r="E985" s="24">
        <v>2043.3240000000001</v>
      </c>
      <c r="F985" s="23">
        <f t="shared" si="15"/>
        <v>6.1604277236878635E-4</v>
      </c>
    </row>
    <row r="986" spans="1:6" x14ac:dyDescent="0.35">
      <c r="A986" s="22">
        <v>45924</v>
      </c>
      <c r="B986" s="24">
        <v>2038.808</v>
      </c>
      <c r="C986" s="24">
        <v>2038.808</v>
      </c>
      <c r="D986" s="24">
        <v>2038.808</v>
      </c>
      <c r="E986" s="24">
        <v>2038.808</v>
      </c>
      <c r="F986" s="23">
        <f t="shared" si="15"/>
        <v>-2.2101242876803075E-3</v>
      </c>
    </row>
    <row r="987" spans="1:6" x14ac:dyDescent="0.35">
      <c r="A987" s="22">
        <v>45925</v>
      </c>
      <c r="B987" s="24">
        <v>2029.51</v>
      </c>
      <c r="C987" s="24">
        <v>2029.51</v>
      </c>
      <c r="D987" s="24">
        <v>2029.51</v>
      </c>
      <c r="E987" s="24">
        <v>2029.51</v>
      </c>
      <c r="F987" s="23">
        <f t="shared" si="15"/>
        <v>-4.5605079046187784E-3</v>
      </c>
    </row>
    <row r="988" spans="1:6" x14ac:dyDescent="0.35">
      <c r="A988" s="22">
        <v>45926</v>
      </c>
      <c r="B988" s="24">
        <v>2008.1659999999999</v>
      </c>
      <c r="C988" s="24">
        <v>2008.1659999999999</v>
      </c>
      <c r="D988" s="24">
        <v>2008.1659999999999</v>
      </c>
      <c r="E988" s="24">
        <v>2008.1659999999999</v>
      </c>
      <c r="F988" s="23">
        <f t="shared" si="15"/>
        <v>-1.0516824258072171E-2</v>
      </c>
    </row>
    <row r="989" spans="1:6" x14ac:dyDescent="0.35">
      <c r="A989" s="22">
        <v>45929</v>
      </c>
      <c r="B989" s="24">
        <v>2002.558</v>
      </c>
      <c r="C989" s="24">
        <v>2002.558</v>
      </c>
      <c r="D989" s="24">
        <v>2002.558</v>
      </c>
      <c r="E989" s="24">
        <v>2002.558</v>
      </c>
      <c r="F989" s="23">
        <f t="shared" si="15"/>
        <v>-2.7925978230883041E-3</v>
      </c>
    </row>
    <row r="990" spans="1:6" x14ac:dyDescent="0.35">
      <c r="A990" s="22">
        <v>45930</v>
      </c>
      <c r="B990" s="24">
        <v>2002.998</v>
      </c>
      <c r="C990" s="24">
        <v>2002.998</v>
      </c>
      <c r="D990" s="24">
        <v>2002.998</v>
      </c>
      <c r="E990" s="24">
        <v>2002.998</v>
      </c>
      <c r="F990" s="23">
        <f t="shared" si="15"/>
        <v>2.1971897942534227E-4</v>
      </c>
    </row>
    <row r="991" spans="1:6" x14ac:dyDescent="0.35">
      <c r="A991" s="22">
        <v>45931</v>
      </c>
      <c r="B991" s="24">
        <v>2019.9290000000001</v>
      </c>
      <c r="C991" s="24">
        <v>2019.9290000000001</v>
      </c>
      <c r="D991" s="24">
        <v>2019.9290000000001</v>
      </c>
      <c r="E991" s="24">
        <v>2019.9290000000001</v>
      </c>
      <c r="F991" s="23">
        <f t="shared" si="15"/>
        <v>8.452829209015706E-3</v>
      </c>
    </row>
    <row r="992" spans="1:6" x14ac:dyDescent="0.35">
      <c r="A992" s="22">
        <v>45933</v>
      </c>
      <c r="B992" s="24">
        <v>2026.126</v>
      </c>
      <c r="C992" s="24">
        <v>2026.126</v>
      </c>
      <c r="D992" s="24">
        <v>2026.126</v>
      </c>
      <c r="E992" s="24">
        <v>2026.126</v>
      </c>
      <c r="F992" s="23">
        <f t="shared" si="15"/>
        <v>3.067929615347811E-3</v>
      </c>
    </row>
    <row r="993" spans="1:6" x14ac:dyDescent="0.35">
      <c r="A993" s="22">
        <v>45936</v>
      </c>
      <c r="B993" s="24">
        <v>2035.644</v>
      </c>
      <c r="C993" s="24">
        <v>2035.644</v>
      </c>
      <c r="D993" s="24">
        <v>2035.644</v>
      </c>
      <c r="E993" s="24">
        <v>2035.644</v>
      </c>
      <c r="F993" s="23">
        <f t="shared" si="15"/>
        <v>4.6976347966513577E-3</v>
      </c>
    </row>
    <row r="994" spans="1:6" x14ac:dyDescent="0.35">
      <c r="A994" s="22">
        <v>45937</v>
      </c>
      <c r="B994" s="24">
        <v>2036.998</v>
      </c>
      <c r="C994" s="24">
        <v>2036.998</v>
      </c>
      <c r="D994" s="24">
        <v>2036.998</v>
      </c>
      <c r="E994" s="24">
        <v>2036.998</v>
      </c>
      <c r="F994" s="23">
        <f t="shared" si="15"/>
        <v>6.6514577205053626E-4</v>
      </c>
    </row>
    <row r="995" spans="1:6" x14ac:dyDescent="0.35">
      <c r="A995" s="22">
        <v>45938</v>
      </c>
      <c r="B995" s="24">
        <v>2030.095</v>
      </c>
      <c r="C995" s="24">
        <v>2030.095</v>
      </c>
      <c r="D995" s="24">
        <v>2030.095</v>
      </c>
      <c r="E995" s="24">
        <v>2030.095</v>
      </c>
      <c r="F995" s="23">
        <f t="shared" si="15"/>
        <v>-3.3888103964756075E-3</v>
      </c>
    </row>
    <row r="996" spans="1:6" x14ac:dyDescent="0.35">
      <c r="A996" s="22">
        <v>45939</v>
      </c>
      <c r="B996" s="24">
        <v>2037.5640000000001</v>
      </c>
      <c r="C996" s="24">
        <v>2037.5640000000001</v>
      </c>
      <c r="D996" s="24">
        <v>2037.5640000000001</v>
      </c>
      <c r="E996" s="24">
        <v>2037.5640000000001</v>
      </c>
      <c r="F996" s="23">
        <f t="shared" si="15"/>
        <v>3.6791381684108631E-3</v>
      </c>
    </row>
    <row r="997" spans="1:6" x14ac:dyDescent="0.35">
      <c r="A997" s="22">
        <v>45940</v>
      </c>
      <c r="B997" s="24">
        <v>2049.6370000000002</v>
      </c>
      <c r="C997" s="24">
        <v>2049.6370000000002</v>
      </c>
      <c r="D997" s="24">
        <v>2049.6370000000002</v>
      </c>
      <c r="E997" s="24">
        <v>2049.6370000000002</v>
      </c>
      <c r="F997" s="23">
        <f t="shared" si="15"/>
        <v>5.9252126558969886E-3</v>
      </c>
    </row>
    <row r="998" spans="1:6" x14ac:dyDescent="0.35">
      <c r="A998" s="22">
        <v>45943</v>
      </c>
      <c r="B998" s="24">
        <v>2046.8119999999999</v>
      </c>
      <c r="C998" s="24">
        <v>2046.8119999999999</v>
      </c>
      <c r="D998" s="24">
        <v>2046.8119999999999</v>
      </c>
      <c r="E998" s="24">
        <v>2046.8119999999999</v>
      </c>
      <c r="F998" s="23">
        <f t="shared" si="15"/>
        <v>-1.3782928391711667E-3</v>
      </c>
    </row>
    <row r="999" spans="1:6" x14ac:dyDescent="0.35">
      <c r="A999" s="22">
        <v>45944</v>
      </c>
      <c r="B999" s="24">
        <v>2038.2840000000001</v>
      </c>
      <c r="C999" s="24">
        <v>2038.2840000000001</v>
      </c>
      <c r="D999" s="24">
        <v>2038.2840000000001</v>
      </c>
      <c r="E999" s="24">
        <v>2038.2840000000001</v>
      </c>
      <c r="F999" s="23">
        <f t="shared" si="15"/>
        <v>-4.1664793835485591E-3</v>
      </c>
    </row>
    <row r="1000" spans="1:6" x14ac:dyDescent="0.35">
      <c r="A1000" s="22">
        <v>45945</v>
      </c>
      <c r="B1000" s="24">
        <v>2047.087</v>
      </c>
      <c r="C1000" s="24">
        <v>2047.087</v>
      </c>
      <c r="D1000" s="24">
        <v>2047.087</v>
      </c>
      <c r="E1000" s="24">
        <v>2047.087</v>
      </c>
      <c r="F1000" s="23">
        <f t="shared" si="15"/>
        <v>4.318828975746208E-3</v>
      </c>
    </row>
    <row r="1001" spans="1:6" x14ac:dyDescent="0.35">
      <c r="A1001" s="22">
        <v>45946</v>
      </c>
      <c r="B1001" s="24">
        <v>2065.3040000000001</v>
      </c>
      <c r="C1001" s="24">
        <v>2065.3040000000001</v>
      </c>
      <c r="D1001" s="24">
        <v>2065.3040000000001</v>
      </c>
      <c r="E1001" s="24">
        <v>2065.3040000000001</v>
      </c>
      <c r="F1001" s="23">
        <f t="shared" si="15"/>
        <v>8.8989867064761287E-3</v>
      </c>
    </row>
    <row r="1002" spans="1:6" x14ac:dyDescent="0.35">
      <c r="A1002" s="22">
        <v>45947</v>
      </c>
      <c r="B1002" s="24">
        <v>2068.0239999999999</v>
      </c>
      <c r="C1002" s="24">
        <v>2068.0239999999999</v>
      </c>
      <c r="D1002" s="24">
        <v>2068.0239999999999</v>
      </c>
      <c r="E1002" s="24">
        <v>2068.0239999999999</v>
      </c>
      <c r="F1002" s="23">
        <f t="shared" si="15"/>
        <v>1.3169974008667973E-3</v>
      </c>
    </row>
    <row r="1003" spans="1:6" x14ac:dyDescent="0.35">
      <c r="A1003" s="22">
        <v>45950</v>
      </c>
      <c r="B1003" s="24">
        <v>2073.0630000000001</v>
      </c>
      <c r="C1003" s="24">
        <v>2073.0630000000001</v>
      </c>
      <c r="D1003" s="24">
        <v>2073.0630000000001</v>
      </c>
      <c r="E1003" s="24">
        <v>2073.0630000000001</v>
      </c>
      <c r="F1003" s="23">
        <f t="shared" si="15"/>
        <v>2.4366254937081074E-3</v>
      </c>
    </row>
    <row r="1004" spans="1:6" x14ac:dyDescent="0.35">
      <c r="A1004" s="22">
        <v>45953</v>
      </c>
      <c r="B1004" s="24">
        <v>2077.864</v>
      </c>
      <c r="C1004" s="24">
        <v>2077.864</v>
      </c>
      <c r="D1004" s="24">
        <v>2077.864</v>
      </c>
      <c r="E1004" s="24">
        <v>2077.864</v>
      </c>
      <c r="F1004" s="23">
        <f t="shared" si="15"/>
        <v>2.3158968154850723E-3</v>
      </c>
    </row>
    <row r="1005" spans="1:6" x14ac:dyDescent="0.35">
      <c r="A1005" s="22">
        <v>45954</v>
      </c>
      <c r="B1005" s="24">
        <v>2066.614</v>
      </c>
      <c r="C1005" s="24">
        <v>2066.614</v>
      </c>
      <c r="D1005" s="24">
        <v>2066.614</v>
      </c>
      <c r="E1005" s="24">
        <v>2066.614</v>
      </c>
      <c r="F1005" s="23">
        <f t="shared" si="15"/>
        <v>-5.4142138272764723E-3</v>
      </c>
    </row>
    <row r="1006" spans="1:6" x14ac:dyDescent="0.35">
      <c r="A1006" s="22">
        <v>45957</v>
      </c>
      <c r="B1006" s="24">
        <v>2080.2170000000001</v>
      </c>
      <c r="C1006" s="24">
        <v>2080.2170000000001</v>
      </c>
      <c r="D1006" s="24">
        <v>2080.2170000000001</v>
      </c>
      <c r="E1006" s="24">
        <v>2080.2170000000001</v>
      </c>
      <c r="F1006" s="23">
        <f t="shared" si="15"/>
        <v>6.5822645157731759E-3</v>
      </c>
    </row>
    <row r="1007" spans="1:6" x14ac:dyDescent="0.35">
      <c r="A1007" s="22">
        <v>45958</v>
      </c>
      <c r="B1007" s="24">
        <v>2081.1610000000001</v>
      </c>
      <c r="C1007" s="24">
        <v>2081.1610000000001</v>
      </c>
      <c r="D1007" s="24">
        <v>2081.1610000000001</v>
      </c>
      <c r="E1007" s="24">
        <v>2081.1610000000001</v>
      </c>
      <c r="F1007" s="23">
        <f t="shared" si="15"/>
        <v>4.5379881041254826E-4</v>
      </c>
    </row>
    <row r="1008" spans="1:6" x14ac:dyDescent="0.35">
      <c r="A1008" s="22">
        <v>45959</v>
      </c>
      <c r="B1008" s="24">
        <v>2091.1779999999999</v>
      </c>
      <c r="C1008" s="24">
        <v>2091.1779999999999</v>
      </c>
      <c r="D1008" s="24">
        <v>2091.1779999999999</v>
      </c>
      <c r="E1008" s="24">
        <v>2091.1779999999999</v>
      </c>
      <c r="F1008" s="23">
        <f t="shared" si="15"/>
        <v>4.8131787977959539E-3</v>
      </c>
    </row>
    <row r="1009" spans="1:6" x14ac:dyDescent="0.35">
      <c r="A1009" s="22">
        <v>45960</v>
      </c>
      <c r="B1009" s="24">
        <v>2080.8339999999998</v>
      </c>
      <c r="C1009" s="24">
        <v>2080.8339999999998</v>
      </c>
      <c r="D1009" s="24">
        <v>2080.8339999999998</v>
      </c>
      <c r="E1009" s="24">
        <v>2080.8339999999998</v>
      </c>
      <c r="F1009" s="23">
        <f t="shared" si="15"/>
        <v>-4.9464942726061825E-3</v>
      </c>
    </row>
    <row r="1010" spans="1:6" x14ac:dyDescent="0.35">
      <c r="A1010" s="22">
        <v>45961</v>
      </c>
      <c r="B1010" s="24">
        <v>2068.8330000000001</v>
      </c>
      <c r="C1010" s="24">
        <v>2068.8330000000001</v>
      </c>
      <c r="D1010" s="24">
        <v>2068.8330000000001</v>
      </c>
      <c r="E1010" s="24">
        <v>2068.8330000000001</v>
      </c>
      <c r="F1010" s="23">
        <f t="shared" si="15"/>
        <v>-5.7673990332721163E-3</v>
      </c>
    </row>
    <row r="1011" spans="1:6" x14ac:dyDescent="0.35">
      <c r="A1011" s="22">
        <v>45964</v>
      </c>
      <c r="B1011" s="24">
        <v>2074.127</v>
      </c>
      <c r="C1011" s="24">
        <v>2074.127</v>
      </c>
      <c r="D1011" s="24">
        <v>2074.127</v>
      </c>
      <c r="E1011" s="24">
        <v>2074.127</v>
      </c>
      <c r="F1011" s="23">
        <f t="shared" si="15"/>
        <v>2.5589305661693662E-3</v>
      </c>
    </row>
    <row r="1012" spans="1:6" x14ac:dyDescent="0.35">
      <c r="A1012" s="22">
        <v>45965</v>
      </c>
      <c r="B1012" s="24">
        <v>2062.4160000000002</v>
      </c>
      <c r="C1012" s="24">
        <v>2062.4160000000002</v>
      </c>
      <c r="D1012" s="24">
        <v>2062.4160000000002</v>
      </c>
      <c r="E1012" s="24">
        <v>2062.4160000000002</v>
      </c>
      <c r="F1012" s="23">
        <f t="shared" si="15"/>
        <v>-5.6462309202858774E-3</v>
      </c>
    </row>
    <row r="1013" spans="1:6" x14ac:dyDescent="0.35">
      <c r="A1013" s="22">
        <v>45967</v>
      </c>
      <c r="B1013" s="24">
        <v>2049.587</v>
      </c>
      <c r="C1013" s="24">
        <v>2049.587</v>
      </c>
      <c r="D1013" s="24">
        <v>2049.587</v>
      </c>
      <c r="E1013" s="24">
        <v>2049.587</v>
      </c>
      <c r="F1013" s="23">
        <f t="shared" si="15"/>
        <v>-6.220374551012103E-3</v>
      </c>
    </row>
    <row r="1014" spans="1:6" x14ac:dyDescent="0.35">
      <c r="A1014" s="22">
        <v>45968</v>
      </c>
      <c r="B1014" s="24">
        <v>2049.5610000000001</v>
      </c>
      <c r="C1014" s="24">
        <v>2049.5610000000001</v>
      </c>
      <c r="D1014" s="24">
        <v>2049.5610000000001</v>
      </c>
      <c r="E1014" s="24">
        <v>2049.5610000000001</v>
      </c>
      <c r="F1014" s="23">
        <f t="shared" si="15"/>
        <v>-1.2685482489808887E-5</v>
      </c>
    </row>
    <row r="1015" spans="1:6" x14ac:dyDescent="0.35">
      <c r="A1015" s="22">
        <v>45971</v>
      </c>
      <c r="B1015" s="24">
        <v>2053.9059999999999</v>
      </c>
      <c r="C1015" s="24">
        <v>2053.9059999999999</v>
      </c>
      <c r="D1015" s="24">
        <v>2053.9059999999999</v>
      </c>
      <c r="E1015" s="24">
        <v>2053.9059999999999</v>
      </c>
      <c r="F1015" s="23">
        <f t="shared" si="15"/>
        <v>2.1199661781229249E-3</v>
      </c>
    </row>
    <row r="1016" spans="1:6" x14ac:dyDescent="0.35">
      <c r="A1016" s="22">
        <v>45972</v>
      </c>
      <c r="B1016" s="24">
        <v>2060.0819999999999</v>
      </c>
      <c r="C1016" s="24">
        <v>2060.0819999999999</v>
      </c>
      <c r="D1016" s="24">
        <v>2060.0819999999999</v>
      </c>
      <c r="E1016" s="24">
        <v>2060.0819999999999</v>
      </c>
      <c r="F1016" s="23">
        <f t="shared" si="15"/>
        <v>3.0069535801540729E-3</v>
      </c>
    </row>
    <row r="1017" spans="1:6" x14ac:dyDescent="0.35">
      <c r="A1017" s="22">
        <v>45973</v>
      </c>
      <c r="B1017" s="24">
        <v>2064.4189999999999</v>
      </c>
      <c r="C1017" s="24">
        <v>2064.4189999999999</v>
      </c>
      <c r="D1017" s="24">
        <v>2064.4189999999999</v>
      </c>
      <c r="E1017" s="24">
        <v>2064.4189999999999</v>
      </c>
      <c r="F1017" s="23">
        <f t="shared" si="15"/>
        <v>2.1052560043726362E-3</v>
      </c>
    </row>
    <row r="1018" spans="1:6" x14ac:dyDescent="0.35">
      <c r="A1018" s="22">
        <v>45974</v>
      </c>
      <c r="B1018" s="24">
        <v>2066.951</v>
      </c>
      <c r="C1018" s="24">
        <v>2066.951</v>
      </c>
      <c r="D1018" s="24">
        <v>2066.951</v>
      </c>
      <c r="E1018" s="24">
        <v>2066.951</v>
      </c>
      <c r="F1018" s="23">
        <f t="shared" si="15"/>
        <v>1.2264952027665667E-3</v>
      </c>
    </row>
    <row r="1019" spans="1:6" x14ac:dyDescent="0.35">
      <c r="A1019" s="22">
        <v>45975</v>
      </c>
      <c r="B1019" s="24">
        <v>2066.3240000000001</v>
      </c>
      <c r="C1019" s="24">
        <v>2066.3240000000001</v>
      </c>
      <c r="D1019" s="24">
        <v>2066.3240000000001</v>
      </c>
      <c r="E1019" s="24">
        <v>2066.3240000000001</v>
      </c>
      <c r="F1019" s="23">
        <f t="shared" si="15"/>
        <v>-3.0334536232351549E-4</v>
      </c>
    </row>
    <row r="1020" spans="1:6" x14ac:dyDescent="0.35">
      <c r="A1020" s="22">
        <v>45978</v>
      </c>
      <c r="B1020" s="24">
        <v>2077.39</v>
      </c>
      <c r="C1020" s="24">
        <v>2077.39</v>
      </c>
      <c r="D1020" s="24">
        <v>2077.39</v>
      </c>
      <c r="E1020" s="24">
        <v>2077.39</v>
      </c>
      <c r="F1020" s="23">
        <f t="shared" si="15"/>
        <v>5.3554040895812099E-3</v>
      </c>
    </row>
    <row r="1021" spans="1:6" x14ac:dyDescent="0.35">
      <c r="A1021" s="22">
        <v>45979</v>
      </c>
      <c r="B1021" s="24">
        <v>2072.7620000000002</v>
      </c>
      <c r="C1021" s="24">
        <v>2072.7620000000002</v>
      </c>
      <c r="D1021" s="24">
        <v>2072.7620000000002</v>
      </c>
      <c r="E1021" s="24">
        <v>2072.7620000000002</v>
      </c>
      <c r="F1021" s="23">
        <f t="shared" si="15"/>
        <v>-2.2277954548735202E-3</v>
      </c>
    </row>
    <row r="1022" spans="1:6" x14ac:dyDescent="0.35">
      <c r="A1022" s="22">
        <v>45980</v>
      </c>
      <c r="B1022" s="24">
        <v>2083.16</v>
      </c>
      <c r="C1022" s="24">
        <v>2083.16</v>
      </c>
      <c r="D1022" s="24">
        <v>2083.16</v>
      </c>
      <c r="E1022" s="24">
        <v>2083.16</v>
      </c>
      <c r="F1022" s="23">
        <f t="shared" si="15"/>
        <v>5.0164948990765379E-3</v>
      </c>
    </row>
    <row r="1023" spans="1:6" x14ac:dyDescent="0.35">
      <c r="A1023" s="22">
        <v>45981</v>
      </c>
      <c r="B1023" s="24">
        <v>2087.453</v>
      </c>
      <c r="C1023" s="24">
        <v>2087.453</v>
      </c>
      <c r="D1023" s="24">
        <v>2087.453</v>
      </c>
      <c r="E1023" s="24">
        <v>2087.453</v>
      </c>
      <c r="F1023" s="23">
        <f t="shared" si="15"/>
        <v>2.0608114595134894E-3</v>
      </c>
    </row>
    <row r="1024" spans="1:6" x14ac:dyDescent="0.35">
      <c r="A1024" s="22">
        <v>45982</v>
      </c>
      <c r="B1024" s="24">
        <v>2074.866</v>
      </c>
      <c r="C1024" s="24">
        <v>2074.866</v>
      </c>
      <c r="D1024" s="24">
        <v>2074.866</v>
      </c>
      <c r="E1024" s="24">
        <v>2074.866</v>
      </c>
      <c r="F1024" s="23">
        <f t="shared" si="15"/>
        <v>-6.02983636038751E-3</v>
      </c>
    </row>
    <row r="1025" spans="1:6" x14ac:dyDescent="0.35">
      <c r="A1025" s="22">
        <v>45985</v>
      </c>
      <c r="B1025" s="24">
        <v>2070.7579999999998</v>
      </c>
      <c r="C1025" s="24">
        <v>2070.7579999999998</v>
      </c>
      <c r="D1025" s="24">
        <v>2070.7579999999998</v>
      </c>
      <c r="E1025" s="24">
        <v>2070.7579999999998</v>
      </c>
      <c r="F1025" s="23">
        <f t="shared" si="15"/>
        <v>-1.9798868939007023E-3</v>
      </c>
    </row>
    <row r="1026" spans="1:6" x14ac:dyDescent="0.35">
      <c r="A1026" s="22">
        <v>45986</v>
      </c>
      <c r="B1026" s="24">
        <v>2067.2849999999999</v>
      </c>
      <c r="C1026" s="24">
        <v>2067.2849999999999</v>
      </c>
      <c r="D1026" s="24">
        <v>2067.2849999999999</v>
      </c>
      <c r="E1026" s="24">
        <v>2067.2849999999999</v>
      </c>
      <c r="F1026" s="23">
        <f t="shared" si="15"/>
        <v>-1.6771636280047966E-3</v>
      </c>
    </row>
    <row r="1027" spans="1:6" x14ac:dyDescent="0.35">
      <c r="A1027" s="22">
        <v>45987</v>
      </c>
      <c r="B1027" s="24">
        <v>2084.3690000000001</v>
      </c>
      <c r="C1027" s="24">
        <v>2084.3690000000001</v>
      </c>
      <c r="D1027" s="24">
        <v>2084.3690000000001</v>
      </c>
      <c r="E1027" s="24">
        <v>2084.3690000000001</v>
      </c>
      <c r="F1027" s="23">
        <f t="shared" ref="F1027:F1090" si="16">(B1027-B1026)/B1026</f>
        <v>8.2639790836775227E-3</v>
      </c>
    </row>
    <row r="1028" spans="1:6" x14ac:dyDescent="0.35">
      <c r="A1028" s="22">
        <v>45988</v>
      </c>
      <c r="B1028" s="24">
        <v>2081.9609999999998</v>
      </c>
      <c r="C1028" s="24">
        <v>2081.9609999999998</v>
      </c>
      <c r="D1028" s="24">
        <v>2081.9609999999998</v>
      </c>
      <c r="E1028" s="24">
        <v>2081.9609999999998</v>
      </c>
      <c r="F1028" s="23">
        <f t="shared" si="16"/>
        <v>-1.1552656943182116E-3</v>
      </c>
    </row>
    <row r="1029" spans="1:6" x14ac:dyDescent="0.35">
      <c r="A1029" s="22">
        <v>45989</v>
      </c>
      <c r="B1029" s="24">
        <v>2078.8119999999999</v>
      </c>
      <c r="C1029" s="24">
        <v>2078.8119999999999</v>
      </c>
      <c r="D1029" s="24">
        <v>2078.8119999999999</v>
      </c>
      <c r="E1029" s="24">
        <v>2078.8119999999999</v>
      </c>
      <c r="F1029" s="23">
        <f t="shared" si="16"/>
        <v>-1.5125163247533876E-3</v>
      </c>
    </row>
    <row r="1030" spans="1:6" x14ac:dyDescent="0.35">
      <c r="A1030" s="22">
        <v>45992</v>
      </c>
      <c r="B1030" s="24">
        <v>2082.7130000000002</v>
      </c>
      <c r="C1030" s="24">
        <v>2082.7130000000002</v>
      </c>
      <c r="D1030" s="24">
        <v>2082.7130000000002</v>
      </c>
      <c r="E1030" s="24">
        <v>2082.7130000000002</v>
      </c>
      <c r="F1030" s="23">
        <f t="shared" si="16"/>
        <v>1.8765525694484613E-3</v>
      </c>
    </row>
    <row r="1031" spans="1:6" x14ac:dyDescent="0.35">
      <c r="A1031" s="22">
        <v>45993</v>
      </c>
      <c r="B1031" s="24">
        <v>2074.2759999999998</v>
      </c>
      <c r="C1031" s="24">
        <v>2074.2759999999998</v>
      </c>
      <c r="D1031" s="24">
        <v>2074.2759999999998</v>
      </c>
      <c r="E1031" s="24">
        <v>2074.2759999999998</v>
      </c>
      <c r="F1031" s="23">
        <f t="shared" si="16"/>
        <v>-4.050966215700556E-3</v>
      </c>
    </row>
    <row r="1032" spans="1:6" x14ac:dyDescent="0.35">
      <c r="A1032" s="22">
        <v>45994</v>
      </c>
      <c r="B1032" s="24">
        <v>2073.0100000000002</v>
      </c>
      <c r="C1032" s="24">
        <v>2073.0100000000002</v>
      </c>
      <c r="D1032" s="24">
        <v>2073.0100000000002</v>
      </c>
      <c r="E1032" s="24">
        <v>2073.0100000000002</v>
      </c>
      <c r="F1032" s="23">
        <f t="shared" si="16"/>
        <v>-6.1033343682307545E-4</v>
      </c>
    </row>
    <row r="1033" spans="1:6" x14ac:dyDescent="0.35">
      <c r="A1033" s="22">
        <v>45995</v>
      </c>
      <c r="B1033" s="24">
        <v>2074.5590000000002</v>
      </c>
      <c r="C1033" s="24">
        <v>2074.5590000000002</v>
      </c>
      <c r="D1033" s="24">
        <v>2074.5590000000002</v>
      </c>
      <c r="E1033" s="24">
        <v>2074.5590000000002</v>
      </c>
      <c r="F1033" s="23">
        <f t="shared" si="16"/>
        <v>7.4722263761389384E-4</v>
      </c>
    </row>
    <row r="1034" spans="1:6" x14ac:dyDescent="0.35">
      <c r="A1034" s="22">
        <v>45996</v>
      </c>
      <c r="B1034" s="24">
        <v>2083.636</v>
      </c>
      <c r="C1034" s="24">
        <v>2083.636</v>
      </c>
      <c r="D1034" s="24">
        <v>2083.636</v>
      </c>
      <c r="E1034" s="24">
        <v>2083.636</v>
      </c>
      <c r="F1034" s="23">
        <f t="shared" si="16"/>
        <v>4.3753877330072414E-3</v>
      </c>
    </row>
    <row r="1035" spans="1:6" x14ac:dyDescent="0.35">
      <c r="A1035" s="22">
        <v>45999</v>
      </c>
      <c r="B1035" s="24">
        <v>2063.7139999999999</v>
      </c>
      <c r="C1035" s="24">
        <v>2063.7139999999999</v>
      </c>
      <c r="D1035" s="24">
        <v>2063.7139999999999</v>
      </c>
      <c r="E1035" s="24">
        <v>2063.7139999999999</v>
      </c>
      <c r="F1035" s="23">
        <f t="shared" si="16"/>
        <v>-9.5611709530839476E-3</v>
      </c>
    </row>
    <row r="1036" spans="1:6" x14ac:dyDescent="0.35">
      <c r="A1036" s="22">
        <v>46000</v>
      </c>
      <c r="B1036" s="24">
        <v>2058.241</v>
      </c>
      <c r="C1036" s="24">
        <v>2058.241</v>
      </c>
      <c r="D1036" s="24">
        <v>2058.241</v>
      </c>
      <c r="E1036" s="24">
        <v>2058.241</v>
      </c>
      <c r="F1036" s="23">
        <f t="shared" si="16"/>
        <v>-2.6520147656118806E-3</v>
      </c>
    </row>
    <row r="1037" spans="1:6" x14ac:dyDescent="0.35">
      <c r="A1037" s="22">
        <v>46001</v>
      </c>
      <c r="B1037" s="24">
        <v>2053.3809999999999</v>
      </c>
      <c r="C1037" s="24">
        <v>2053.3809999999999</v>
      </c>
      <c r="D1037" s="24">
        <v>2053.3809999999999</v>
      </c>
      <c r="E1037" s="24">
        <v>2053.3809999999999</v>
      </c>
      <c r="F1037" s="23">
        <f t="shared" si="16"/>
        <v>-2.3612395244289311E-3</v>
      </c>
    </row>
    <row r="1038" spans="1:6" x14ac:dyDescent="0.35">
      <c r="A1038" s="22">
        <v>46002</v>
      </c>
      <c r="B1038" s="24">
        <v>2062.7550000000001</v>
      </c>
      <c r="C1038" s="24">
        <v>2062.7550000000001</v>
      </c>
      <c r="D1038" s="24">
        <v>2062.7550000000001</v>
      </c>
      <c r="E1038" s="24">
        <v>2062.7550000000001</v>
      </c>
      <c r="F1038" s="23">
        <f t="shared" si="16"/>
        <v>4.5651537634760677E-3</v>
      </c>
    </row>
    <row r="1039" spans="1:6" x14ac:dyDescent="0.35">
      <c r="A1039" s="22">
        <v>46003</v>
      </c>
      <c r="B1039" s="24">
        <v>2073.2809999999999</v>
      </c>
      <c r="C1039" s="24">
        <v>2073.2809999999999</v>
      </c>
      <c r="D1039" s="24">
        <v>2073.2809999999999</v>
      </c>
      <c r="E1039" s="24">
        <v>2073.2809999999999</v>
      </c>
      <c r="F1039" s="23">
        <f t="shared" si="16"/>
        <v>5.1028842494624128E-3</v>
      </c>
    </row>
    <row r="1040" spans="1:6" x14ac:dyDescent="0.35">
      <c r="A1040" s="22">
        <v>46006</v>
      </c>
      <c r="B1040" s="24">
        <v>2069.413</v>
      </c>
      <c r="C1040" s="24">
        <v>2069.413</v>
      </c>
      <c r="D1040" s="24">
        <v>2069.413</v>
      </c>
      <c r="E1040" s="24">
        <v>2069.413</v>
      </c>
      <c r="F1040" s="23">
        <f t="shared" si="16"/>
        <v>-1.8656419462677457E-3</v>
      </c>
    </row>
    <row r="1041" spans="1:6" x14ac:dyDescent="0.35">
      <c r="A1041" s="22">
        <v>46007</v>
      </c>
      <c r="B1041" s="24">
        <v>2053</v>
      </c>
      <c r="C1041" s="24">
        <v>2053</v>
      </c>
      <c r="D1041" s="24">
        <v>2053</v>
      </c>
      <c r="E1041" s="24">
        <v>2053</v>
      </c>
      <c r="F1041" s="23">
        <f t="shared" si="16"/>
        <v>-7.931234606141941E-3</v>
      </c>
    </row>
    <row r="1042" spans="1:6" x14ac:dyDescent="0.35">
      <c r="A1042" s="22">
        <v>46008</v>
      </c>
      <c r="B1042" s="24">
        <v>2049.0920000000001</v>
      </c>
      <c r="C1042" s="24">
        <v>2049.0920000000001</v>
      </c>
      <c r="D1042" s="24">
        <v>2049.0920000000001</v>
      </c>
      <c r="E1042" s="24">
        <v>2049.0920000000001</v>
      </c>
      <c r="F1042" s="23">
        <f t="shared" si="16"/>
        <v>-1.9035557720408678E-3</v>
      </c>
    </row>
    <row r="1043" spans="1:6" x14ac:dyDescent="0.35">
      <c r="A1043" s="22">
        <v>46009</v>
      </c>
      <c r="B1043" s="24">
        <v>2047.7529999999999</v>
      </c>
      <c r="C1043" s="24">
        <v>2047.7529999999999</v>
      </c>
      <c r="D1043" s="24">
        <v>2047.7529999999999</v>
      </c>
      <c r="E1043" s="24">
        <v>2047.7529999999999</v>
      </c>
      <c r="F1043" s="23">
        <f t="shared" si="16"/>
        <v>-6.5346016674710996E-4</v>
      </c>
    </row>
    <row r="1044" spans="1:6" x14ac:dyDescent="0.35">
      <c r="A1044" s="22">
        <v>46010</v>
      </c>
      <c r="B1044" s="24">
        <v>2058.0590000000002</v>
      </c>
      <c r="C1044" s="24">
        <v>2058.0590000000002</v>
      </c>
      <c r="D1044" s="24">
        <v>2058.0590000000002</v>
      </c>
      <c r="E1044" s="24">
        <v>2058.0590000000002</v>
      </c>
      <c r="F1044" s="23">
        <f t="shared" si="16"/>
        <v>5.0328335497495389E-3</v>
      </c>
    </row>
    <row r="1045" spans="1:6" x14ac:dyDescent="0.35">
      <c r="A1045" s="22">
        <v>46013</v>
      </c>
      <c r="B1045" s="24">
        <v>2068.8069999999998</v>
      </c>
      <c r="C1045" s="24">
        <v>2068.8069999999998</v>
      </c>
      <c r="D1045" s="24">
        <v>2068.8069999999998</v>
      </c>
      <c r="E1045" s="24">
        <v>2068.8069999999998</v>
      </c>
      <c r="F1045" s="23">
        <f t="shared" si="16"/>
        <v>5.222396442473025E-3</v>
      </c>
    </row>
    <row r="1046" spans="1:6" x14ac:dyDescent="0.35">
      <c r="A1046" s="22">
        <v>46014</v>
      </c>
      <c r="B1046" s="24">
        <v>2069.4369999999999</v>
      </c>
      <c r="C1046" s="24">
        <v>2069.4369999999999</v>
      </c>
      <c r="D1046" s="24">
        <v>2069.4369999999999</v>
      </c>
      <c r="E1046" s="24">
        <v>2069.4369999999999</v>
      </c>
      <c r="F1046" s="23">
        <f t="shared" si="16"/>
        <v>3.0452333156263933E-4</v>
      </c>
    </row>
    <row r="1047" spans="1:6" x14ac:dyDescent="0.35">
      <c r="A1047" s="22">
        <v>46015</v>
      </c>
      <c r="B1047" s="24">
        <v>2066.9949999999999</v>
      </c>
      <c r="C1047" s="24">
        <v>2066.9949999999999</v>
      </c>
      <c r="D1047" s="24">
        <v>2066.9949999999999</v>
      </c>
      <c r="E1047" s="24">
        <v>2066.9949999999999</v>
      </c>
      <c r="F1047" s="23">
        <f t="shared" si="16"/>
        <v>-1.1800310905816448E-3</v>
      </c>
    </row>
    <row r="1048" spans="1:6" x14ac:dyDescent="0.35">
      <c r="A1048" s="22">
        <v>46017</v>
      </c>
      <c r="B1048" s="24">
        <v>2060.7539999999999</v>
      </c>
      <c r="C1048" s="24">
        <v>2060.7539999999999</v>
      </c>
      <c r="D1048" s="24">
        <v>2060.7539999999999</v>
      </c>
      <c r="E1048" s="24">
        <v>2060.7539999999999</v>
      </c>
      <c r="F1048" s="23">
        <f t="shared" si="16"/>
        <v>-3.0193590211877561E-3</v>
      </c>
    </row>
    <row r="1049" spans="1:6" x14ac:dyDescent="0.35">
      <c r="A1049" s="22">
        <v>46020</v>
      </c>
      <c r="B1049" s="24">
        <v>2053.3130000000001</v>
      </c>
      <c r="C1049" s="24">
        <v>2053.3130000000001</v>
      </c>
      <c r="D1049" s="24">
        <v>2053.3130000000001</v>
      </c>
      <c r="E1049" s="24">
        <v>2053.3130000000001</v>
      </c>
      <c r="F1049" s="23">
        <f t="shared" si="16"/>
        <v>-3.6108142941854312E-3</v>
      </c>
    </row>
    <row r="1050" spans="1:6" x14ac:dyDescent="0.35">
      <c r="A1050" s="22">
        <v>46021</v>
      </c>
      <c r="B1050" s="24">
        <v>2054.3319999999999</v>
      </c>
      <c r="C1050" s="24">
        <v>2054.3319999999999</v>
      </c>
      <c r="D1050" s="24">
        <v>2054.3319999999999</v>
      </c>
      <c r="E1050" s="24">
        <v>2054.3319999999999</v>
      </c>
      <c r="F1050" s="23">
        <f t="shared" si="16"/>
        <v>4.9627114813950821E-4</v>
      </c>
    </row>
    <row r="1051" spans="1:6" x14ac:dyDescent="0.35">
      <c r="A1051" s="22">
        <v>46022</v>
      </c>
      <c r="B1051" s="24">
        <v>2072.3490000000002</v>
      </c>
      <c r="C1051" s="24">
        <v>2072.3490000000002</v>
      </c>
      <c r="D1051" s="24">
        <v>2072.3490000000002</v>
      </c>
      <c r="E1051" s="24">
        <v>2072.3490000000002</v>
      </c>
      <c r="F1051" s="23">
        <f t="shared" si="16"/>
        <v>8.7702474575678518E-3</v>
      </c>
    </row>
    <row r="1052" spans="1:6" x14ac:dyDescent="0.35">
      <c r="A1052" s="22">
        <v>46023</v>
      </c>
      <c r="B1052" s="24">
        <v>2078.4580000000001</v>
      </c>
      <c r="C1052" s="24">
        <v>2078.4580000000001</v>
      </c>
      <c r="D1052" s="24">
        <v>2078.4580000000001</v>
      </c>
      <c r="E1052" s="24">
        <v>2078.4580000000001</v>
      </c>
      <c r="F1052" s="23">
        <f t="shared" si="16"/>
        <v>2.9478625463181746E-3</v>
      </c>
    </row>
    <row r="1053" spans="1:6" x14ac:dyDescent="0.35">
      <c r="A1053" s="22">
        <v>46024</v>
      </c>
      <c r="B1053" s="24">
        <v>2091.011</v>
      </c>
      <c r="C1053" s="24">
        <v>2091.011</v>
      </c>
      <c r="D1053" s="24">
        <v>2091.011</v>
      </c>
      <c r="E1053" s="24">
        <v>2091.011</v>
      </c>
      <c r="F1053" s="23">
        <f t="shared" si="16"/>
        <v>6.0395735684819624E-3</v>
      </c>
    </row>
    <row r="1054" spans="1:6" x14ac:dyDescent="0.35">
      <c r="A1054" s="22">
        <v>46027</v>
      </c>
      <c r="B1054" s="24">
        <v>2094.3249999999998</v>
      </c>
      <c r="C1054" s="24">
        <v>2094.3249999999998</v>
      </c>
      <c r="D1054" s="24">
        <v>2094.3249999999998</v>
      </c>
      <c r="E1054" s="24">
        <v>2094.3249999999998</v>
      </c>
      <c r="F1054" s="23">
        <f t="shared" si="16"/>
        <v>1.5848792761012978E-3</v>
      </c>
    </row>
    <row r="1055" spans="1:6" x14ac:dyDescent="0.35">
      <c r="A1055" s="22">
        <v>46028</v>
      </c>
      <c r="B1055" s="24">
        <v>2100.1529999999998</v>
      </c>
      <c r="C1055" s="24">
        <v>2100.1529999999998</v>
      </c>
      <c r="D1055" s="24">
        <v>2100.1529999999998</v>
      </c>
      <c r="E1055" s="24">
        <v>2100.1529999999998</v>
      </c>
      <c r="F1055" s="23">
        <f t="shared" si="16"/>
        <v>2.7827581679061154E-3</v>
      </c>
    </row>
    <row r="1056" spans="1:6" x14ac:dyDescent="0.35">
      <c r="A1056" s="22">
        <v>46029</v>
      </c>
      <c r="B1056" s="24">
        <v>2095.9839999999999</v>
      </c>
      <c r="C1056" s="24">
        <v>2095.9839999999999</v>
      </c>
      <c r="D1056" s="24">
        <v>2095.9839999999999</v>
      </c>
      <c r="E1056" s="24">
        <v>2095.9839999999999</v>
      </c>
      <c r="F1056" s="23">
        <f t="shared" si="16"/>
        <v>-1.985093466999723E-3</v>
      </c>
    </row>
    <row r="1057" spans="1:6" x14ac:dyDescent="0.35">
      <c r="A1057" s="22">
        <v>46030</v>
      </c>
      <c r="B1057" s="24">
        <v>2080.0590000000002</v>
      </c>
      <c r="C1057" s="24">
        <v>2080.0590000000002</v>
      </c>
      <c r="D1057" s="24">
        <v>2080.0590000000002</v>
      </c>
      <c r="E1057" s="24">
        <v>2080.0590000000002</v>
      </c>
      <c r="F1057" s="23">
        <f t="shared" si="16"/>
        <v>-7.5978633424681336E-3</v>
      </c>
    </row>
    <row r="1058" spans="1:6" x14ac:dyDescent="0.35">
      <c r="A1058" s="22">
        <v>46031</v>
      </c>
      <c r="B1058" s="24">
        <v>2064.4670000000001</v>
      </c>
      <c r="C1058" s="24">
        <v>2064.4670000000001</v>
      </c>
      <c r="D1058" s="24">
        <v>2064.4670000000001</v>
      </c>
      <c r="E1058" s="24">
        <v>2064.4670000000001</v>
      </c>
      <c r="F1058" s="23">
        <f t="shared" si="16"/>
        <v>-7.4959412208981079E-3</v>
      </c>
    </row>
    <row r="1059" spans="1:6" x14ac:dyDescent="0.35">
      <c r="A1059" s="22">
        <v>46034</v>
      </c>
      <c r="B1059" s="24">
        <v>2069.0889999999999</v>
      </c>
      <c r="C1059" s="24">
        <v>2069.0889999999999</v>
      </c>
      <c r="D1059" s="24">
        <v>2069.0889999999999</v>
      </c>
      <c r="E1059" s="24">
        <v>2069.0889999999999</v>
      </c>
      <c r="F1059" s="23">
        <f t="shared" si="16"/>
        <v>2.2388345272653151E-3</v>
      </c>
    </row>
    <row r="1060" spans="1:6" x14ac:dyDescent="0.35">
      <c r="A1060" s="22">
        <v>46035</v>
      </c>
      <c r="B1060" s="24">
        <v>2072.7640000000001</v>
      </c>
      <c r="C1060" s="24">
        <v>2072.7640000000001</v>
      </c>
      <c r="D1060" s="24">
        <v>2072.7640000000001</v>
      </c>
      <c r="E1060" s="24">
        <v>2072.7640000000001</v>
      </c>
      <c r="F1060" s="23">
        <f t="shared" si="16"/>
        <v>1.7761439938060576E-3</v>
      </c>
    </row>
    <row r="1061" spans="1:6" x14ac:dyDescent="0.35">
      <c r="A1061" s="22">
        <v>46036</v>
      </c>
      <c r="B1061" s="24">
        <v>2070.857</v>
      </c>
      <c r="C1061" s="24">
        <v>2070.857</v>
      </c>
      <c r="D1061" s="24">
        <v>2070.857</v>
      </c>
      <c r="E1061" s="24">
        <v>2070.857</v>
      </c>
      <c r="F1061" s="23">
        <f t="shared" si="16"/>
        <v>-9.2002755740651257E-4</v>
      </c>
    </row>
    <row r="1062" spans="1:6" x14ac:dyDescent="0.35">
      <c r="A1062" s="22">
        <v>46038</v>
      </c>
      <c r="B1062" s="24">
        <v>2070.4760000000001</v>
      </c>
      <c r="C1062" s="24">
        <v>2070.4760000000001</v>
      </c>
      <c r="D1062" s="24">
        <v>2070.4760000000001</v>
      </c>
      <c r="E1062" s="24">
        <v>2070.4760000000001</v>
      </c>
      <c r="F1062" s="23">
        <f t="shared" si="16"/>
        <v>-1.8398180077130294E-4</v>
      </c>
    </row>
    <row r="1063" spans="1:6" x14ac:dyDescent="0.35">
      <c r="A1063" s="22">
        <v>46041</v>
      </c>
      <c r="B1063" s="24">
        <v>2065.585</v>
      </c>
      <c r="C1063" s="24">
        <v>2065.585</v>
      </c>
      <c r="D1063" s="24">
        <v>2065.585</v>
      </c>
      <c r="E1063" s="24">
        <v>2065.585</v>
      </c>
      <c r="F1063" s="23">
        <f t="shared" si="16"/>
        <v>-2.3622587269787605E-3</v>
      </c>
    </row>
    <row r="1064" spans="1:6" x14ac:dyDescent="0.35">
      <c r="A1064" s="22">
        <v>46042</v>
      </c>
      <c r="B1064" s="24">
        <v>2044.057</v>
      </c>
      <c r="C1064" s="24">
        <v>2044.057</v>
      </c>
      <c r="D1064" s="24">
        <v>2044.057</v>
      </c>
      <c r="E1064" s="24">
        <v>2044.057</v>
      </c>
      <c r="F1064" s="23">
        <f t="shared" si="16"/>
        <v>-1.0422229053754757E-2</v>
      </c>
    </row>
    <row r="1065" spans="1:6" x14ac:dyDescent="0.35">
      <c r="A1065" s="22">
        <v>46043</v>
      </c>
      <c r="B1065" s="24">
        <v>2033.877</v>
      </c>
      <c r="C1065" s="24">
        <v>2033.877</v>
      </c>
      <c r="D1065" s="24">
        <v>2033.877</v>
      </c>
      <c r="E1065" s="24">
        <v>2033.877</v>
      </c>
      <c r="F1065" s="23">
        <f t="shared" si="16"/>
        <v>-4.9802916454874122E-3</v>
      </c>
    </row>
    <row r="1066" spans="1:6" x14ac:dyDescent="0.35">
      <c r="A1066" s="22">
        <v>46044</v>
      </c>
      <c r="B1066" s="24">
        <v>2041.4259999999999</v>
      </c>
      <c r="C1066" s="24">
        <v>2041.4259999999999</v>
      </c>
      <c r="D1066" s="24">
        <v>2041.4259999999999</v>
      </c>
      <c r="E1066" s="24">
        <v>2041.4259999999999</v>
      </c>
      <c r="F1066" s="23">
        <f t="shared" si="16"/>
        <v>3.7116305459966251E-3</v>
      </c>
    </row>
    <row r="1067" spans="1:6" x14ac:dyDescent="0.35">
      <c r="A1067" s="22">
        <v>46045</v>
      </c>
      <c r="B1067" s="24">
        <v>2020.547</v>
      </c>
      <c r="C1067" s="24">
        <v>2020.547</v>
      </c>
      <c r="D1067" s="24">
        <v>2020.547</v>
      </c>
      <c r="E1067" s="24">
        <v>2020.547</v>
      </c>
      <c r="F1067" s="23">
        <f t="shared" si="16"/>
        <v>-1.0227654590467598E-2</v>
      </c>
    </row>
    <row r="1068" spans="1:6" x14ac:dyDescent="0.35">
      <c r="A1068" s="22">
        <v>46049</v>
      </c>
      <c r="B1068" s="24">
        <v>2035.461</v>
      </c>
      <c r="C1068" s="24">
        <v>2035.461</v>
      </c>
      <c r="D1068" s="24">
        <v>2035.461</v>
      </c>
      <c r="E1068" s="24">
        <v>2035.461</v>
      </c>
      <c r="F1068" s="23">
        <f t="shared" si="16"/>
        <v>7.3811695545810052E-3</v>
      </c>
    </row>
    <row r="1069" spans="1:6" x14ac:dyDescent="0.35">
      <c r="A1069" s="22">
        <v>46050</v>
      </c>
      <c r="B1069" s="24">
        <v>2044.4659999999999</v>
      </c>
      <c r="C1069" s="24">
        <v>2044.4659999999999</v>
      </c>
      <c r="D1069" s="24">
        <v>2044.4659999999999</v>
      </c>
      <c r="E1069" s="24">
        <v>2044.4659999999999</v>
      </c>
      <c r="F1069" s="23">
        <f t="shared" si="16"/>
        <v>4.4240592180345784E-3</v>
      </c>
    </row>
    <row r="1070" spans="1:6" x14ac:dyDescent="0.35">
      <c r="A1070" s="22">
        <v>46051</v>
      </c>
      <c r="B1070" s="24">
        <v>2050.0749999999998</v>
      </c>
      <c r="C1070" s="24">
        <v>2050.0749999999998</v>
      </c>
      <c r="D1070" s="24">
        <v>2050.0749999999998</v>
      </c>
      <c r="E1070" s="24">
        <v>2050.0749999999998</v>
      </c>
      <c r="F1070" s="23">
        <f t="shared" si="16"/>
        <v>2.7435036826241785E-3</v>
      </c>
    </row>
    <row r="1071" spans="1:6" x14ac:dyDescent="0.35">
      <c r="A1071" s="22">
        <v>46052</v>
      </c>
      <c r="B1071" s="24">
        <v>2044.9110000000001</v>
      </c>
      <c r="C1071" s="24">
        <v>2044.9110000000001</v>
      </c>
      <c r="D1071" s="24">
        <v>2044.9110000000001</v>
      </c>
      <c r="E1071" s="24">
        <v>2044.9110000000001</v>
      </c>
      <c r="F1071" s="23">
        <f t="shared" si="16"/>
        <v>-2.5189322341864374E-3</v>
      </c>
    </row>
    <row r="1072" spans="1:6" x14ac:dyDescent="0.35">
      <c r="A1072" s="22">
        <v>46055</v>
      </c>
      <c r="B1072" s="24">
        <v>2027.557</v>
      </c>
      <c r="C1072" s="24">
        <v>2027.557</v>
      </c>
      <c r="D1072" s="24">
        <v>2027.557</v>
      </c>
      <c r="E1072" s="24">
        <v>2027.557</v>
      </c>
      <c r="F1072" s="23">
        <f t="shared" si="16"/>
        <v>-8.4864329058819878E-3</v>
      </c>
    </row>
    <row r="1073" spans="1:6" x14ac:dyDescent="0.35">
      <c r="A1073" s="22">
        <v>46056</v>
      </c>
      <c r="B1073" s="24">
        <v>2066.6610000000001</v>
      </c>
      <c r="C1073" s="24">
        <v>2066.6610000000001</v>
      </c>
      <c r="D1073" s="24">
        <v>2066.6610000000001</v>
      </c>
      <c r="E1073" s="24">
        <v>2066.6610000000001</v>
      </c>
      <c r="F1073" s="23">
        <f t="shared" si="16"/>
        <v>1.92862642086018E-2</v>
      </c>
    </row>
    <row r="1074" spans="1:6" x14ac:dyDescent="0.35">
      <c r="A1074" s="22">
        <v>46057</v>
      </c>
      <c r="B1074" s="24">
        <v>2071.4850000000001</v>
      </c>
      <c r="C1074" s="24">
        <v>2071.4850000000001</v>
      </c>
      <c r="D1074" s="24">
        <v>2071.4850000000001</v>
      </c>
      <c r="E1074" s="24">
        <v>2071.4850000000001</v>
      </c>
      <c r="F1074" s="23">
        <f t="shared" si="16"/>
        <v>2.3341999486127959E-3</v>
      </c>
    </row>
    <row r="1075" spans="1:6" x14ac:dyDescent="0.35">
      <c r="A1075" s="22">
        <v>46058</v>
      </c>
      <c r="B1075" s="24">
        <v>2065.7840000000001</v>
      </c>
      <c r="C1075" s="24">
        <v>2065.7840000000001</v>
      </c>
      <c r="D1075" s="24">
        <v>2065.7840000000001</v>
      </c>
      <c r="E1075" s="24">
        <v>2065.7840000000001</v>
      </c>
      <c r="F1075" s="23">
        <f t="shared" si="16"/>
        <v>-2.7521319246820619E-3</v>
      </c>
    </row>
    <row r="1076" spans="1:6" x14ac:dyDescent="0.35">
      <c r="A1076" s="22">
        <v>46059</v>
      </c>
      <c r="B1076" s="24">
        <v>2066.9470000000001</v>
      </c>
      <c r="C1076" s="24">
        <v>2066.9470000000001</v>
      </c>
      <c r="D1076" s="24">
        <v>2066.9470000000001</v>
      </c>
      <c r="E1076" s="24">
        <v>2066.9470000000001</v>
      </c>
      <c r="F1076" s="23">
        <f t="shared" si="16"/>
        <v>5.6298238344377289E-4</v>
      </c>
    </row>
    <row r="1077" spans="1:6" x14ac:dyDescent="0.35">
      <c r="A1077" s="22">
        <v>46062</v>
      </c>
      <c r="B1077" s="24">
        <v>2081.0729999999999</v>
      </c>
      <c r="C1077" s="24">
        <v>2081.0729999999999</v>
      </c>
      <c r="D1077" s="24">
        <v>2081.0729999999999</v>
      </c>
      <c r="E1077" s="24">
        <v>2081.0729999999999</v>
      </c>
      <c r="F1077" s="23">
        <f t="shared" si="16"/>
        <v>6.8342342595140316E-3</v>
      </c>
    </row>
    <row r="1078" spans="1:6" x14ac:dyDescent="0.35">
      <c r="A1078" s="22">
        <v>46063</v>
      </c>
      <c r="B1078" s="24">
        <v>2089.8409999999999</v>
      </c>
      <c r="C1078" s="24">
        <v>2089.8409999999999</v>
      </c>
      <c r="D1078" s="24">
        <v>2089.8409999999999</v>
      </c>
      <c r="E1078" s="24">
        <v>2089.8409999999999</v>
      </c>
      <c r="F1078" s="23">
        <f t="shared" si="16"/>
        <v>4.2132111655862284E-3</v>
      </c>
    </row>
    <row r="1079" spans="1:6" x14ac:dyDescent="0.35">
      <c r="A1079" s="22">
        <v>46064</v>
      </c>
      <c r="B1079" s="24">
        <v>2097.1039999999998</v>
      </c>
      <c r="C1079" s="24">
        <v>2097.1039999999998</v>
      </c>
      <c r="D1079" s="24">
        <v>2097.1039999999998</v>
      </c>
      <c r="E1079" s="24">
        <v>2097.1039999999998</v>
      </c>
      <c r="F1079" s="23">
        <f t="shared" si="16"/>
        <v>3.4753840124678958E-3</v>
      </c>
    </row>
    <row r="1080" spans="1:6" x14ac:dyDescent="0.35">
      <c r="A1080" s="22">
        <v>46065</v>
      </c>
      <c r="B1080" s="24">
        <v>2089.1880000000001</v>
      </c>
      <c r="C1080" s="24">
        <v>2089.1880000000001</v>
      </c>
      <c r="D1080" s="24">
        <v>2089.1880000000001</v>
      </c>
      <c r="E1080" s="24">
        <v>2089.1880000000001</v>
      </c>
      <c r="F1080" s="23">
        <f t="shared" si="16"/>
        <v>-3.774729341033975E-3</v>
      </c>
    </row>
    <row r="1081" spans="1:6" x14ac:dyDescent="0.35">
      <c r="A1081" s="22">
        <v>46069</v>
      </c>
      <c r="B1081" s="24">
        <v>2086.4140000000002</v>
      </c>
      <c r="C1081" s="24">
        <v>2086.4140000000002</v>
      </c>
      <c r="D1081" s="24">
        <v>2086.4140000000002</v>
      </c>
      <c r="E1081" s="24">
        <v>2086.4140000000002</v>
      </c>
      <c r="F1081" s="23">
        <f t="shared" si="16"/>
        <v>-1.3277885953776717E-3</v>
      </c>
    </row>
    <row r="1082" spans="1:6" x14ac:dyDescent="0.35">
      <c r="A1082" s="22">
        <v>46070</v>
      </c>
      <c r="B1082" s="24">
        <v>2090.4810000000002</v>
      </c>
      <c r="C1082" s="24">
        <v>2090.4810000000002</v>
      </c>
      <c r="D1082" s="24">
        <v>2090.4810000000002</v>
      </c>
      <c r="E1082" s="24">
        <v>2090.4810000000002</v>
      </c>
      <c r="F1082" s="23">
        <f t="shared" si="16"/>
        <v>1.9492775642801509E-3</v>
      </c>
    </row>
    <row r="1083" spans="1:6" x14ac:dyDescent="0.35">
      <c r="A1083" s="22">
        <v>46071</v>
      </c>
      <c r="B1083" s="24">
        <v>2096.5030000000002</v>
      </c>
      <c r="C1083" s="24">
        <v>2096.5030000000002</v>
      </c>
      <c r="D1083" s="24">
        <v>2096.5030000000002</v>
      </c>
      <c r="E1083" s="24">
        <v>2096.5030000000002</v>
      </c>
      <c r="F1083" s="23">
        <f t="shared" si="16"/>
        <v>2.8806767437732912E-3</v>
      </c>
    </row>
    <row r="1084" spans="1:6" x14ac:dyDescent="0.35">
      <c r="A1084" s="22">
        <v>46072</v>
      </c>
      <c r="B1084" s="24">
        <v>2071.1729999999998</v>
      </c>
      <c r="C1084" s="24">
        <v>2071.1729999999998</v>
      </c>
      <c r="D1084" s="24">
        <v>2071.1729999999998</v>
      </c>
      <c r="E1084" s="24">
        <v>2071.1729999999998</v>
      </c>
      <c r="F1084" s="23">
        <f t="shared" si="16"/>
        <v>-1.2082024208885168E-2</v>
      </c>
    </row>
    <row r="1085" spans="1:6" x14ac:dyDescent="0.35">
      <c r="A1085" s="22">
        <v>46073</v>
      </c>
      <c r="B1085" s="24">
        <v>2079.8879999999999</v>
      </c>
      <c r="C1085" s="24">
        <v>2079.8879999999999</v>
      </c>
      <c r="D1085" s="24">
        <v>2079.8879999999999</v>
      </c>
      <c r="E1085" s="24">
        <v>2079.8879999999999</v>
      </c>
      <c r="F1085" s="23">
        <f t="shared" si="16"/>
        <v>4.2077605299026908E-3</v>
      </c>
    </row>
    <row r="1086" spans="1:6" x14ac:dyDescent="0.35">
      <c r="A1086" s="22">
        <v>46076</v>
      </c>
      <c r="B1086" s="24">
        <v>2092.52</v>
      </c>
      <c r="C1086" s="24">
        <v>2092.52</v>
      </c>
      <c r="D1086" s="24">
        <v>2092.52</v>
      </c>
      <c r="E1086" s="24">
        <v>2092.52</v>
      </c>
      <c r="F1086" s="23">
        <f t="shared" si="16"/>
        <v>6.0734039525205501E-3</v>
      </c>
    </row>
    <row r="1087" spans="1:6" x14ac:dyDescent="0.35">
      <c r="A1087" s="22">
        <v>46077</v>
      </c>
      <c r="B1087" s="24">
        <v>2069.5569999999998</v>
      </c>
      <c r="C1087" s="24">
        <v>2069.5569999999998</v>
      </c>
      <c r="D1087" s="24">
        <v>2069.5569999999998</v>
      </c>
      <c r="E1087" s="24">
        <v>2069.5569999999998</v>
      </c>
      <c r="F1087" s="23">
        <f t="shared" si="16"/>
        <v>-1.0973849712308695E-2</v>
      </c>
    </row>
    <row r="1088" spans="1:6" x14ac:dyDescent="0.35">
      <c r="A1088" s="22">
        <v>46078</v>
      </c>
      <c r="B1088" s="24">
        <v>2081.1509999999998</v>
      </c>
      <c r="C1088" s="24">
        <v>2081.1509999999998</v>
      </c>
      <c r="D1088" s="24">
        <v>2081.1509999999998</v>
      </c>
      <c r="E1088" s="24">
        <v>2081.1509999999998</v>
      </c>
      <c r="F1088" s="23">
        <f t="shared" si="16"/>
        <v>5.6021651010337249E-3</v>
      </c>
    </row>
    <row r="1089" spans="1:6" x14ac:dyDescent="0.35">
      <c r="A1089" s="22">
        <v>46079</v>
      </c>
      <c r="B1089" s="24">
        <v>2082.8649999999998</v>
      </c>
      <c r="C1089" s="24">
        <v>2082.8649999999998</v>
      </c>
      <c r="D1089" s="24">
        <v>2082.8649999999998</v>
      </c>
      <c r="E1089" s="24">
        <v>2082.8649999999998</v>
      </c>
      <c r="F1089" s="23">
        <f t="shared" si="16"/>
        <v>8.2358271937016674E-4</v>
      </c>
    </row>
    <row r="1090" spans="1:6" x14ac:dyDescent="0.35">
      <c r="A1090" s="22">
        <v>46080</v>
      </c>
      <c r="B1090" s="24">
        <v>2060.127</v>
      </c>
      <c r="C1090" s="24">
        <v>2060.127</v>
      </c>
      <c r="D1090" s="24">
        <v>2060.127</v>
      </c>
      <c r="E1090" s="24">
        <v>2060.127</v>
      </c>
      <c r="F1090" s="23">
        <f t="shared" si="16"/>
        <v>-1.091669407282749E-2</v>
      </c>
    </row>
    <row r="1091" spans="1:6" x14ac:dyDescent="0.35">
      <c r="A1091" s="22">
        <v>46083</v>
      </c>
      <c r="B1091" s="24">
        <v>2035.5260000000001</v>
      </c>
      <c r="C1091" s="24">
        <v>2035.5260000000001</v>
      </c>
      <c r="D1091" s="24">
        <v>2035.5260000000001</v>
      </c>
      <c r="E1091" s="24">
        <v>2035.5260000000001</v>
      </c>
      <c r="F1091" s="23">
        <f t="shared" ref="F1091:F1154" si="17">(B1091-B1090)/B1090</f>
        <v>-1.1941496810633464E-2</v>
      </c>
    </row>
    <row r="1092" spans="1:6" x14ac:dyDescent="0.35">
      <c r="A1092" s="22">
        <v>46085</v>
      </c>
      <c r="B1092" s="24">
        <v>1998.69</v>
      </c>
      <c r="C1092" s="24">
        <v>1998.69</v>
      </c>
      <c r="D1092" s="24">
        <v>1998.69</v>
      </c>
      <c r="E1092" s="24">
        <v>1998.69</v>
      </c>
      <c r="F1092" s="23">
        <f t="shared" si="17"/>
        <v>-1.8096550965205068E-2</v>
      </c>
    </row>
    <row r="1093" spans="1:6" x14ac:dyDescent="0.35">
      <c r="A1093" s="22">
        <v>46086</v>
      </c>
      <c r="B1093" s="24">
        <v>2013.3309999999999</v>
      </c>
      <c r="C1093" s="24">
        <v>2013.3309999999999</v>
      </c>
      <c r="D1093" s="24">
        <v>2013.3309999999999</v>
      </c>
      <c r="E1093" s="24">
        <v>2013.3309999999999</v>
      </c>
      <c r="F1093" s="23">
        <f t="shared" si="17"/>
        <v>7.3252980702359291E-3</v>
      </c>
    </row>
    <row r="1094" spans="1:6" x14ac:dyDescent="0.35">
      <c r="A1094" s="22">
        <v>46087</v>
      </c>
      <c r="B1094" s="24">
        <v>1987.1890000000001</v>
      </c>
      <c r="C1094" s="24">
        <v>1987.1890000000001</v>
      </c>
      <c r="D1094" s="24">
        <v>1987.1890000000001</v>
      </c>
      <c r="E1094" s="24">
        <v>1987.1890000000001</v>
      </c>
      <c r="F1094" s="23">
        <f t="shared" si="17"/>
        <v>-1.2984452134298744E-2</v>
      </c>
    </row>
    <row r="1095" spans="1:6" x14ac:dyDescent="0.35">
      <c r="A1095" s="22">
        <v>46090</v>
      </c>
      <c r="B1095" s="24">
        <v>1946.97</v>
      </c>
      <c r="C1095" s="24">
        <v>1946.97</v>
      </c>
      <c r="D1095" s="24">
        <v>1946.97</v>
      </c>
      <c r="E1095" s="24">
        <v>1946.97</v>
      </c>
      <c r="F1095" s="23">
        <f t="shared" si="17"/>
        <v>-2.0239141822946911E-2</v>
      </c>
    </row>
    <row r="1096" spans="1:6" x14ac:dyDescent="0.35">
      <c r="A1096" s="22">
        <v>46091</v>
      </c>
      <c r="B1096" s="24">
        <v>1974.258</v>
      </c>
      <c r="C1096" s="24">
        <v>1974.258</v>
      </c>
      <c r="D1096" s="24">
        <v>1974.258</v>
      </c>
      <c r="E1096" s="24">
        <v>1974.258</v>
      </c>
      <c r="F1096" s="23">
        <f t="shared" si="17"/>
        <v>1.4015624277723853E-2</v>
      </c>
    </row>
    <row r="1097" spans="1:6" x14ac:dyDescent="0.35">
      <c r="A1097" s="22">
        <v>46092</v>
      </c>
      <c r="B1097" s="24">
        <v>1944.8869999999999</v>
      </c>
      <c r="C1097" s="24">
        <v>1944.8869999999999</v>
      </c>
      <c r="D1097" s="24">
        <v>1944.8869999999999</v>
      </c>
      <c r="E1097" s="24">
        <v>1944.8869999999999</v>
      </c>
      <c r="F1097" s="23">
        <f t="shared" si="17"/>
        <v>-1.4876981630567075E-2</v>
      </c>
    </row>
    <row r="1098" spans="1:6" x14ac:dyDescent="0.35">
      <c r="A1098" s="22">
        <v>46093</v>
      </c>
      <c r="B1098" s="24">
        <v>1923.2739999999999</v>
      </c>
      <c r="C1098" s="24">
        <v>1923.336</v>
      </c>
      <c r="D1098" s="24">
        <v>1923.336</v>
      </c>
      <c r="E1098" s="24">
        <v>1923.2739999999999</v>
      </c>
      <c r="F1098" s="23">
        <f t="shared" si="17"/>
        <v>-1.111272788599032E-2</v>
      </c>
    </row>
    <row r="1099" spans="1:6" x14ac:dyDescent="0.35">
      <c r="A1099" s="22">
        <v>46094</v>
      </c>
      <c r="B1099" s="24">
        <v>1881.4829999999999</v>
      </c>
      <c r="C1099" s="24">
        <v>1881.4829999999999</v>
      </c>
      <c r="D1099" s="24">
        <v>1881.4829999999999</v>
      </c>
      <c r="E1099" s="24">
        <v>1881.4829999999999</v>
      </c>
      <c r="F1099" s="23">
        <f t="shared" si="17"/>
        <v>-2.1729093202528575E-2</v>
      </c>
    </row>
    <row r="1100" spans="1:6" x14ac:dyDescent="0.35">
      <c r="A1100" s="22">
        <v>46097</v>
      </c>
      <c r="B1100" s="24">
        <v>1893.84</v>
      </c>
      <c r="C1100" s="24">
        <v>1893.84</v>
      </c>
      <c r="D1100" s="24">
        <v>1893.84</v>
      </c>
      <c r="E1100" s="24">
        <v>1893.84</v>
      </c>
      <c r="F1100" s="23">
        <f t="shared" si="17"/>
        <v>6.5676915496977496E-3</v>
      </c>
    </row>
    <row r="1101" spans="1:6" x14ac:dyDescent="0.35">
      <c r="A1101" s="22">
        <v>46098</v>
      </c>
      <c r="B1101" s="24">
        <v>1909.4559999999999</v>
      </c>
      <c r="C1101" s="24">
        <v>1909.4559999999999</v>
      </c>
      <c r="D1101" s="24">
        <v>1909.4559999999999</v>
      </c>
      <c r="E1101" s="24">
        <v>1909.4559999999999</v>
      </c>
      <c r="F1101" s="23">
        <f t="shared" si="17"/>
        <v>8.2456807333248783E-3</v>
      </c>
    </row>
    <row r="1102" spans="1:6" x14ac:dyDescent="0.35">
      <c r="A1102" s="22">
        <v>46099</v>
      </c>
      <c r="B1102" s="24">
        <v>1929.904</v>
      </c>
      <c r="C1102" s="24">
        <v>1929.904</v>
      </c>
      <c r="D1102" s="24">
        <v>1929.904</v>
      </c>
      <c r="E1102" s="24">
        <v>1929.904</v>
      </c>
      <c r="F1102" s="23">
        <f t="shared" si="17"/>
        <v>1.0708809210581493E-2</v>
      </c>
    </row>
    <row r="1103" spans="1:6" x14ac:dyDescent="0.35">
      <c r="A1103" s="22">
        <v>46100</v>
      </c>
      <c r="B1103" s="24">
        <v>1872.171</v>
      </c>
      <c r="C1103" s="24">
        <v>1872.171</v>
      </c>
      <c r="D1103" s="24">
        <v>1872.171</v>
      </c>
      <c r="E1103" s="24">
        <v>1872.171</v>
      </c>
      <c r="F1103" s="23">
        <f t="shared" si="17"/>
        <v>-2.9914959500576169E-2</v>
      </c>
    </row>
    <row r="1104" spans="1:6" x14ac:dyDescent="0.35">
      <c r="A1104" s="22">
        <v>46101</v>
      </c>
      <c r="B1104" s="24">
        <v>1878.9380000000001</v>
      </c>
      <c r="C1104" s="24">
        <v>1878.9380000000001</v>
      </c>
      <c r="D1104" s="24">
        <v>1878.9380000000001</v>
      </c>
      <c r="E1104" s="24">
        <v>1878.9380000000001</v>
      </c>
      <c r="F1104" s="23">
        <f t="shared" si="17"/>
        <v>3.614520254827178E-3</v>
      </c>
    </row>
    <row r="1105" spans="1:6" x14ac:dyDescent="0.35">
      <c r="A1105" s="22">
        <v>46104</v>
      </c>
      <c r="B1105" s="24">
        <v>1833.8679999999999</v>
      </c>
      <c r="C1105" s="24">
        <v>1833.8679999999999</v>
      </c>
      <c r="D1105" s="24">
        <v>1833.8679999999999</v>
      </c>
      <c r="E1105" s="24">
        <v>1833.8679999999999</v>
      </c>
      <c r="F1105" s="23">
        <f t="shared" si="17"/>
        <v>-2.3986954332713566E-2</v>
      </c>
    </row>
    <row r="1106" spans="1:6" x14ac:dyDescent="0.35">
      <c r="A1106" s="22">
        <v>46105</v>
      </c>
      <c r="B1106" s="24">
        <v>1864.65</v>
      </c>
      <c r="C1106" s="24">
        <v>1864.65</v>
      </c>
      <c r="D1106" s="24">
        <v>1864.65</v>
      </c>
      <c r="E1106" s="24">
        <v>1864.65</v>
      </c>
      <c r="F1106" s="23">
        <f t="shared" si="17"/>
        <v>1.6785286618229967E-2</v>
      </c>
    </row>
    <row r="1107" spans="1:6" x14ac:dyDescent="0.35">
      <c r="A1107" s="22">
        <v>46106</v>
      </c>
      <c r="B1107" s="24">
        <v>1893.473</v>
      </c>
      <c r="C1107" s="24">
        <v>1893.473</v>
      </c>
      <c r="D1107" s="24">
        <v>1893.473</v>
      </c>
      <c r="E1107" s="24">
        <v>1893.473</v>
      </c>
      <c r="F1107" s="23">
        <f t="shared" si="17"/>
        <v>1.5457592577695474E-2</v>
      </c>
    </row>
    <row r="1108" spans="1:6" x14ac:dyDescent="0.35">
      <c r="A1108" s="22">
        <v>46108</v>
      </c>
      <c r="B1108" s="24">
        <v>1859.7049999999999</v>
      </c>
      <c r="C1108" s="24">
        <v>1859.7049999999999</v>
      </c>
      <c r="D1108" s="24">
        <v>1859.7049999999999</v>
      </c>
      <c r="E1108" s="24">
        <v>1859.7049999999999</v>
      </c>
      <c r="F1108" s="23">
        <f t="shared" si="17"/>
        <v>-1.7833895703820456E-2</v>
      </c>
    </row>
    <row r="1109" spans="1:6" x14ac:dyDescent="0.35">
      <c r="A1109" s="22">
        <v>46111</v>
      </c>
      <c r="B1109" s="24">
        <v>1817.6310000000001</v>
      </c>
      <c r="C1109" s="24">
        <v>1817.6310000000001</v>
      </c>
      <c r="D1109" s="24">
        <v>1817.6310000000001</v>
      </c>
      <c r="E1109" s="24">
        <v>1817.6310000000001</v>
      </c>
      <c r="F1109" s="23">
        <f t="shared" si="17"/>
        <v>-2.2624018325487022E-2</v>
      </c>
    </row>
    <row r="1110" spans="1:6" x14ac:dyDescent="0.35">
      <c r="A1110" s="22">
        <v>46112</v>
      </c>
      <c r="B1110" s="24">
        <v>1817.5920000000001</v>
      </c>
      <c r="C1110" s="24">
        <v>1817.5920000000001</v>
      </c>
      <c r="D1110" s="24">
        <v>1817.5920000000001</v>
      </c>
      <c r="E1110" s="24">
        <v>1817.5920000000001</v>
      </c>
      <c r="F1110" s="23">
        <f t="shared" si="17"/>
        <v>-2.1456500246742748E-5</v>
      </c>
    </row>
    <row r="1111" spans="1:6" x14ac:dyDescent="0.35">
      <c r="A1111" s="22">
        <v>46113</v>
      </c>
      <c r="B1111" s="24">
        <v>1844.3679999999999</v>
      </c>
      <c r="C1111" s="24">
        <v>1844.3679999999999</v>
      </c>
      <c r="D1111" s="24">
        <v>1844.3679999999999</v>
      </c>
      <c r="E1111" s="24">
        <v>1844.3679999999999</v>
      </c>
      <c r="F1111" s="23">
        <f t="shared" si="17"/>
        <v>1.4731578924202923E-2</v>
      </c>
    </row>
    <row r="1112" spans="1:6" x14ac:dyDescent="0.35">
      <c r="A1112" s="22">
        <v>46114</v>
      </c>
      <c r="B1112" s="24">
        <v>1848.1320000000001</v>
      </c>
      <c r="C1112" s="24">
        <v>1848.1320000000001</v>
      </c>
      <c r="D1112" s="24">
        <v>1848.1320000000001</v>
      </c>
      <c r="E1112" s="24">
        <v>1848.1320000000001</v>
      </c>
      <c r="F1112" s="23">
        <f t="shared" si="17"/>
        <v>2.0408074744303326E-3</v>
      </c>
    </row>
    <row r="1113" spans="1:6" x14ac:dyDescent="0.35">
      <c r="A1113" s="22">
        <v>46118</v>
      </c>
      <c r="B1113" s="24">
        <v>1871.942</v>
      </c>
      <c r="C1113" s="24">
        <v>1871.942</v>
      </c>
      <c r="D1113" s="24">
        <v>1871.942</v>
      </c>
      <c r="E1113" s="24">
        <v>1871.942</v>
      </c>
      <c r="F1113" s="23">
        <f t="shared" si="17"/>
        <v>1.2883278899991963E-2</v>
      </c>
    </row>
    <row r="1114" spans="1:6" x14ac:dyDescent="0.35">
      <c r="A1114" s="22">
        <v>46119</v>
      </c>
      <c r="B1114" s="24">
        <v>1880.856</v>
      </c>
      <c r="C1114" s="24">
        <v>1880.856</v>
      </c>
      <c r="D1114" s="24">
        <v>1880.856</v>
      </c>
      <c r="E1114" s="24">
        <v>1880.856</v>
      </c>
      <c r="F1114" s="23">
        <f t="shared" si="17"/>
        <v>4.7618996742420372E-3</v>
      </c>
    </row>
    <row r="1115" spans="1:6" x14ac:dyDescent="0.35">
      <c r="A1115" s="22">
        <v>46120</v>
      </c>
      <c r="B1115" s="24">
        <v>1952.9469999999999</v>
      </c>
      <c r="C1115" s="24">
        <v>1952.9469999999999</v>
      </c>
      <c r="D1115" s="24">
        <v>1952.9469999999999</v>
      </c>
      <c r="E1115" s="24">
        <v>1952.9469999999999</v>
      </c>
      <c r="F1115" s="23">
        <f t="shared" si="17"/>
        <v>3.8328824747880699E-2</v>
      </c>
    </row>
    <row r="1116" spans="1:6" x14ac:dyDescent="0.35">
      <c r="A1116" s="22">
        <v>46121</v>
      </c>
      <c r="B1116" s="24">
        <v>1940.5909999999999</v>
      </c>
      <c r="C1116" s="24">
        <v>1940.5909999999999</v>
      </c>
      <c r="D1116" s="24">
        <v>1940.5909999999999</v>
      </c>
      <c r="E1116" s="24">
        <v>1940.5909999999999</v>
      </c>
      <c r="F1116" s="23">
        <f t="shared" si="17"/>
        <v>-6.3268486036743418E-3</v>
      </c>
    </row>
    <row r="1117" spans="1:6" x14ac:dyDescent="0.35">
      <c r="A1117" s="22">
        <v>46122</v>
      </c>
      <c r="B1117" s="24">
        <v>1968.8</v>
      </c>
      <c r="C1117" s="24">
        <v>1968.8</v>
      </c>
      <c r="D1117" s="24">
        <v>1968.8</v>
      </c>
      <c r="E1117" s="24">
        <v>1968.8</v>
      </c>
      <c r="F1117" s="23">
        <f t="shared" si="17"/>
        <v>1.4536293325074712E-2</v>
      </c>
    </row>
    <row r="1118" spans="1:6" x14ac:dyDescent="0.35">
      <c r="A1118" s="22">
        <v>46125</v>
      </c>
      <c r="B1118" s="24">
        <v>1952.396</v>
      </c>
      <c r="C1118" s="24">
        <v>1952.396</v>
      </c>
      <c r="D1118" s="24">
        <v>1952.396</v>
      </c>
      <c r="E1118" s="24">
        <v>1952.396</v>
      </c>
      <c r="F1118" s="23">
        <f t="shared" si="17"/>
        <v>-8.3319788703778933E-3</v>
      </c>
    </row>
    <row r="1119" spans="1:6" x14ac:dyDescent="0.35">
      <c r="A1119" s="22">
        <v>46127</v>
      </c>
      <c r="B1119" s="24">
        <v>1982.8620000000001</v>
      </c>
      <c r="C1119" s="24">
        <v>1982.8620000000001</v>
      </c>
      <c r="D1119" s="24">
        <v>1982.8620000000001</v>
      </c>
      <c r="E1119" s="24">
        <v>1982.8620000000001</v>
      </c>
      <c r="F1119" s="23">
        <f t="shared" si="17"/>
        <v>1.5604416317181619E-2</v>
      </c>
    </row>
    <row r="1120" spans="1:6" x14ac:dyDescent="0.35">
      <c r="A1120" s="22">
        <v>46128</v>
      </c>
      <c r="B1120" s="24">
        <v>1983.0550000000001</v>
      </c>
      <c r="C1120" s="24">
        <v>1983.0550000000001</v>
      </c>
      <c r="D1120" s="24">
        <v>1983.0550000000001</v>
      </c>
      <c r="E1120" s="24">
        <v>1983.0550000000001</v>
      </c>
      <c r="F1120" s="23">
        <f t="shared" si="17"/>
        <v>9.7334055521757751E-5</v>
      </c>
    </row>
    <row r="1121" spans="1:6" x14ac:dyDescent="0.35">
      <c r="A1121" s="22">
        <v>46129</v>
      </c>
      <c r="B1121" s="24">
        <v>1994.7270000000001</v>
      </c>
      <c r="C1121" s="24">
        <v>1994.7270000000001</v>
      </c>
      <c r="D1121" s="24">
        <v>1994.7270000000001</v>
      </c>
      <c r="E1121" s="24">
        <v>1994.7270000000001</v>
      </c>
      <c r="F1121" s="23">
        <f t="shared" si="17"/>
        <v>5.8858680167721139E-3</v>
      </c>
    </row>
    <row r="1122" spans="1:6" x14ac:dyDescent="0.35">
      <c r="A1122" s="22">
        <v>46132</v>
      </c>
      <c r="B1122" s="24">
        <v>1995.568</v>
      </c>
      <c r="C1122" s="24">
        <v>1995.568</v>
      </c>
      <c r="D1122" s="24">
        <v>1995.568</v>
      </c>
      <c r="E1122" s="24">
        <v>1995.568</v>
      </c>
      <c r="F1122" s="23">
        <f t="shared" si="17"/>
        <v>4.2161157892779038E-4</v>
      </c>
    </row>
    <row r="1123" spans="1:6" x14ac:dyDescent="0.35">
      <c r="A1123" s="22">
        <v>46133</v>
      </c>
      <c r="B1123" s="24">
        <v>2009.395</v>
      </c>
      <c r="C1123" s="24">
        <v>2009.395</v>
      </c>
      <c r="D1123" s="24">
        <v>2009.395</v>
      </c>
      <c r="E1123" s="24">
        <v>2009.395</v>
      </c>
      <c r="F1123" s="23">
        <f t="shared" si="17"/>
        <v>6.9288543412201432E-3</v>
      </c>
    </row>
    <row r="1124" spans="1:6" x14ac:dyDescent="0.35">
      <c r="A1124" s="22">
        <v>46134</v>
      </c>
      <c r="B1124" s="24">
        <v>1990.0129999999999</v>
      </c>
      <c r="C1124" s="24">
        <v>1990.0129999999999</v>
      </c>
      <c r="D1124" s="24">
        <v>1990.0129999999999</v>
      </c>
      <c r="E1124" s="24">
        <v>1990.0129999999999</v>
      </c>
      <c r="F1124" s="23">
        <f t="shared" si="17"/>
        <v>-9.6456893741648907E-3</v>
      </c>
    </row>
    <row r="1125" spans="1:6" x14ac:dyDescent="0.35">
      <c r="A1125" s="22">
        <v>46135</v>
      </c>
      <c r="B1125" s="24">
        <v>1975.42</v>
      </c>
      <c r="C1125" s="24">
        <v>1975.42</v>
      </c>
      <c r="D1125" s="24">
        <v>1975.42</v>
      </c>
      <c r="E1125" s="24">
        <v>1975.42</v>
      </c>
      <c r="F1125" s="23">
        <f t="shared" si="17"/>
        <v>-7.3331179243551915E-3</v>
      </c>
    </row>
    <row r="1126" spans="1:6" x14ac:dyDescent="0.35">
      <c r="A1126" s="22">
        <v>46136</v>
      </c>
      <c r="B1126" s="24">
        <v>1955.511</v>
      </c>
      <c r="C1126" s="24">
        <v>1955.511</v>
      </c>
      <c r="D1126" s="24">
        <v>1955.511</v>
      </c>
      <c r="E1126" s="24">
        <v>1955.511</v>
      </c>
      <c r="F1126" s="23">
        <f t="shared" si="17"/>
        <v>-1.0078363082281289E-2</v>
      </c>
    </row>
    <row r="1127" spans="1:6" x14ac:dyDescent="0.35">
      <c r="A1127" s="22">
        <v>46139</v>
      </c>
      <c r="B1127" s="24">
        <v>1970.4469999999999</v>
      </c>
      <c r="C1127" s="24">
        <v>1970.4469999999999</v>
      </c>
      <c r="D1127" s="24">
        <v>1970.4469999999999</v>
      </c>
      <c r="E1127" s="24">
        <v>1970.4469999999999</v>
      </c>
      <c r="F1127" s="23">
        <f t="shared" si="17"/>
        <v>7.6379012953647013E-3</v>
      </c>
    </row>
    <row r="1128" spans="1:6" x14ac:dyDescent="0.35">
      <c r="A1128" s="22">
        <v>46140</v>
      </c>
      <c r="B1128" s="24">
        <v>1953.4059999999999</v>
      </c>
      <c r="C1128" s="24">
        <v>1953.4059999999999</v>
      </c>
      <c r="D1128" s="24">
        <v>1953.4059999999999</v>
      </c>
      <c r="E1128" s="24">
        <v>1953.4059999999999</v>
      </c>
      <c r="F1128" s="23">
        <f t="shared" si="17"/>
        <v>-8.6482914790400045E-3</v>
      </c>
    </row>
    <row r="1129" spans="1:6" x14ac:dyDescent="0.35">
      <c r="A1129" s="22">
        <v>46141</v>
      </c>
      <c r="B1129" s="24">
        <v>1958.278</v>
      </c>
      <c r="C1129" s="24">
        <v>1958.278</v>
      </c>
      <c r="D1129" s="24">
        <v>1958.278</v>
      </c>
      <c r="E1129" s="24">
        <v>1958.278</v>
      </c>
      <c r="F1129" s="23">
        <f t="shared" si="17"/>
        <v>2.4941051681012915E-3</v>
      </c>
    </row>
    <row r="1130" spans="1:6" x14ac:dyDescent="0.35">
      <c r="A1130" s="22">
        <v>46142</v>
      </c>
      <c r="B1130" s="24">
        <v>1944.502</v>
      </c>
      <c r="C1130" s="24">
        <v>1944.502</v>
      </c>
      <c r="D1130" s="24">
        <v>1944.502</v>
      </c>
      <c r="E1130" s="24">
        <v>1944.502</v>
      </c>
      <c r="F1130" s="23">
        <f t="shared" si="17"/>
        <v>-7.0347519606511781E-3</v>
      </c>
    </row>
    <row r="1131" spans="1:6" x14ac:dyDescent="0.35">
      <c r="A1131" s="22">
        <v>46146</v>
      </c>
      <c r="B1131" s="24">
        <v>1955.7429999999999</v>
      </c>
      <c r="C1131" s="24">
        <v>1955.7429999999999</v>
      </c>
      <c r="D1131" s="24">
        <v>1955.7429999999999</v>
      </c>
      <c r="E1131" s="24">
        <v>1955.7429999999999</v>
      </c>
      <c r="F1131" s="23">
        <f t="shared" si="17"/>
        <v>5.7809145992135701E-3</v>
      </c>
    </row>
    <row r="1132" spans="1:6" x14ac:dyDescent="0.35">
      <c r="A1132" s="22">
        <v>46147</v>
      </c>
      <c r="B1132" s="24">
        <v>1944.0419999999999</v>
      </c>
      <c r="C1132" s="24">
        <v>1944.0419999999999</v>
      </c>
      <c r="D1132" s="24">
        <v>1944.0419999999999</v>
      </c>
      <c r="E1132" s="24">
        <v>1944.0419999999999</v>
      </c>
      <c r="F1132" s="23">
        <f t="shared" si="17"/>
        <v>-5.9828924352535182E-3</v>
      </c>
    </row>
    <row r="1133" spans="1:6" x14ac:dyDescent="0.35">
      <c r="A1133" s="22">
        <v>46148</v>
      </c>
      <c r="B1133" s="24">
        <v>1975.6</v>
      </c>
      <c r="C1133" s="24">
        <v>1975.6</v>
      </c>
      <c r="D1133" s="24">
        <v>1975.6</v>
      </c>
      <c r="E1133" s="24">
        <v>1975.6</v>
      </c>
      <c r="F1133" s="23">
        <f t="shared" si="17"/>
        <v>1.6233188377617353E-2</v>
      </c>
    </row>
    <row r="1134" spans="1:6" x14ac:dyDescent="0.35">
      <c r="A1134" s="22">
        <v>46149</v>
      </c>
      <c r="B1134" s="24">
        <v>1983.3979999999999</v>
      </c>
      <c r="C1134" s="24">
        <v>1983.3979999999999</v>
      </c>
      <c r="D1134" s="24">
        <v>1983.3979999999999</v>
      </c>
      <c r="E1134" s="24">
        <v>1983.3979999999999</v>
      </c>
      <c r="F1134" s="23">
        <f t="shared" si="17"/>
        <v>3.9471552945940487E-3</v>
      </c>
    </row>
    <row r="1135" spans="1:6" x14ac:dyDescent="0.35">
      <c r="A1135" s="22">
        <v>46150</v>
      </c>
      <c r="B1135" s="24">
        <v>1968.5530000000001</v>
      </c>
      <c r="C1135" s="24">
        <v>1968.5530000000001</v>
      </c>
      <c r="D1135" s="24">
        <v>1968.5530000000001</v>
      </c>
      <c r="E1135" s="24">
        <v>1968.5530000000001</v>
      </c>
      <c r="F1135" s="23">
        <f t="shared" si="17"/>
        <v>-7.4846299129069406E-3</v>
      </c>
    </row>
    <row r="1136" spans="1:6" x14ac:dyDescent="0.35">
      <c r="A1136" s="22">
        <v>46153</v>
      </c>
      <c r="B1136" s="24">
        <v>1947.22</v>
      </c>
      <c r="C1136" s="24">
        <v>1947.22</v>
      </c>
      <c r="D1136" s="24">
        <v>1947.22</v>
      </c>
      <c r="E1136" s="24">
        <v>1947.22</v>
      </c>
      <c r="F1136" s="23">
        <f t="shared" si="17"/>
        <v>-1.0836893901256446E-2</v>
      </c>
    </row>
    <row r="1137" spans="1:6" x14ac:dyDescent="0.35">
      <c r="A1137" s="22">
        <v>46154</v>
      </c>
      <c r="B1137" s="24">
        <v>1914.7660000000001</v>
      </c>
      <c r="C1137" s="24">
        <v>1914.7660000000001</v>
      </c>
      <c r="D1137" s="24">
        <v>1914.7660000000001</v>
      </c>
      <c r="E1137" s="24">
        <v>1914.7660000000001</v>
      </c>
      <c r="F1137" s="23">
        <f t="shared" si="17"/>
        <v>-1.6666837850884825E-2</v>
      </c>
    </row>
    <row r="1138" spans="1:6" x14ac:dyDescent="0.35">
      <c r="A1138" s="22">
        <v>46155</v>
      </c>
      <c r="B1138" s="24">
        <v>1917.6679999999999</v>
      </c>
      <c r="C1138" s="24">
        <v>1917.6679999999999</v>
      </c>
      <c r="D1138" s="24">
        <v>1917.6679999999999</v>
      </c>
      <c r="E1138" s="24">
        <v>1917.6679999999999</v>
      </c>
      <c r="F1138" s="23">
        <f t="shared" si="17"/>
        <v>1.5155898945353199E-3</v>
      </c>
    </row>
    <row r="1139" spans="1:6" x14ac:dyDescent="0.35">
      <c r="A1139" s="22">
        <v>46156</v>
      </c>
      <c r="B1139" s="24">
        <v>1938.375</v>
      </c>
      <c r="C1139" s="24">
        <v>1938.375</v>
      </c>
      <c r="D1139" s="24">
        <v>1938.375</v>
      </c>
      <c r="E1139" s="24">
        <v>1938.375</v>
      </c>
      <c r="F1139" s="23">
        <f t="shared" si="17"/>
        <v>1.0798010917426848E-2</v>
      </c>
    </row>
    <row r="1140" spans="1:6" x14ac:dyDescent="0.35">
      <c r="A1140" s="22">
        <v>46157</v>
      </c>
      <c r="B1140" s="24">
        <v>1936.0820000000001</v>
      </c>
      <c r="C1140" s="24">
        <v>1936.0820000000001</v>
      </c>
      <c r="D1140" s="24">
        <v>1936.0820000000001</v>
      </c>
      <c r="E1140" s="24">
        <v>1936.0820000000001</v>
      </c>
      <c r="F1140" s="23">
        <f t="shared" si="17"/>
        <v>-1.1829496356483614E-3</v>
      </c>
    </row>
    <row r="1141" spans="1:6" x14ac:dyDescent="0.35">
      <c r="A1141" s="22">
        <v>46160</v>
      </c>
      <c r="B1141" s="24">
        <v>1932.03</v>
      </c>
      <c r="C1141" s="24">
        <v>1932.03</v>
      </c>
      <c r="D1141" s="24">
        <v>1932.03</v>
      </c>
      <c r="E1141" s="24">
        <v>1932.03</v>
      </c>
      <c r="F1141" s="23">
        <f t="shared" si="17"/>
        <v>-2.092886561622976E-3</v>
      </c>
    </row>
    <row r="1142" spans="1:6" x14ac:dyDescent="0.35">
      <c r="A1142" s="22">
        <v>46161</v>
      </c>
      <c r="B1142" s="24">
        <v>1935.559</v>
      </c>
      <c r="C1142" s="24">
        <v>1935.559</v>
      </c>
      <c r="D1142" s="24">
        <v>1935.559</v>
      </c>
      <c r="E1142" s="24">
        <v>1935.559</v>
      </c>
      <c r="F1142" s="23">
        <f t="shared" si="17"/>
        <v>1.8265761918810767E-3</v>
      </c>
    </row>
    <row r="1143" spans="1:6" x14ac:dyDescent="0.35">
      <c r="A1143" s="22">
        <v>46162</v>
      </c>
      <c r="B1143" s="24">
        <v>1936.2840000000001</v>
      </c>
      <c r="C1143" s="24">
        <v>1936.2840000000001</v>
      </c>
      <c r="D1143" s="24">
        <v>1936.2840000000001</v>
      </c>
      <c r="E1143" s="24">
        <v>1936.2840000000001</v>
      </c>
      <c r="F1143" s="23">
        <f t="shared" si="17"/>
        <v>3.7456879382139033E-4</v>
      </c>
    </row>
    <row r="1144" spans="1:6" x14ac:dyDescent="0.35">
      <c r="A1144" s="22">
        <v>46163</v>
      </c>
      <c r="B1144" s="24">
        <v>1939.6780000000001</v>
      </c>
      <c r="C1144" s="24">
        <v>1939.6780000000001</v>
      </c>
      <c r="D1144" s="24">
        <v>1939.6780000000001</v>
      </c>
      <c r="E1144" s="24">
        <v>1939.6780000000001</v>
      </c>
      <c r="F1144" s="23">
        <f t="shared" si="17"/>
        <v>1.7528420417666031E-3</v>
      </c>
    </row>
    <row r="1145" spans="1:6" x14ac:dyDescent="0.35">
      <c r="A1145" s="22">
        <v>46164</v>
      </c>
      <c r="B1145" s="24">
        <v>1945.7139999999999</v>
      </c>
      <c r="C1145" s="24">
        <v>1945.7139999999999</v>
      </c>
      <c r="D1145" s="24">
        <v>1945.7139999999999</v>
      </c>
      <c r="E1145" s="24">
        <v>1939.6780000000001</v>
      </c>
      <c r="F1145" s="23">
        <f t="shared" si="17"/>
        <v>3.111856710237385E-3</v>
      </c>
    </row>
    <row r="1146" spans="1:6" x14ac:dyDescent="0.35">
      <c r="A1146" s="22">
        <v>46167</v>
      </c>
      <c r="B1146" s="24">
        <v>1970.828</v>
      </c>
      <c r="C1146" s="24">
        <v>1970.83</v>
      </c>
      <c r="D1146" s="24">
        <v>1970.83</v>
      </c>
      <c r="E1146" s="24">
        <v>1970.828</v>
      </c>
      <c r="F1146" s="23">
        <f t="shared" si="17"/>
        <v>1.2907344039257586E-2</v>
      </c>
    </row>
    <row r="1147" spans="1:6" x14ac:dyDescent="0.35">
      <c r="A1147" s="22">
        <v>46168</v>
      </c>
      <c r="B1147" s="24">
        <v>1963.4659999999999</v>
      </c>
      <c r="C1147" s="24">
        <v>1963.4659999999999</v>
      </c>
      <c r="D1147" s="24">
        <v>1963.4659999999999</v>
      </c>
      <c r="E1147" s="24">
        <v>1963.4659999999999</v>
      </c>
      <c r="F1147" s="23">
        <f t="shared" si="17"/>
        <v>-3.7354857958178389E-3</v>
      </c>
    </row>
    <row r="1148" spans="1:6" x14ac:dyDescent="0.35">
      <c r="A1148" s="22">
        <v>46169</v>
      </c>
      <c r="B1148" s="24">
        <v>1964.414</v>
      </c>
      <c r="C1148" s="24">
        <v>1964.414</v>
      </c>
      <c r="D1148" s="24">
        <v>1964.414</v>
      </c>
      <c r="E1148" s="24">
        <v>1964.414</v>
      </c>
      <c r="F1148" s="23">
        <f t="shared" si="17"/>
        <v>4.8281966685447713E-4</v>
      </c>
    </row>
    <row r="1149" spans="1:6" x14ac:dyDescent="0.35">
      <c r="A1149" s="22">
        <v>46171</v>
      </c>
      <c r="B1149" s="24">
        <v>1939.1110000000001</v>
      </c>
      <c r="C1149" s="24">
        <v>1939.1110000000001</v>
      </c>
      <c r="D1149" s="24">
        <v>1939.1110000000001</v>
      </c>
      <c r="E1149" s="24">
        <v>1939.1110000000001</v>
      </c>
      <c r="F1149" s="23">
        <f t="shared" si="17"/>
        <v>-1.288068604683121E-2</v>
      </c>
    </row>
    <row r="1150" spans="1:6" x14ac:dyDescent="0.35">
      <c r="A1150" s="22">
        <v>46174</v>
      </c>
      <c r="B1150" s="24">
        <v>1925.261</v>
      </c>
      <c r="C1150" s="24">
        <v>1925.261</v>
      </c>
      <c r="D1150" s="24">
        <v>1925.261</v>
      </c>
      <c r="E1150" s="24">
        <v>1925.261</v>
      </c>
      <c r="F1150" s="23">
        <f t="shared" si="17"/>
        <v>-7.1424482662416624E-3</v>
      </c>
    </row>
    <row r="1151" spans="1:6" x14ac:dyDescent="0.35">
      <c r="A1151" s="22">
        <v>46175</v>
      </c>
      <c r="B1151" s="24">
        <v>1926.107</v>
      </c>
      <c r="C1151" s="24">
        <v>1926.107</v>
      </c>
      <c r="D1151" s="24">
        <v>1926.107</v>
      </c>
      <c r="E1151" s="24">
        <v>1926.107</v>
      </c>
      <c r="F1151" s="23">
        <f t="shared" si="17"/>
        <v>4.3942094084906081E-4</v>
      </c>
    </row>
    <row r="1152" spans="1:6" x14ac:dyDescent="0.35">
      <c r="A1152" s="22">
        <v>46176</v>
      </c>
      <c r="B1152" s="24">
        <v>1923.9</v>
      </c>
      <c r="C1152" s="24">
        <v>1923.9</v>
      </c>
      <c r="D1152" s="24">
        <v>1923.9</v>
      </c>
      <c r="E1152" s="24">
        <v>1923.9</v>
      </c>
      <c r="F1152" s="23">
        <f t="shared" si="17"/>
        <v>-1.1458345772067076E-3</v>
      </c>
    </row>
    <row r="1153" spans="1:6" x14ac:dyDescent="0.35">
      <c r="A1153" s="22">
        <v>46177</v>
      </c>
      <c r="B1153" s="24">
        <v>1926.566</v>
      </c>
      <c r="C1153" s="24">
        <v>1926.566</v>
      </c>
      <c r="D1153" s="24">
        <v>1926.566</v>
      </c>
      <c r="E1153" s="24">
        <v>1926.566</v>
      </c>
      <c r="F1153" s="23">
        <f t="shared" si="17"/>
        <v>1.3857269088829668E-3</v>
      </c>
    </row>
    <row r="1154" spans="1:6" x14ac:dyDescent="0.35">
      <c r="A1154" s="22">
        <v>46178</v>
      </c>
      <c r="B1154" s="24">
        <v>1927.499</v>
      </c>
      <c r="C1154" s="24">
        <v>1927.499</v>
      </c>
      <c r="D1154" s="24">
        <v>1927.499</v>
      </c>
      <c r="E1154" s="24">
        <v>1927.499</v>
      </c>
      <c r="F1154" s="23">
        <f t="shared" si="17"/>
        <v>4.8428135864537873E-4</v>
      </c>
    </row>
    <row r="1155" spans="1:6" x14ac:dyDescent="0.35">
      <c r="A1155" s="22">
        <v>46181</v>
      </c>
      <c r="B1155" s="24">
        <v>1912.461</v>
      </c>
      <c r="C1155" s="24">
        <v>1912.461</v>
      </c>
      <c r="D1155" s="24">
        <v>1912.461</v>
      </c>
      <c r="E1155" s="24">
        <v>1912.461</v>
      </c>
      <c r="F1155" s="23">
        <f t="shared" ref="F1155:F1217" si="18">(B1155-B1154)/B1154</f>
        <v>-7.8018198712424807E-3</v>
      </c>
    </row>
    <row r="1156" spans="1:6" x14ac:dyDescent="0.35">
      <c r="A1156" s="22">
        <v>46182</v>
      </c>
      <c r="B1156" s="24">
        <v>1928.64</v>
      </c>
      <c r="C1156" s="24">
        <v>1928.64</v>
      </c>
      <c r="D1156" s="24">
        <v>1928.64</v>
      </c>
      <c r="E1156" s="24">
        <v>1928.64</v>
      </c>
      <c r="F1156" s="23">
        <f t="shared" si="18"/>
        <v>8.4597803563053499E-3</v>
      </c>
    </row>
    <row r="1157" spans="1:6" x14ac:dyDescent="0.35">
      <c r="A1157" s="22">
        <v>46183</v>
      </c>
      <c r="B1157" s="24">
        <v>1926.223</v>
      </c>
      <c r="C1157" s="24">
        <v>1926.223</v>
      </c>
      <c r="D1157" s="24">
        <v>1926.223</v>
      </c>
      <c r="E1157" s="24">
        <v>1926.223</v>
      </c>
      <c r="F1157" s="23">
        <f t="shared" si="18"/>
        <v>-1.2532147005144265E-3</v>
      </c>
    </row>
    <row r="1158" spans="1:6" x14ac:dyDescent="0.35">
      <c r="A1158" s="22">
        <v>46184</v>
      </c>
      <c r="B1158" s="24">
        <v>1924.0809999999999</v>
      </c>
      <c r="C1158" s="24">
        <v>1924.0809999999999</v>
      </c>
      <c r="D1158" s="24">
        <v>1924.0809999999999</v>
      </c>
      <c r="E1158" s="24">
        <v>1924.0809999999999</v>
      </c>
      <c r="F1158" s="23">
        <f t="shared" si="18"/>
        <v>-1.1120207784872534E-3</v>
      </c>
    </row>
    <row r="1159" spans="1:6" x14ac:dyDescent="0.35">
      <c r="A1159" s="22">
        <v>46185</v>
      </c>
      <c r="B1159" s="24">
        <v>1959.85</v>
      </c>
      <c r="C1159" s="24">
        <v>1959.85</v>
      </c>
      <c r="D1159" s="24">
        <v>1959.85</v>
      </c>
      <c r="E1159" s="24">
        <v>1959.85</v>
      </c>
      <c r="F1159" s="23">
        <f t="shared" si="18"/>
        <v>1.8590173698508537E-2</v>
      </c>
    </row>
    <row r="1160" spans="1:6" x14ac:dyDescent="0.35">
      <c r="A1160" s="22">
        <v>46188</v>
      </c>
      <c r="B1160" s="24">
        <v>1980.0920000000001</v>
      </c>
      <c r="C1160" s="24">
        <v>1980.0920000000001</v>
      </c>
      <c r="D1160" s="24">
        <v>1980.0920000000001</v>
      </c>
      <c r="E1160" s="24">
        <v>1980.0920000000001</v>
      </c>
      <c r="F1160" s="23">
        <f t="shared" si="18"/>
        <v>1.0328341454703262E-2</v>
      </c>
    </row>
    <row r="1161" spans="1:6" x14ac:dyDescent="0.35">
      <c r="A1161" s="22">
        <v>46189</v>
      </c>
      <c r="B1161" s="24">
        <v>1984.7809999999999</v>
      </c>
      <c r="C1161" s="24">
        <v>1984.7809999999999</v>
      </c>
      <c r="D1161" s="24">
        <v>1984.7809999999999</v>
      </c>
      <c r="E1161" s="24">
        <v>1984.7809999999999</v>
      </c>
      <c r="F1161" s="23">
        <f t="shared" si="18"/>
        <v>2.3680717865633772E-3</v>
      </c>
    </row>
    <row r="1162" spans="1:6" x14ac:dyDescent="0.35">
      <c r="A1162" s="22">
        <v>46190</v>
      </c>
      <c r="B1162" s="24">
        <v>1990.578</v>
      </c>
      <c r="C1162" s="24">
        <v>1990.578</v>
      </c>
      <c r="D1162" s="24">
        <v>1990.578</v>
      </c>
      <c r="E1162" s="24">
        <v>1990.578</v>
      </c>
      <c r="F1162" s="23">
        <f t="shared" si="18"/>
        <v>2.9207252588572875E-3</v>
      </c>
    </row>
    <row r="1163" spans="1:6" x14ac:dyDescent="0.35">
      <c r="A1163" s="22">
        <v>46191</v>
      </c>
      <c r="B1163" s="24">
        <v>2001.569</v>
      </c>
      <c r="C1163" s="24">
        <v>2001.569</v>
      </c>
      <c r="D1163" s="24">
        <v>2001.569</v>
      </c>
      <c r="E1163" s="24">
        <v>2001.569</v>
      </c>
      <c r="F1163" s="23">
        <f t="shared" si="18"/>
        <v>5.5215118422890161E-3</v>
      </c>
    </row>
    <row r="1164" spans="1:6" x14ac:dyDescent="0.35">
      <c r="A1164" s="22">
        <v>46192</v>
      </c>
      <c r="B1164" s="24">
        <v>2000.152</v>
      </c>
      <c r="C1164" s="24">
        <v>2000.152</v>
      </c>
      <c r="D1164" s="24">
        <v>2000.152</v>
      </c>
      <c r="E1164" s="24">
        <v>2000.152</v>
      </c>
      <c r="F1164" s="23">
        <f t="shared" si="18"/>
        <v>-7.0794461744757057E-4</v>
      </c>
    </row>
    <row r="1165" spans="1:6" x14ac:dyDescent="0.35">
      <c r="A1165" s="22">
        <v>46195</v>
      </c>
      <c r="B1165" s="24">
        <v>2009.6289999999999</v>
      </c>
      <c r="C1165" s="24">
        <v>2009.6289999999999</v>
      </c>
      <c r="D1165" s="24">
        <v>2009.6289999999999</v>
      </c>
      <c r="E1165" s="24">
        <v>2009.6289999999999</v>
      </c>
      <c r="F1165" s="23">
        <f t="shared" si="18"/>
        <v>4.7381399013674266E-3</v>
      </c>
    </row>
    <row r="1166" spans="1:6" x14ac:dyDescent="0.35">
      <c r="A1166" s="22">
        <v>46196</v>
      </c>
      <c r="B1166" s="24">
        <v>1995.8440000000001</v>
      </c>
      <c r="C1166" s="24">
        <v>1995.8440000000001</v>
      </c>
      <c r="D1166" s="24">
        <v>1995.8440000000001</v>
      </c>
      <c r="E1166" s="24">
        <v>1995.8440000000001</v>
      </c>
      <c r="F1166" s="23">
        <f t="shared" si="18"/>
        <v>-6.8594750573363816E-3</v>
      </c>
    </row>
    <row r="1167" spans="1:6" x14ac:dyDescent="0.35">
      <c r="A1167" s="22">
        <v>46197</v>
      </c>
      <c r="B1167" s="24">
        <v>2010.1310000000001</v>
      </c>
      <c r="C1167" s="24">
        <v>2010.1310000000001</v>
      </c>
      <c r="D1167" s="24">
        <v>2010.1310000000001</v>
      </c>
      <c r="E1167" s="24">
        <v>2010.1310000000001</v>
      </c>
      <c r="F1167" s="23">
        <f t="shared" si="18"/>
        <v>7.1583751034650176E-3</v>
      </c>
    </row>
    <row r="1168" spans="1:6" x14ac:dyDescent="0.35">
      <c r="A1168" s="22">
        <v>46198</v>
      </c>
      <c r="B1168" s="24">
        <v>2013.712</v>
      </c>
      <c r="C1168" s="24">
        <v>2013.712</v>
      </c>
      <c r="D1168" s="24">
        <v>2013.712</v>
      </c>
      <c r="E1168" s="24">
        <v>2013.712</v>
      </c>
      <c r="F1168" s="23">
        <f t="shared" si="18"/>
        <v>1.7814759336580071E-3</v>
      </c>
    </row>
    <row r="1169" spans="1:6" x14ac:dyDescent="0.35">
      <c r="A1169" s="22">
        <v>46202</v>
      </c>
      <c r="B1169" s="24">
        <v>2001.5930000000001</v>
      </c>
      <c r="C1169" s="24">
        <v>2001.5930000000001</v>
      </c>
      <c r="D1169" s="24">
        <v>2001.5930000000001</v>
      </c>
      <c r="E1169" s="24">
        <v>2001.5930000000001</v>
      </c>
      <c r="F1169" s="23">
        <f t="shared" si="18"/>
        <v>-6.0182389537331623E-3</v>
      </c>
    </row>
    <row r="1170" spans="1:6" x14ac:dyDescent="0.35">
      <c r="A1170" s="22">
        <v>46203</v>
      </c>
      <c r="B1170" s="24">
        <v>2001.393</v>
      </c>
      <c r="C1170" s="24">
        <v>2001.393</v>
      </c>
      <c r="D1170" s="24">
        <v>2001.393</v>
      </c>
      <c r="E1170" s="24">
        <v>2001.393</v>
      </c>
      <c r="F1170" s="23">
        <f t="shared" si="18"/>
        <v>-9.9920413390757002E-5</v>
      </c>
    </row>
    <row r="1171" spans="1:6" x14ac:dyDescent="0.35">
      <c r="A1171" s="22">
        <v>46204</v>
      </c>
      <c r="B1171" s="24">
        <v>2015.203</v>
      </c>
      <c r="C1171" s="24">
        <v>2015.203</v>
      </c>
      <c r="D1171" s="24">
        <v>2015.203</v>
      </c>
      <c r="E1171" s="24">
        <v>2015.203</v>
      </c>
      <c r="F1171" s="23">
        <f t="shared" si="18"/>
        <v>6.9001940148686169E-3</v>
      </c>
    </row>
    <row r="1172" spans="1:6" x14ac:dyDescent="0.35">
      <c r="A1172" s="22">
        <v>46205</v>
      </c>
      <c r="B1172" s="24">
        <v>2027.8440000000001</v>
      </c>
      <c r="C1172" s="24">
        <v>2027.8440000000001</v>
      </c>
      <c r="D1172" s="24">
        <v>2027.8440000000001</v>
      </c>
      <c r="E1172" s="24">
        <v>2027.8440000000001</v>
      </c>
      <c r="F1172" s="23">
        <f t="shared" si="18"/>
        <v>6.2728171802047122E-3</v>
      </c>
    </row>
    <row r="1173" spans="1:6" x14ac:dyDescent="0.35">
      <c r="A1173" s="22">
        <v>46206</v>
      </c>
      <c r="B1173" s="24">
        <v>2034.0630000000001</v>
      </c>
      <c r="C1173" s="24">
        <v>2034.0630000000001</v>
      </c>
      <c r="D1173" s="24">
        <v>2034.0630000000001</v>
      </c>
      <c r="E1173" s="24">
        <v>2034.0630000000001</v>
      </c>
      <c r="F1173" s="23">
        <f t="shared" si="18"/>
        <v>3.0668039553338675E-3</v>
      </c>
    </row>
    <row r="1174" spans="1:6" x14ac:dyDescent="0.35">
      <c r="A1174" s="22">
        <v>46209</v>
      </c>
      <c r="B1174" s="24">
        <v>2043.636</v>
      </c>
      <c r="C1174" s="24">
        <v>2043.636</v>
      </c>
      <c r="D1174" s="24">
        <v>2043.636</v>
      </c>
      <c r="E1174" s="24">
        <v>2043.636</v>
      </c>
      <c r="F1174" s="23">
        <f t="shared" si="18"/>
        <v>4.7063439038023229E-3</v>
      </c>
    </row>
    <row r="1175" spans="1:6" x14ac:dyDescent="0.35">
      <c r="A1175" s="22">
        <v>46210</v>
      </c>
      <c r="B1175" s="24">
        <v>2043.68</v>
      </c>
      <c r="C1175" s="24">
        <v>2043.68</v>
      </c>
      <c r="D1175" s="24">
        <v>2043.68</v>
      </c>
      <c r="E1175" s="24">
        <v>2043.68</v>
      </c>
      <c r="F1175" s="23">
        <f t="shared" si="18"/>
        <v>2.153025294137332E-5</v>
      </c>
    </row>
    <row r="1176" spans="1:6" x14ac:dyDescent="0.35">
      <c r="A1176" s="22">
        <v>46211</v>
      </c>
      <c r="B1176" s="24">
        <v>2002.5060000000001</v>
      </c>
      <c r="C1176" s="24">
        <v>2002.5060000000001</v>
      </c>
      <c r="D1176" s="24">
        <v>2002.5060000000001</v>
      </c>
      <c r="E1176" s="24">
        <v>2002.5060000000001</v>
      </c>
      <c r="F1176" s="23">
        <f t="shared" si="18"/>
        <v>-2.014698974399122E-2</v>
      </c>
    </row>
    <row r="1177" spans="1:6" x14ac:dyDescent="0.35">
      <c r="A1177" s="22">
        <v>46212</v>
      </c>
      <c r="B1177" s="24">
        <v>2016.306</v>
      </c>
      <c r="C1177" s="24">
        <v>2016.306</v>
      </c>
      <c r="D1177" s="24">
        <v>2016.306</v>
      </c>
      <c r="E1177" s="24">
        <v>2016.306</v>
      </c>
      <c r="F1177" s="23">
        <f t="shared" si="18"/>
        <v>6.8913651195052373E-3</v>
      </c>
    </row>
    <row r="1178" spans="1:6" x14ac:dyDescent="0.35">
      <c r="A1178" s="22">
        <v>46213</v>
      </c>
      <c r="B1178" s="24">
        <v>2036.46</v>
      </c>
      <c r="C1178" s="24">
        <v>2036.46</v>
      </c>
      <c r="D1178" s="24">
        <v>2036.46</v>
      </c>
      <c r="E1178" s="24">
        <v>2036.46</v>
      </c>
      <c r="F1178" s="23">
        <f t="shared" si="18"/>
        <v>9.9955066344096562E-3</v>
      </c>
    </row>
    <row r="1179" spans="1:6" x14ac:dyDescent="0.35">
      <c r="A1179" s="22">
        <v>46216</v>
      </c>
      <c r="B1179" s="24">
        <v>2036.847</v>
      </c>
      <c r="C1179" s="24">
        <v>2036.847</v>
      </c>
      <c r="D1179" s="24">
        <v>2036.847</v>
      </c>
      <c r="E1179" s="24">
        <v>2036.847</v>
      </c>
      <c r="F1179" s="23">
        <f t="shared" si="18"/>
        <v>1.9003565009867299E-4</v>
      </c>
    </row>
    <row r="1180" spans="1:6" x14ac:dyDescent="0.35">
      <c r="A1180" s="22">
        <v>46217</v>
      </c>
      <c r="B1180" s="24">
        <v>2024.3510000000001</v>
      </c>
      <c r="C1180" s="24">
        <v>2024.3510000000001</v>
      </c>
      <c r="D1180" s="24">
        <v>2024.3510000000001</v>
      </c>
      <c r="E1180" s="24">
        <v>2024.3510000000001</v>
      </c>
      <c r="F1180" s="23">
        <f t="shared" si="18"/>
        <v>-6.1349723371465145E-3</v>
      </c>
    </row>
    <row r="1181" spans="1:6" x14ac:dyDescent="0.35">
      <c r="A1181" s="22">
        <v>46218</v>
      </c>
      <c r="B1181" s="24">
        <v>2032.6759999999999</v>
      </c>
      <c r="C1181" s="24">
        <v>2032.6759999999999</v>
      </c>
      <c r="D1181" s="24">
        <v>2032.6759999999999</v>
      </c>
      <c r="E1181" s="24">
        <v>2032.6759999999999</v>
      </c>
      <c r="F1181" s="23">
        <f t="shared" si="18"/>
        <v>4.1124291192583783E-3</v>
      </c>
    </row>
    <row r="1182" spans="1:6" x14ac:dyDescent="0.35">
      <c r="A1182" s="22">
        <v>46219</v>
      </c>
      <c r="B1182" s="24">
        <v>2028.943</v>
      </c>
      <c r="C1182" s="24">
        <v>2028.943</v>
      </c>
      <c r="D1182" s="24">
        <v>2028.943</v>
      </c>
      <c r="E1182" s="24">
        <v>2028.943</v>
      </c>
      <c r="F1182" s="23">
        <f t="shared" si="18"/>
        <v>-1.8364953391489581E-3</v>
      </c>
    </row>
    <row r="1183" spans="1:6" x14ac:dyDescent="0.35">
      <c r="A1183" s="22">
        <v>46220</v>
      </c>
      <c r="B1183" s="24">
        <v>2043.566</v>
      </c>
      <c r="C1183" s="24">
        <v>2043.566</v>
      </c>
      <c r="D1183" s="24">
        <v>2043.566</v>
      </c>
      <c r="E1183" s="24">
        <v>2043.566</v>
      </c>
      <c r="F1183" s="23">
        <f t="shared" si="18"/>
        <v>7.2072009908607819E-3</v>
      </c>
    </row>
    <row r="1184" spans="1:6" x14ac:dyDescent="0.35">
      <c r="A1184" s="22">
        <v>46223</v>
      </c>
      <c r="B1184" s="24">
        <v>2036.3150000000001</v>
      </c>
      <c r="C1184" s="24">
        <v>2036.3150000000001</v>
      </c>
      <c r="D1184" s="24">
        <v>2036.3150000000001</v>
      </c>
      <c r="E1184" s="24">
        <v>2036.3150000000001</v>
      </c>
      <c r="F1184" s="23">
        <f t="shared" si="18"/>
        <v>-3.5482093556068049E-3</v>
      </c>
    </row>
    <row r="1185" spans="1:6" x14ac:dyDescent="0.35">
      <c r="A1185" s="22">
        <v>46224</v>
      </c>
      <c r="B1185" s="24">
        <v>2038.4480000000001</v>
      </c>
      <c r="C1185" s="24">
        <v>2038.4480000000001</v>
      </c>
      <c r="D1185" s="24">
        <v>2038.4480000000001</v>
      </c>
      <c r="E1185" s="24">
        <v>2038.4480000000001</v>
      </c>
      <c r="F1185" s="23">
        <f t="shared" si="18"/>
        <v>1.0474803750893345E-3</v>
      </c>
    </row>
    <row r="1186" spans="1:6" x14ac:dyDescent="0.35">
      <c r="A1186" s="22">
        <v>46225</v>
      </c>
      <c r="B1186" s="24">
        <v>2018.0519999999999</v>
      </c>
      <c r="C1186" s="24">
        <v>2018.0519999999999</v>
      </c>
      <c r="D1186" s="24">
        <v>2018.0519999999999</v>
      </c>
      <c r="E1186" s="24">
        <v>2018.0519999999999</v>
      </c>
      <c r="F1186" s="23">
        <f t="shared" si="18"/>
        <v>-1.0005651358288356E-2</v>
      </c>
    </row>
    <row r="1187" spans="1:6" x14ac:dyDescent="0.35">
      <c r="A1187" s="22">
        <v>46226</v>
      </c>
      <c r="B1187" s="24">
        <v>2007.556</v>
      </c>
      <c r="C1187" s="24">
        <v>2007.556</v>
      </c>
      <c r="D1187" s="24">
        <v>2007.556</v>
      </c>
      <c r="E1187" s="24">
        <v>2007.556</v>
      </c>
      <c r="F1187" s="23">
        <f t="shared" si="18"/>
        <v>-5.2010552750869988E-3</v>
      </c>
    </row>
    <row r="1188" spans="1:6" x14ac:dyDescent="0.35">
      <c r="A1188" s="22">
        <v>46227</v>
      </c>
      <c r="B1188" s="24">
        <v>2006.6759999999999</v>
      </c>
      <c r="C1188" s="24">
        <v>2006.6759999999999</v>
      </c>
      <c r="D1188" s="24">
        <v>2006.6759999999999</v>
      </c>
      <c r="E1188" s="24">
        <v>2006.6759999999999</v>
      </c>
      <c r="F1188" s="23">
        <f t="shared" si="18"/>
        <v>-4.3834393660755123E-4</v>
      </c>
    </row>
    <row r="1189" spans="1:6" x14ac:dyDescent="0.35">
      <c r="A1189" s="22">
        <v>46230</v>
      </c>
      <c r="B1189" s="24">
        <v>2028.3869999999999</v>
      </c>
      <c r="C1189" s="24">
        <v>2028.3869999999999</v>
      </c>
      <c r="D1189" s="24">
        <v>2028.3869999999999</v>
      </c>
      <c r="E1189" s="24">
        <v>2028.3869999999999</v>
      </c>
      <c r="F1189" s="23">
        <f t="shared" si="18"/>
        <v>1.0819384893226418E-2</v>
      </c>
    </row>
    <row r="1190" spans="1:6" x14ac:dyDescent="0.35">
      <c r="A1190" s="22">
        <v>46231</v>
      </c>
      <c r="B1190" s="24">
        <v>2032.66</v>
      </c>
      <c r="C1190" s="24">
        <v>2032.66</v>
      </c>
      <c r="D1190" s="24">
        <v>2032.66</v>
      </c>
      <c r="E1190" s="24">
        <v>2032.66</v>
      </c>
      <c r="F1190" s="23">
        <f t="shared" si="18"/>
        <v>2.1065999732793289E-3</v>
      </c>
    </row>
    <row r="1191" spans="1:6" x14ac:dyDescent="0.35">
      <c r="A1191" s="22">
        <v>46232</v>
      </c>
      <c r="B1191" s="24">
        <v>2056</v>
      </c>
      <c r="C1191" s="24">
        <v>2056</v>
      </c>
      <c r="D1191" s="24">
        <v>2056</v>
      </c>
      <c r="E1191" s="24">
        <v>2056</v>
      </c>
      <c r="F1191" s="23">
        <f t="shared" si="18"/>
        <v>1.1482490923223716E-2</v>
      </c>
    </row>
    <row r="1192" spans="1:6" x14ac:dyDescent="0.35">
      <c r="A1192" s="22">
        <v>46233</v>
      </c>
      <c r="B1192" s="24">
        <v>2058.357</v>
      </c>
      <c r="C1192" s="24">
        <v>2058.357</v>
      </c>
      <c r="D1192" s="24">
        <v>2058.357</v>
      </c>
      <c r="E1192" s="24">
        <v>2058.357</v>
      </c>
      <c r="F1192" s="23">
        <f t="shared" si="18"/>
        <v>1.1464007782101026E-3</v>
      </c>
    </row>
    <row r="1193" spans="1:6" x14ac:dyDescent="0.35">
      <c r="A1193" s="22">
        <v>46234</v>
      </c>
      <c r="B1193" s="24">
        <v>2059.826</v>
      </c>
      <c r="C1193" s="24">
        <v>2059.826</v>
      </c>
      <c r="D1193" s="24">
        <v>2059.826</v>
      </c>
      <c r="E1193" s="24">
        <v>2059.826</v>
      </c>
      <c r="F1193" s="23">
        <f t="shared" si="18"/>
        <v>7.136760046969748E-4</v>
      </c>
    </row>
    <row r="1194" spans="1:6" x14ac:dyDescent="0.35">
      <c r="A1194" s="22">
        <v>46237</v>
      </c>
      <c r="B1194" s="24">
        <v>2094.5030000000002</v>
      </c>
      <c r="C1194" s="24">
        <v>2094.5030000000002</v>
      </c>
      <c r="D1194" s="24">
        <v>2094.5030000000002</v>
      </c>
      <c r="E1194" s="24">
        <v>2094.5030000000002</v>
      </c>
      <c r="F1194" s="23">
        <f t="shared" si="18"/>
        <v>1.6834917124067827E-2</v>
      </c>
    </row>
    <row r="1195" spans="1:6" x14ac:dyDescent="0.35">
      <c r="A1195" s="22">
        <v>46238</v>
      </c>
      <c r="B1195" s="24">
        <v>2085.4299999999998</v>
      </c>
      <c r="C1195" s="24">
        <v>2085.4299999999998</v>
      </c>
      <c r="D1195" s="24">
        <v>2085.4299999999998</v>
      </c>
      <c r="E1195" s="24">
        <v>2085.4299999999998</v>
      </c>
      <c r="F1195" s="23">
        <f t="shared" si="18"/>
        <v>-4.3318152325398053E-3</v>
      </c>
    </row>
    <row r="1196" spans="1:6" x14ac:dyDescent="0.35">
      <c r="A1196" s="22">
        <v>46239</v>
      </c>
      <c r="B1196" s="24">
        <v>2089.7060000000001</v>
      </c>
      <c r="C1196" s="24">
        <v>2089.7060000000001</v>
      </c>
      <c r="D1196" s="24">
        <v>2089.7060000000001</v>
      </c>
      <c r="E1196" s="24">
        <v>2089.7060000000001</v>
      </c>
      <c r="F1196" s="23">
        <f t="shared" si="18"/>
        <v>2.0504164608739182E-3</v>
      </c>
    </row>
    <row r="1197" spans="1:6" x14ac:dyDescent="0.35">
      <c r="A1197" s="22">
        <v>46240</v>
      </c>
      <c r="B1197" s="24">
        <v>2087.252</v>
      </c>
      <c r="C1197" s="24">
        <v>2087.252</v>
      </c>
      <c r="D1197" s="24">
        <v>2087.252</v>
      </c>
      <c r="E1197" s="24">
        <v>2087.252</v>
      </c>
      <c r="F1197" s="23">
        <f t="shared" si="18"/>
        <v>-1.1743278719591073E-3</v>
      </c>
    </row>
    <row r="1198" spans="1:6" x14ac:dyDescent="0.35">
      <c r="A1198" s="22">
        <v>46241</v>
      </c>
      <c r="B1198" s="24">
        <v>2086.4899999999998</v>
      </c>
      <c r="C1198" s="24">
        <v>2086.4899999999998</v>
      </c>
      <c r="D1198" s="24">
        <v>2087.252</v>
      </c>
      <c r="E1198" s="24">
        <v>2086.4899999999998</v>
      </c>
      <c r="F1198" s="23">
        <f t="shared" si="18"/>
        <v>-3.650733117036999E-4</v>
      </c>
    </row>
    <row r="1199" spans="1:6" x14ac:dyDescent="0.35">
      <c r="A1199" s="22">
        <v>46244</v>
      </c>
      <c r="B1199" s="24">
        <v>2087.5349999999999</v>
      </c>
      <c r="C1199" s="24">
        <v>2087.5349999999999</v>
      </c>
      <c r="D1199" s="24">
        <v>2087.5349999999999</v>
      </c>
      <c r="E1199" s="24">
        <v>2087.5349999999999</v>
      </c>
      <c r="F1199" s="23">
        <f t="shared" si="18"/>
        <v>5.0084112552663707E-4</v>
      </c>
    </row>
    <row r="1200" spans="1:6" x14ac:dyDescent="0.35">
      <c r="A1200" s="22">
        <v>46245</v>
      </c>
      <c r="B1200" s="24">
        <v>2086.8119999999999</v>
      </c>
      <c r="C1200" s="24">
        <v>2086.8119999999999</v>
      </c>
      <c r="D1200" s="24">
        <v>2086.8119999999999</v>
      </c>
      <c r="E1200" s="24">
        <v>2086.8119999999999</v>
      </c>
      <c r="F1200" s="23">
        <f t="shared" si="18"/>
        <v>-3.4634149846587308E-4</v>
      </c>
    </row>
    <row r="1201" spans="1:6" x14ac:dyDescent="0.35">
      <c r="A1201" s="22">
        <v>46246</v>
      </c>
      <c r="B1201" s="24">
        <v>2086.607</v>
      </c>
      <c r="C1201" s="24">
        <v>2086.607</v>
      </c>
      <c r="D1201" s="24">
        <v>2086.607</v>
      </c>
      <c r="E1201" s="24">
        <v>2086.607</v>
      </c>
      <c r="F1201" s="23">
        <f t="shared" si="18"/>
        <v>-9.8235969507520202E-5</v>
      </c>
    </row>
    <row r="1202" spans="1:6" x14ac:dyDescent="0.35">
      <c r="A1202" s="22">
        <v>46247</v>
      </c>
      <c r="B1202" s="24">
        <v>2084.8879999999999</v>
      </c>
      <c r="C1202" s="24">
        <v>2084.8879999999999</v>
      </c>
      <c r="D1202" s="24">
        <v>2084.8879999999999</v>
      </c>
      <c r="E1202" s="24">
        <v>2084.8879999999999</v>
      </c>
      <c r="F1202" s="23">
        <f t="shared" si="18"/>
        <v>-8.2382547360382232E-4</v>
      </c>
    </row>
    <row r="1203" spans="1:6" x14ac:dyDescent="0.35">
      <c r="A1203" s="22">
        <v>46248</v>
      </c>
      <c r="B1203" s="24">
        <v>2081.2579999999998</v>
      </c>
      <c r="C1203" s="24">
        <v>2081.2579999999998</v>
      </c>
      <c r="D1203" s="24">
        <v>2081.2579999999998</v>
      </c>
      <c r="E1203" s="24">
        <v>2081.2579999999998</v>
      </c>
      <c r="F1203" s="23">
        <f t="shared" si="18"/>
        <v>-1.741100720998015E-3</v>
      </c>
    </row>
    <row r="1204" spans="1:6" x14ac:dyDescent="0.35">
      <c r="A1204" s="22">
        <v>46251</v>
      </c>
      <c r="B1204" s="24">
        <v>2078.0419999999999</v>
      </c>
      <c r="C1204" s="24">
        <v>2078.0419999999999</v>
      </c>
      <c r="D1204" s="24">
        <v>2078.0419999999999</v>
      </c>
      <c r="E1204" s="24">
        <v>2078.0419999999999</v>
      </c>
      <c r="F1204" s="23">
        <f t="shared" si="18"/>
        <v>-1.5452192856435362E-3</v>
      </c>
    </row>
    <row r="1205" spans="1:6" x14ac:dyDescent="0.35">
      <c r="A1205" s="22">
        <v>46252</v>
      </c>
      <c r="B1205" s="24">
        <v>2072.4540000000002</v>
      </c>
      <c r="C1205" s="24">
        <v>2072.4540000000002</v>
      </c>
      <c r="D1205" s="24">
        <v>2072.4540000000002</v>
      </c>
      <c r="E1205" s="24">
        <v>2072.4540000000002</v>
      </c>
      <c r="F1205" s="23">
        <f t="shared" si="18"/>
        <v>-2.689069807058634E-3</v>
      </c>
    </row>
    <row r="1206" spans="1:6" x14ac:dyDescent="0.35">
      <c r="A1206" s="22">
        <v>46253</v>
      </c>
      <c r="B1206" s="24">
        <v>2068.556</v>
      </c>
      <c r="C1206" s="24">
        <v>2068.556</v>
      </c>
      <c r="D1206" s="24">
        <v>2068.556</v>
      </c>
      <c r="E1206" s="24">
        <v>2068.556</v>
      </c>
      <c r="F1206" s="23">
        <f t="shared" si="18"/>
        <v>-1.8808620118951436E-3</v>
      </c>
    </row>
    <row r="1207" spans="1:6" x14ac:dyDescent="0.35">
      <c r="A1207" s="22">
        <v>46254</v>
      </c>
      <c r="B1207" s="24">
        <v>2082.3670000000002</v>
      </c>
      <c r="C1207" s="24">
        <v>2082.3670000000002</v>
      </c>
      <c r="D1207" s="24">
        <v>2082.3670000000002</v>
      </c>
      <c r="E1207" s="24">
        <v>2068.556</v>
      </c>
      <c r="F1207" s="23">
        <f t="shared" si="18"/>
        <v>6.6766381959203177E-3</v>
      </c>
    </row>
    <row r="1208" spans="1:6" x14ac:dyDescent="0.35">
      <c r="A1208" s="22">
        <v>46255</v>
      </c>
      <c r="B1208" s="24">
        <v>2082.607</v>
      </c>
      <c r="C1208" s="24">
        <v>2082.607</v>
      </c>
      <c r="D1208" s="24">
        <v>2082.607</v>
      </c>
      <c r="E1208" s="24">
        <v>2082.607</v>
      </c>
      <c r="F1208" s="23">
        <f t="shared" si="18"/>
        <v>1.1525345916439402E-4</v>
      </c>
    </row>
    <row r="1209" spans="1:6" x14ac:dyDescent="0.35">
      <c r="A1209" s="22">
        <v>46258</v>
      </c>
      <c r="B1209" s="24">
        <v>2080.4299999999998</v>
      </c>
      <c r="C1209" s="24">
        <v>2080.4299999999998</v>
      </c>
      <c r="D1209" s="24">
        <v>2080.4299999999998</v>
      </c>
      <c r="E1209" s="24">
        <v>2080.4299999999998</v>
      </c>
      <c r="F1209" s="23">
        <f t="shared" si="18"/>
        <v>-1.0453244419134932E-3</v>
      </c>
    </row>
    <row r="1210" spans="1:6" x14ac:dyDescent="0.35">
      <c r="A1210" s="22">
        <v>46259</v>
      </c>
      <c r="B1210" s="24">
        <v>2086.8240000000001</v>
      </c>
      <c r="C1210" s="24">
        <v>2086.8240000000001</v>
      </c>
      <c r="D1210" s="24">
        <v>2086.8240000000001</v>
      </c>
      <c r="E1210" s="24">
        <v>2086.8240000000001</v>
      </c>
      <c r="F1210" s="23">
        <f t="shared" si="18"/>
        <v>3.0734030945526805E-3</v>
      </c>
    </row>
    <row r="1211" spans="1:6" x14ac:dyDescent="0.35">
      <c r="A1211" s="22">
        <v>46260</v>
      </c>
      <c r="B1211" s="24">
        <v>2089.8470000000002</v>
      </c>
      <c r="C1211" s="24">
        <v>2089.8470000000002</v>
      </c>
      <c r="D1211" s="24">
        <v>2089.8470000000002</v>
      </c>
      <c r="E1211" s="24">
        <v>2089.8470000000002</v>
      </c>
      <c r="F1211" s="23">
        <f t="shared" si="18"/>
        <v>1.4486128202474853E-3</v>
      </c>
    </row>
    <row r="1212" spans="1:6" x14ac:dyDescent="0.35">
      <c r="A1212" s="22">
        <v>46261</v>
      </c>
      <c r="B1212" s="24">
        <v>2086.0520000000001</v>
      </c>
      <c r="C1212" s="24">
        <v>2086.0520000000001</v>
      </c>
      <c r="D1212" s="24">
        <v>2086.0520000000001</v>
      </c>
      <c r="E1212" s="24">
        <v>2086.0520000000001</v>
      </c>
      <c r="F1212" s="23">
        <f t="shared" si="18"/>
        <v>-1.8159224096309789E-3</v>
      </c>
    </row>
    <row r="1213" spans="1:6" x14ac:dyDescent="0.35">
      <c r="A1213" s="22">
        <v>46262</v>
      </c>
      <c r="B1213" s="24">
        <v>2088.415</v>
      </c>
      <c r="C1213" s="24">
        <v>2088.415</v>
      </c>
      <c r="D1213" s="24">
        <v>2088.415</v>
      </c>
      <c r="E1213" s="24">
        <v>2088.415</v>
      </c>
      <c r="F1213" s="23">
        <f t="shared" si="18"/>
        <v>1.1327617911729088E-3</v>
      </c>
    </row>
    <row r="1214" spans="1:6" x14ac:dyDescent="0.35">
      <c r="A1214" s="22">
        <v>46265</v>
      </c>
      <c r="B1214" s="24">
        <v>2091.9279999999999</v>
      </c>
      <c r="C1214" s="24">
        <v>2091.9279999999999</v>
      </c>
      <c r="D1214" s="24">
        <v>2091.9279999999999</v>
      </c>
      <c r="E1214" s="24">
        <v>2091.9279999999999</v>
      </c>
      <c r="F1214" s="23">
        <f t="shared" si="18"/>
        <v>1.6821369315964116E-3</v>
      </c>
    </row>
    <row r="1215" spans="1:6" x14ac:dyDescent="0.35">
      <c r="A1215" s="22">
        <v>46266</v>
      </c>
      <c r="B1215" s="24">
        <v>2076.9229999999998</v>
      </c>
      <c r="C1215" s="24">
        <v>2076.9229999999998</v>
      </c>
      <c r="D1215" s="24">
        <v>2076.9229999999998</v>
      </c>
      <c r="E1215" s="24">
        <v>2076.9229999999998</v>
      </c>
      <c r="F1215" s="23">
        <f t="shared" si="18"/>
        <v>-7.1728090068109941E-3</v>
      </c>
    </row>
    <row r="1216" spans="1:6" x14ac:dyDescent="0.35">
      <c r="A1216" s="22">
        <v>46267</v>
      </c>
      <c r="B1216" s="24">
        <v>2062.221</v>
      </c>
      <c r="C1216" s="24">
        <v>2062.221</v>
      </c>
      <c r="D1216" s="24">
        <v>2076.9229999999998</v>
      </c>
      <c r="E1216" s="24">
        <v>2062.221</v>
      </c>
      <c r="F1216" s="23">
        <f t="shared" si="18"/>
        <v>-7.0787410029162241E-3</v>
      </c>
    </row>
    <row r="1217" spans="1:6" x14ac:dyDescent="0.35">
      <c r="A1217" s="22">
        <v>46268</v>
      </c>
      <c r="B1217" s="24">
        <v>2064.6190000000001</v>
      </c>
      <c r="C1217" s="24">
        <v>2064.6190000000001</v>
      </c>
      <c r="D1217" s="24">
        <v>2064.6190000000001</v>
      </c>
      <c r="E1217" s="24">
        <v>2064.6190000000001</v>
      </c>
      <c r="F1217" s="23">
        <f t="shared" si="18"/>
        <v>1.1628239650358222E-3</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17"/>
  <sheetViews>
    <sheetView topLeftCell="A1200" zoomScaleNormal="100" workbookViewId="0">
      <selection activeCell="I1215" sqref="I1215"/>
    </sheetView>
  </sheetViews>
  <sheetFormatPr defaultColWidth="8.54296875" defaultRowHeight="14.5" x14ac:dyDescent="0.35"/>
  <cols>
    <col min="1" max="1" width="9.36328125" customWidth="1"/>
  </cols>
  <sheetData>
    <row r="1" spans="1:6" x14ac:dyDescent="0.35">
      <c r="A1" t="s">
        <v>33</v>
      </c>
      <c r="B1" t="s">
        <v>34</v>
      </c>
      <c r="C1" t="s">
        <v>35</v>
      </c>
      <c r="D1" t="s">
        <v>36</v>
      </c>
      <c r="E1" t="s">
        <v>37</v>
      </c>
      <c r="F1" t="s">
        <v>39</v>
      </c>
    </row>
    <row r="2" spans="1:6" x14ac:dyDescent="0.35">
      <c r="A2" s="22">
        <v>44445</v>
      </c>
      <c r="B2">
        <v>51.182000000000002</v>
      </c>
      <c r="C2">
        <v>51.182000000000002</v>
      </c>
      <c r="D2">
        <v>51.182000000000002</v>
      </c>
      <c r="E2">
        <v>51.182000000000002</v>
      </c>
    </row>
    <row r="3" spans="1:6" x14ac:dyDescent="0.35">
      <c r="A3" s="22">
        <v>44446</v>
      </c>
      <c r="B3">
        <v>51.161000000000001</v>
      </c>
      <c r="C3">
        <v>51.161000000000001</v>
      </c>
      <c r="D3">
        <v>51.161000000000001</v>
      </c>
      <c r="E3">
        <v>51.161000000000001</v>
      </c>
      <c r="F3" s="23">
        <f t="shared" ref="F3:F66" si="0">(B3-B2)/B2</f>
        <v>-4.1030049626823484E-4</v>
      </c>
    </row>
    <row r="4" spans="1:6" x14ac:dyDescent="0.35">
      <c r="A4" s="22">
        <v>44447</v>
      </c>
      <c r="B4">
        <v>51.515000000000001</v>
      </c>
      <c r="C4">
        <v>51.515000000000001</v>
      </c>
      <c r="D4">
        <v>51.515000000000001</v>
      </c>
      <c r="E4">
        <v>51.515000000000001</v>
      </c>
      <c r="F4" s="23">
        <f t="shared" si="0"/>
        <v>6.9193330857488947E-3</v>
      </c>
    </row>
    <row r="5" spans="1:6" x14ac:dyDescent="0.35">
      <c r="A5" s="22">
        <v>44448</v>
      </c>
      <c r="B5">
        <v>51.664999999999999</v>
      </c>
      <c r="C5">
        <v>51.664999999999999</v>
      </c>
      <c r="D5">
        <v>51.664999999999999</v>
      </c>
      <c r="E5">
        <v>51.664999999999999</v>
      </c>
      <c r="F5" s="23">
        <f t="shared" si="0"/>
        <v>2.9117732699213547E-3</v>
      </c>
    </row>
    <row r="6" spans="1:6" x14ac:dyDescent="0.35">
      <c r="A6" s="22">
        <v>44452</v>
      </c>
      <c r="B6">
        <v>51.679000000000002</v>
      </c>
      <c r="C6">
        <v>51.679000000000002</v>
      </c>
      <c r="D6">
        <v>51.679000000000002</v>
      </c>
      <c r="E6">
        <v>51.679000000000002</v>
      </c>
      <c r="F6" s="23">
        <f t="shared" si="0"/>
        <v>2.7097648311241458E-4</v>
      </c>
    </row>
    <row r="7" spans="1:6" x14ac:dyDescent="0.35">
      <c r="A7" s="22">
        <v>44453</v>
      </c>
      <c r="B7">
        <v>51.837000000000003</v>
      </c>
      <c r="C7">
        <v>51.837000000000003</v>
      </c>
      <c r="D7">
        <v>51.837000000000003</v>
      </c>
      <c r="E7">
        <v>51.837000000000003</v>
      </c>
      <c r="F7" s="23">
        <f t="shared" si="0"/>
        <v>3.0573347007488774E-3</v>
      </c>
    </row>
    <row r="8" spans="1:6" x14ac:dyDescent="0.35">
      <c r="A8" s="22">
        <v>44454</v>
      </c>
      <c r="B8">
        <v>52.210999999999999</v>
      </c>
      <c r="C8">
        <v>52.210999999999999</v>
      </c>
      <c r="D8">
        <v>52.210999999999999</v>
      </c>
      <c r="E8">
        <v>52.210999999999999</v>
      </c>
      <c r="F8" s="23">
        <f t="shared" si="0"/>
        <v>7.2149237031463084E-3</v>
      </c>
    </row>
    <row r="9" spans="1:6" x14ac:dyDescent="0.35">
      <c r="A9" s="22">
        <v>44455</v>
      </c>
      <c r="B9">
        <v>52.83</v>
      </c>
      <c r="C9">
        <v>52.83</v>
      </c>
      <c r="D9">
        <v>52.83</v>
      </c>
      <c r="E9">
        <v>52.83</v>
      </c>
      <c r="F9" s="23">
        <f t="shared" si="0"/>
        <v>1.1855739212043435E-2</v>
      </c>
    </row>
    <row r="10" spans="1:6" x14ac:dyDescent="0.35">
      <c r="A10" s="22">
        <v>44456</v>
      </c>
      <c r="B10">
        <v>52.646999999999998</v>
      </c>
      <c r="C10">
        <v>52.646999999999998</v>
      </c>
      <c r="D10">
        <v>52.646999999999998</v>
      </c>
      <c r="E10">
        <v>52.646999999999998</v>
      </c>
      <c r="F10" s="23">
        <f t="shared" si="0"/>
        <v>-3.4639409426462206E-3</v>
      </c>
    </row>
    <row r="11" spans="1:6" x14ac:dyDescent="0.35">
      <c r="A11" s="22">
        <v>44459</v>
      </c>
      <c r="B11">
        <v>52.173000000000002</v>
      </c>
      <c r="C11">
        <v>52.173000000000002</v>
      </c>
      <c r="D11">
        <v>52.173000000000002</v>
      </c>
      <c r="E11">
        <v>52.173000000000002</v>
      </c>
      <c r="F11" s="23">
        <f t="shared" si="0"/>
        <v>-9.0033620149295619E-3</v>
      </c>
    </row>
    <row r="12" spans="1:6" x14ac:dyDescent="0.35">
      <c r="A12" s="22">
        <v>44460</v>
      </c>
      <c r="B12">
        <v>52.317999999999998</v>
      </c>
      <c r="C12">
        <v>52.317999999999998</v>
      </c>
      <c r="D12">
        <v>52.317999999999998</v>
      </c>
      <c r="E12">
        <v>52.317999999999998</v>
      </c>
      <c r="F12" s="23">
        <f t="shared" si="0"/>
        <v>2.7792153029343918E-3</v>
      </c>
    </row>
    <row r="13" spans="1:6" x14ac:dyDescent="0.35">
      <c r="A13" s="22">
        <v>44461</v>
      </c>
      <c r="B13">
        <v>52.677</v>
      </c>
      <c r="C13">
        <v>52.677</v>
      </c>
      <c r="D13">
        <v>52.677</v>
      </c>
      <c r="E13">
        <v>52.677</v>
      </c>
      <c r="F13" s="23">
        <f t="shared" si="0"/>
        <v>6.8618830995068958E-3</v>
      </c>
    </row>
    <row r="14" spans="1:6" x14ac:dyDescent="0.35">
      <c r="A14" s="22">
        <v>44462</v>
      </c>
      <c r="B14">
        <v>53.106999999999999</v>
      </c>
      <c r="C14">
        <v>53.106999999999999</v>
      </c>
      <c r="D14">
        <v>53.106999999999999</v>
      </c>
      <c r="E14">
        <v>53.106999999999999</v>
      </c>
      <c r="F14" s="23">
        <f t="shared" si="0"/>
        <v>8.162955369516103E-3</v>
      </c>
    </row>
    <row r="15" spans="1:6" x14ac:dyDescent="0.35">
      <c r="A15" s="22">
        <v>44463</v>
      </c>
      <c r="B15">
        <v>53.043999999999997</v>
      </c>
      <c r="C15">
        <v>53.043999999999997</v>
      </c>
      <c r="D15">
        <v>53.043999999999997</v>
      </c>
      <c r="E15">
        <v>53.043999999999997</v>
      </c>
      <c r="F15" s="23">
        <f t="shared" si="0"/>
        <v>-1.186284293972591E-3</v>
      </c>
    </row>
    <row r="16" spans="1:6" x14ac:dyDescent="0.35">
      <c r="A16" s="22">
        <v>44466</v>
      </c>
      <c r="B16">
        <v>53.176000000000002</v>
      </c>
      <c r="C16">
        <v>53.176000000000002</v>
      </c>
      <c r="D16">
        <v>53.176000000000002</v>
      </c>
      <c r="E16">
        <v>53.176000000000002</v>
      </c>
      <c r="F16" s="23">
        <f t="shared" si="0"/>
        <v>2.4885001131137361E-3</v>
      </c>
    </row>
    <row r="17" spans="1:6" x14ac:dyDescent="0.35">
      <c r="A17" s="22">
        <v>44467</v>
      </c>
      <c r="B17">
        <v>52.75</v>
      </c>
      <c r="C17">
        <v>52.75</v>
      </c>
      <c r="D17">
        <v>52.75</v>
      </c>
      <c r="E17">
        <v>52.75</v>
      </c>
      <c r="F17" s="23">
        <f t="shared" si="0"/>
        <v>-8.011132841883593E-3</v>
      </c>
    </row>
    <row r="18" spans="1:6" x14ac:dyDescent="0.35">
      <c r="A18" s="22">
        <v>44468</v>
      </c>
      <c r="B18">
        <v>52.366999999999997</v>
      </c>
      <c r="C18">
        <v>52.366999999999997</v>
      </c>
      <c r="D18">
        <v>52.366999999999997</v>
      </c>
      <c r="E18">
        <v>52.366999999999997</v>
      </c>
      <c r="F18" s="23">
        <f t="shared" si="0"/>
        <v>-7.2606635071090558E-3</v>
      </c>
    </row>
    <row r="19" spans="1:6" x14ac:dyDescent="0.35">
      <c r="A19" s="22">
        <v>44469</v>
      </c>
      <c r="B19">
        <v>52.356000000000002</v>
      </c>
      <c r="C19">
        <v>52.356000000000002</v>
      </c>
      <c r="D19">
        <v>52.356000000000002</v>
      </c>
      <c r="E19">
        <v>52.356000000000002</v>
      </c>
      <c r="F19" s="23">
        <f t="shared" si="0"/>
        <v>-2.1005595126693681E-4</v>
      </c>
    </row>
    <row r="20" spans="1:6" x14ac:dyDescent="0.35">
      <c r="A20" s="22">
        <v>44470</v>
      </c>
      <c r="B20">
        <v>51.988999999999997</v>
      </c>
      <c r="C20">
        <v>51.988999999999997</v>
      </c>
      <c r="D20">
        <v>51.988999999999997</v>
      </c>
      <c r="E20">
        <v>51.988999999999997</v>
      </c>
      <c r="F20" s="23">
        <f t="shared" si="0"/>
        <v>-7.009702803881206E-3</v>
      </c>
    </row>
    <row r="21" spans="1:6" x14ac:dyDescent="0.35">
      <c r="A21" s="22">
        <v>44473</v>
      </c>
      <c r="B21">
        <v>52.637</v>
      </c>
      <c r="C21">
        <v>52.637</v>
      </c>
      <c r="D21">
        <v>52.637</v>
      </c>
      <c r="E21">
        <v>52.637</v>
      </c>
      <c r="F21" s="23">
        <f t="shared" si="0"/>
        <v>1.246417511396648E-2</v>
      </c>
    </row>
    <row r="22" spans="1:6" x14ac:dyDescent="0.35">
      <c r="A22" s="22">
        <v>44474</v>
      </c>
      <c r="B22">
        <v>52.165999999999997</v>
      </c>
      <c r="C22">
        <v>52.165999999999997</v>
      </c>
      <c r="D22">
        <v>52.165999999999997</v>
      </c>
      <c r="E22">
        <v>52.165999999999997</v>
      </c>
      <c r="F22" s="23">
        <f t="shared" si="0"/>
        <v>-8.9480783479302314E-3</v>
      </c>
    </row>
    <row r="23" spans="1:6" x14ac:dyDescent="0.35">
      <c r="A23" s="22">
        <v>44475</v>
      </c>
      <c r="B23">
        <v>52.073</v>
      </c>
      <c r="C23">
        <v>52.073</v>
      </c>
      <c r="D23">
        <v>52.073</v>
      </c>
      <c r="E23">
        <v>52.073</v>
      </c>
      <c r="F23" s="23">
        <f t="shared" si="0"/>
        <v>-1.7827703868419358E-3</v>
      </c>
    </row>
    <row r="24" spans="1:6" x14ac:dyDescent="0.35">
      <c r="A24" s="22">
        <v>44476</v>
      </c>
      <c r="B24">
        <v>52.619</v>
      </c>
      <c r="C24">
        <v>52.619</v>
      </c>
      <c r="D24">
        <v>52.619</v>
      </c>
      <c r="E24">
        <v>52.619</v>
      </c>
      <c r="F24" s="23">
        <f t="shared" si="0"/>
        <v>1.0485280279607462E-2</v>
      </c>
    </row>
    <row r="25" spans="1:6" x14ac:dyDescent="0.35">
      <c r="A25" s="22">
        <v>44477</v>
      </c>
      <c r="B25">
        <v>53.271000000000001</v>
      </c>
      <c r="C25">
        <v>53.271000000000001</v>
      </c>
      <c r="D25">
        <v>53.271000000000001</v>
      </c>
      <c r="E25">
        <v>53.271000000000001</v>
      </c>
      <c r="F25" s="23">
        <f t="shared" si="0"/>
        <v>1.2390961439784128E-2</v>
      </c>
    </row>
    <row r="26" spans="1:6" x14ac:dyDescent="0.35">
      <c r="A26" s="22">
        <v>44480</v>
      </c>
      <c r="B26">
        <v>53.911000000000001</v>
      </c>
      <c r="C26">
        <v>53.911000000000001</v>
      </c>
      <c r="D26">
        <v>53.911000000000001</v>
      </c>
      <c r="E26">
        <v>53.911000000000001</v>
      </c>
      <c r="F26" s="23">
        <f t="shared" si="0"/>
        <v>1.2014041410898998E-2</v>
      </c>
    </row>
    <row r="27" spans="1:6" x14ac:dyDescent="0.35">
      <c r="A27" s="22">
        <v>44481</v>
      </c>
      <c r="B27">
        <v>53.981999999999999</v>
      </c>
      <c r="C27">
        <v>53.981999999999999</v>
      </c>
      <c r="D27">
        <v>53.981999999999999</v>
      </c>
      <c r="E27">
        <v>53.981999999999999</v>
      </c>
      <c r="F27" s="23">
        <f t="shared" si="0"/>
        <v>1.3169854018660004E-3</v>
      </c>
    </row>
    <row r="28" spans="1:6" x14ac:dyDescent="0.35">
      <c r="A28" s="22">
        <v>44482</v>
      </c>
      <c r="B28">
        <v>54.15</v>
      </c>
      <c r="C28">
        <v>54.15</v>
      </c>
      <c r="D28">
        <v>54.15</v>
      </c>
      <c r="E28">
        <v>54.15</v>
      </c>
      <c r="F28" s="23">
        <f t="shared" si="0"/>
        <v>3.1121484939424116E-3</v>
      </c>
    </row>
    <row r="29" spans="1:6" x14ac:dyDescent="0.35">
      <c r="A29" s="22">
        <v>44483</v>
      </c>
      <c r="B29">
        <v>54.72</v>
      </c>
      <c r="C29">
        <v>54.72</v>
      </c>
      <c r="D29">
        <v>54.72</v>
      </c>
      <c r="E29">
        <v>54.72</v>
      </c>
      <c r="F29" s="23">
        <f t="shared" si="0"/>
        <v>1.0526315789473689E-2</v>
      </c>
    </row>
    <row r="30" spans="1:6" x14ac:dyDescent="0.35">
      <c r="A30" s="22">
        <v>44487</v>
      </c>
      <c r="B30">
        <v>55.139000000000003</v>
      </c>
      <c r="C30">
        <v>55.139000000000003</v>
      </c>
      <c r="D30">
        <v>55.139000000000003</v>
      </c>
      <c r="E30">
        <v>55.139000000000003</v>
      </c>
      <c r="F30" s="23">
        <f t="shared" si="0"/>
        <v>7.6571637426901323E-3</v>
      </c>
    </row>
    <row r="31" spans="1:6" x14ac:dyDescent="0.35">
      <c r="A31" s="22">
        <v>44488</v>
      </c>
      <c r="B31">
        <v>55.316000000000003</v>
      </c>
      <c r="C31">
        <v>55.316000000000003</v>
      </c>
      <c r="D31">
        <v>55.316000000000003</v>
      </c>
      <c r="E31">
        <v>55.316000000000003</v>
      </c>
      <c r="F31" s="23">
        <f t="shared" si="0"/>
        <v>3.2100690980975278E-3</v>
      </c>
    </row>
    <row r="32" spans="1:6" x14ac:dyDescent="0.35">
      <c r="A32" s="22">
        <v>44489</v>
      </c>
      <c r="B32">
        <v>54.875999999999998</v>
      </c>
      <c r="C32">
        <v>54.875999999999998</v>
      </c>
      <c r="D32">
        <v>54.875999999999998</v>
      </c>
      <c r="E32">
        <v>54.875999999999998</v>
      </c>
      <c r="F32" s="23">
        <f t="shared" si="0"/>
        <v>-7.9542989370165011E-3</v>
      </c>
    </row>
    <row r="33" spans="1:6" x14ac:dyDescent="0.35">
      <c r="A33" s="22">
        <v>44490</v>
      </c>
      <c r="B33">
        <v>54.32</v>
      </c>
      <c r="C33">
        <v>54.32</v>
      </c>
      <c r="D33">
        <v>54.32</v>
      </c>
      <c r="E33">
        <v>54.32</v>
      </c>
      <c r="F33" s="23">
        <f t="shared" si="0"/>
        <v>-1.0131933814417913E-2</v>
      </c>
    </row>
    <row r="34" spans="1:6" x14ac:dyDescent="0.35">
      <c r="A34" s="22">
        <v>44491</v>
      </c>
      <c r="B34">
        <v>54.066000000000003</v>
      </c>
      <c r="C34">
        <v>54.066000000000003</v>
      </c>
      <c r="D34">
        <v>54.066000000000003</v>
      </c>
      <c r="E34">
        <v>54.066000000000003</v>
      </c>
      <c r="F34" s="23">
        <f t="shared" si="0"/>
        <v>-4.6759941089837588E-3</v>
      </c>
    </row>
    <row r="35" spans="1:6" x14ac:dyDescent="0.35">
      <c r="A35" s="22">
        <v>44494</v>
      </c>
      <c r="B35">
        <v>53.241</v>
      </c>
      <c r="C35">
        <v>53.241</v>
      </c>
      <c r="D35">
        <v>53.241</v>
      </c>
      <c r="E35">
        <v>53.241</v>
      </c>
      <c r="F35" s="23">
        <f t="shared" si="0"/>
        <v>-1.525912773277111E-2</v>
      </c>
    </row>
    <row r="36" spans="1:6" x14ac:dyDescent="0.35">
      <c r="A36" s="22">
        <v>44495</v>
      </c>
      <c r="B36">
        <v>53.576999999999998</v>
      </c>
      <c r="C36">
        <v>53.576999999999998</v>
      </c>
      <c r="D36">
        <v>53.576999999999998</v>
      </c>
      <c r="E36">
        <v>53.576999999999998</v>
      </c>
      <c r="F36" s="23">
        <f t="shared" si="0"/>
        <v>6.3109257902743852E-3</v>
      </c>
    </row>
    <row r="37" spans="1:6" x14ac:dyDescent="0.35">
      <c r="A37" s="22">
        <v>44496</v>
      </c>
      <c r="B37">
        <v>53.65</v>
      </c>
      <c r="C37">
        <v>53.65</v>
      </c>
      <c r="D37">
        <v>53.65</v>
      </c>
      <c r="E37">
        <v>53.65</v>
      </c>
      <c r="F37" s="23">
        <f t="shared" si="0"/>
        <v>1.3625249640704109E-3</v>
      </c>
    </row>
    <row r="38" spans="1:6" x14ac:dyDescent="0.35">
      <c r="A38" s="22">
        <v>44497</v>
      </c>
      <c r="B38">
        <v>53.064999999999998</v>
      </c>
      <c r="C38">
        <v>53.064999999999998</v>
      </c>
      <c r="D38">
        <v>53.064999999999998</v>
      </c>
      <c r="E38">
        <v>53.064999999999998</v>
      </c>
      <c r="F38" s="23">
        <f t="shared" si="0"/>
        <v>-1.0904007455731609E-2</v>
      </c>
    </row>
    <row r="39" spans="1:6" x14ac:dyDescent="0.35">
      <c r="A39" s="22">
        <v>44498</v>
      </c>
      <c r="B39">
        <v>53.143999999999998</v>
      </c>
      <c r="C39">
        <v>53.143999999999998</v>
      </c>
      <c r="D39">
        <v>53.143999999999998</v>
      </c>
      <c r="E39">
        <v>53.143999999999998</v>
      </c>
      <c r="F39" s="23">
        <f t="shared" si="0"/>
        <v>1.4887402242532862E-3</v>
      </c>
    </row>
    <row r="40" spans="1:6" x14ac:dyDescent="0.35">
      <c r="A40" s="22">
        <v>44501</v>
      </c>
      <c r="B40">
        <v>53.790999999999997</v>
      </c>
      <c r="C40">
        <v>53.790999999999997</v>
      </c>
      <c r="D40">
        <v>53.790999999999997</v>
      </c>
      <c r="E40">
        <v>53.790999999999997</v>
      </c>
      <c r="F40" s="23">
        <f t="shared" si="0"/>
        <v>1.2174469366250159E-2</v>
      </c>
    </row>
    <row r="41" spans="1:6" x14ac:dyDescent="0.35">
      <c r="A41" s="22">
        <v>44502</v>
      </c>
      <c r="B41">
        <v>53.744999999999997</v>
      </c>
      <c r="C41">
        <v>53.744999999999997</v>
      </c>
      <c r="D41">
        <v>53.744999999999997</v>
      </c>
      <c r="E41">
        <v>53.744999999999997</v>
      </c>
      <c r="F41" s="23">
        <f t="shared" si="0"/>
        <v>-8.5516164414120165E-4</v>
      </c>
    </row>
    <row r="42" spans="1:6" x14ac:dyDescent="0.35">
      <c r="A42" s="22">
        <v>44503</v>
      </c>
      <c r="B42">
        <v>53.548000000000002</v>
      </c>
      <c r="C42">
        <v>53.548000000000002</v>
      </c>
      <c r="D42">
        <v>53.548000000000002</v>
      </c>
      <c r="E42">
        <v>53.548000000000002</v>
      </c>
      <c r="F42" s="23">
        <f t="shared" si="0"/>
        <v>-3.6654572518372988E-3</v>
      </c>
    </row>
    <row r="43" spans="1:6" x14ac:dyDescent="0.35">
      <c r="A43" s="22">
        <v>44508</v>
      </c>
      <c r="B43">
        <v>54.817</v>
      </c>
      <c r="C43">
        <v>54.817</v>
      </c>
      <c r="D43">
        <v>54.817</v>
      </c>
      <c r="E43">
        <v>54.817</v>
      </c>
      <c r="F43" s="23">
        <f t="shared" si="0"/>
        <v>2.3698364084559616E-2</v>
      </c>
    </row>
    <row r="44" spans="1:6" x14ac:dyDescent="0.35">
      <c r="A44" s="22">
        <v>44509</v>
      </c>
      <c r="B44">
        <v>54.822000000000003</v>
      </c>
      <c r="C44">
        <v>54.822000000000003</v>
      </c>
      <c r="D44">
        <v>54.822000000000003</v>
      </c>
      <c r="E44">
        <v>54.822000000000003</v>
      </c>
      <c r="F44" s="23">
        <f t="shared" si="0"/>
        <v>9.1212580039085644E-5</v>
      </c>
    </row>
    <row r="45" spans="1:6" x14ac:dyDescent="0.35">
      <c r="A45" s="22">
        <v>44510</v>
      </c>
      <c r="B45">
        <v>55.014000000000003</v>
      </c>
      <c r="C45">
        <v>55.014000000000003</v>
      </c>
      <c r="D45">
        <v>55.014000000000003</v>
      </c>
      <c r="E45">
        <v>55.014000000000003</v>
      </c>
      <c r="F45" s="23">
        <f t="shared" si="0"/>
        <v>3.5022436248221545E-3</v>
      </c>
    </row>
    <row r="46" spans="1:6" x14ac:dyDescent="0.35">
      <c r="A46" s="22">
        <v>44511</v>
      </c>
      <c r="B46">
        <v>54.338000000000001</v>
      </c>
      <c r="C46">
        <v>54.338000000000001</v>
      </c>
      <c r="D46">
        <v>54.338000000000001</v>
      </c>
      <c r="E46">
        <v>54.338000000000001</v>
      </c>
      <c r="F46" s="23">
        <f t="shared" si="0"/>
        <v>-1.228778129203479E-2</v>
      </c>
    </row>
    <row r="47" spans="1:6" x14ac:dyDescent="0.35">
      <c r="A47" s="22">
        <v>44512</v>
      </c>
      <c r="B47">
        <v>54.554000000000002</v>
      </c>
      <c r="C47">
        <v>54.554000000000002</v>
      </c>
      <c r="D47">
        <v>54.554000000000002</v>
      </c>
      <c r="E47">
        <v>54.554000000000002</v>
      </c>
      <c r="F47" s="23">
        <f t="shared" si="0"/>
        <v>3.9751187014612438E-3</v>
      </c>
    </row>
    <row r="48" spans="1:6" x14ac:dyDescent="0.35">
      <c r="A48" s="22">
        <v>44515</v>
      </c>
      <c r="B48">
        <v>55.237000000000002</v>
      </c>
      <c r="C48">
        <v>55.237000000000002</v>
      </c>
      <c r="D48">
        <v>55.237000000000002</v>
      </c>
      <c r="E48">
        <v>55.237000000000002</v>
      </c>
      <c r="F48" s="23">
        <f t="shared" si="0"/>
        <v>1.2519705246178096E-2</v>
      </c>
    </row>
    <row r="49" spans="1:6" x14ac:dyDescent="0.35">
      <c r="A49" s="22">
        <v>44516</v>
      </c>
      <c r="B49">
        <v>55.137</v>
      </c>
      <c r="C49">
        <v>55.137</v>
      </c>
      <c r="D49">
        <v>55.137</v>
      </c>
      <c r="E49">
        <v>55.137</v>
      </c>
      <c r="F49" s="23">
        <f t="shared" si="0"/>
        <v>-1.8103807230660865E-3</v>
      </c>
    </row>
    <row r="50" spans="1:6" x14ac:dyDescent="0.35">
      <c r="A50" s="22">
        <v>44517</v>
      </c>
      <c r="B50">
        <v>55.069000000000003</v>
      </c>
      <c r="C50">
        <v>55.069000000000003</v>
      </c>
      <c r="D50">
        <v>55.069000000000003</v>
      </c>
      <c r="E50">
        <v>55.069000000000003</v>
      </c>
      <c r="F50" s="23">
        <f t="shared" si="0"/>
        <v>-1.2332916190579437E-3</v>
      </c>
    </row>
    <row r="51" spans="1:6" x14ac:dyDescent="0.35">
      <c r="A51" s="22">
        <v>44518</v>
      </c>
      <c r="B51">
        <v>54.536999999999999</v>
      </c>
      <c r="C51">
        <v>54.536999999999999</v>
      </c>
      <c r="D51">
        <v>54.536999999999999</v>
      </c>
      <c r="E51">
        <v>54.536999999999999</v>
      </c>
      <c r="F51" s="23">
        <f t="shared" si="0"/>
        <v>-9.6606076013728871E-3</v>
      </c>
    </row>
    <row r="52" spans="1:6" x14ac:dyDescent="0.35">
      <c r="A52" s="22">
        <v>44522</v>
      </c>
      <c r="B52">
        <v>54.118000000000002</v>
      </c>
      <c r="C52">
        <v>54.118000000000002</v>
      </c>
      <c r="D52">
        <v>54.118000000000002</v>
      </c>
      <c r="E52">
        <v>54.118000000000002</v>
      </c>
      <c r="F52" s="23">
        <f t="shared" si="0"/>
        <v>-7.6828575095805951E-3</v>
      </c>
    </row>
    <row r="53" spans="1:6" x14ac:dyDescent="0.35">
      <c r="A53" s="22">
        <v>44523</v>
      </c>
      <c r="B53">
        <v>54.223999999999997</v>
      </c>
      <c r="C53">
        <v>54.223999999999997</v>
      </c>
      <c r="D53">
        <v>54.223999999999997</v>
      </c>
      <c r="E53">
        <v>54.223999999999997</v>
      </c>
      <c r="F53" s="23">
        <f t="shared" si="0"/>
        <v>1.9586828781550415E-3</v>
      </c>
    </row>
    <row r="54" spans="1:6" x14ac:dyDescent="0.35">
      <c r="A54" s="22">
        <v>44524</v>
      </c>
      <c r="B54">
        <v>53.965000000000003</v>
      </c>
      <c r="C54">
        <v>53.965000000000003</v>
      </c>
      <c r="D54">
        <v>53.965000000000003</v>
      </c>
      <c r="E54">
        <v>53.965000000000003</v>
      </c>
      <c r="F54" s="23">
        <f t="shared" si="0"/>
        <v>-4.7764827382707521E-3</v>
      </c>
    </row>
    <row r="55" spans="1:6" x14ac:dyDescent="0.35">
      <c r="A55" s="22">
        <v>44525</v>
      </c>
      <c r="B55">
        <v>54.036000000000001</v>
      </c>
      <c r="C55">
        <v>54.036000000000001</v>
      </c>
      <c r="D55">
        <v>54.036000000000001</v>
      </c>
      <c r="E55">
        <v>54.036000000000001</v>
      </c>
      <c r="F55" s="23">
        <f t="shared" si="0"/>
        <v>1.3156675623088659E-3</v>
      </c>
    </row>
    <row r="56" spans="1:6" x14ac:dyDescent="0.35">
      <c r="A56" s="22">
        <v>44526</v>
      </c>
      <c r="B56">
        <v>53.345999999999997</v>
      </c>
      <c r="C56">
        <v>53.345999999999997</v>
      </c>
      <c r="D56">
        <v>53.345999999999997</v>
      </c>
      <c r="E56">
        <v>53.345999999999997</v>
      </c>
      <c r="F56" s="23">
        <f t="shared" si="0"/>
        <v>-1.2769264934488208E-2</v>
      </c>
    </row>
    <row r="57" spans="1:6" x14ac:dyDescent="0.35">
      <c r="A57" s="22">
        <v>44529</v>
      </c>
      <c r="B57">
        <v>52.575000000000003</v>
      </c>
      <c r="C57">
        <v>52.575000000000003</v>
      </c>
      <c r="D57">
        <v>52.575000000000003</v>
      </c>
      <c r="E57">
        <v>52.575000000000003</v>
      </c>
      <c r="F57" s="23">
        <f t="shared" si="0"/>
        <v>-1.4452817455854118E-2</v>
      </c>
    </row>
    <row r="58" spans="1:6" x14ac:dyDescent="0.35">
      <c r="A58" s="22">
        <v>44530</v>
      </c>
      <c r="B58">
        <v>53.176000000000002</v>
      </c>
      <c r="C58">
        <v>53.176000000000002</v>
      </c>
      <c r="D58">
        <v>53.176000000000002</v>
      </c>
      <c r="E58">
        <v>53.176000000000002</v>
      </c>
      <c r="F58" s="23">
        <f t="shared" si="0"/>
        <v>1.1431288635282911E-2</v>
      </c>
    </row>
    <row r="59" spans="1:6" x14ac:dyDescent="0.35">
      <c r="A59" s="22">
        <v>44531</v>
      </c>
      <c r="B59">
        <v>53.051000000000002</v>
      </c>
      <c r="C59">
        <v>53.051000000000002</v>
      </c>
      <c r="D59">
        <v>53.051000000000002</v>
      </c>
      <c r="E59">
        <v>53.051000000000002</v>
      </c>
      <c r="F59" s="23">
        <f t="shared" si="0"/>
        <v>-2.3506845193320292E-3</v>
      </c>
    </row>
    <row r="60" spans="1:6" x14ac:dyDescent="0.35">
      <c r="A60" s="22">
        <v>44532</v>
      </c>
      <c r="B60">
        <v>53.462000000000003</v>
      </c>
      <c r="C60">
        <v>53.462000000000003</v>
      </c>
      <c r="D60">
        <v>53.462000000000003</v>
      </c>
      <c r="E60">
        <v>53.462000000000003</v>
      </c>
      <c r="F60" s="23">
        <f t="shared" si="0"/>
        <v>7.7472620685755467E-3</v>
      </c>
    </row>
    <row r="61" spans="1:6" x14ac:dyDescent="0.35">
      <c r="A61" s="22">
        <v>44533</v>
      </c>
      <c r="B61">
        <v>53.426000000000002</v>
      </c>
      <c r="C61">
        <v>53.426000000000002</v>
      </c>
      <c r="D61">
        <v>53.426000000000002</v>
      </c>
      <c r="E61">
        <v>53.426000000000002</v>
      </c>
      <c r="F61" s="23">
        <f t="shared" si="0"/>
        <v>-6.733754816505436E-4</v>
      </c>
    </row>
    <row r="62" spans="1:6" x14ac:dyDescent="0.35">
      <c r="A62" s="22">
        <v>44537</v>
      </c>
      <c r="B62">
        <v>53.323</v>
      </c>
      <c r="C62">
        <v>53.323</v>
      </c>
      <c r="D62">
        <v>53.323</v>
      </c>
      <c r="E62">
        <v>53.323</v>
      </c>
      <c r="F62" s="23">
        <f t="shared" si="0"/>
        <v>-1.927900273275213E-3</v>
      </c>
    </row>
    <row r="63" spans="1:6" x14ac:dyDescent="0.35">
      <c r="A63" s="22">
        <v>44538</v>
      </c>
      <c r="B63">
        <v>54.417999999999999</v>
      </c>
      <c r="C63">
        <v>54.417999999999999</v>
      </c>
      <c r="D63">
        <v>54.417999999999999</v>
      </c>
      <c r="E63">
        <v>54.417999999999999</v>
      </c>
      <c r="F63" s="23">
        <f t="shared" si="0"/>
        <v>2.0535228700560713E-2</v>
      </c>
    </row>
    <row r="64" spans="1:6" x14ac:dyDescent="0.35">
      <c r="A64" s="22">
        <v>44539</v>
      </c>
      <c r="B64">
        <v>54.784999999999997</v>
      </c>
      <c r="C64">
        <v>54.784999999999997</v>
      </c>
      <c r="D64">
        <v>54.784999999999997</v>
      </c>
      <c r="E64">
        <v>54.784999999999997</v>
      </c>
      <c r="F64" s="23">
        <f t="shared" si="0"/>
        <v>6.7440920283729161E-3</v>
      </c>
    </row>
    <row r="65" spans="1:6" x14ac:dyDescent="0.35">
      <c r="A65" s="22">
        <v>44540</v>
      </c>
      <c r="B65">
        <v>55.107999999999997</v>
      </c>
      <c r="C65">
        <v>55.107999999999997</v>
      </c>
      <c r="D65">
        <v>55.107999999999997</v>
      </c>
      <c r="E65">
        <v>55.107999999999997</v>
      </c>
      <c r="F65" s="23">
        <f t="shared" si="0"/>
        <v>5.8957743908004089E-3</v>
      </c>
    </row>
    <row r="66" spans="1:6" x14ac:dyDescent="0.35">
      <c r="A66" s="22">
        <v>44543</v>
      </c>
      <c r="B66">
        <v>55.115000000000002</v>
      </c>
      <c r="C66">
        <v>55.115000000000002</v>
      </c>
      <c r="D66">
        <v>55.115000000000002</v>
      </c>
      <c r="E66">
        <v>55.115000000000002</v>
      </c>
      <c r="F66" s="23">
        <f t="shared" si="0"/>
        <v>1.2702329970249333E-4</v>
      </c>
    </row>
    <row r="67" spans="1:6" x14ac:dyDescent="0.35">
      <c r="A67" s="22">
        <v>44544</v>
      </c>
      <c r="B67">
        <v>55.066000000000003</v>
      </c>
      <c r="C67">
        <v>55.066000000000003</v>
      </c>
      <c r="D67">
        <v>55.066000000000003</v>
      </c>
      <c r="E67">
        <v>55.066000000000003</v>
      </c>
      <c r="F67" s="23">
        <f t="shared" ref="F67:F130" si="1">(B67-B66)/B66</f>
        <v>-8.8905016783088976E-4</v>
      </c>
    </row>
    <row r="68" spans="1:6" x14ac:dyDescent="0.35">
      <c r="A68" s="22">
        <v>44545</v>
      </c>
      <c r="B68">
        <v>54.451000000000001</v>
      </c>
      <c r="C68">
        <v>54.451000000000001</v>
      </c>
      <c r="D68">
        <v>54.451000000000001</v>
      </c>
      <c r="E68">
        <v>54.451000000000001</v>
      </c>
      <c r="F68" s="23">
        <f t="shared" si="1"/>
        <v>-1.1168416082519195E-2</v>
      </c>
    </row>
    <row r="69" spans="1:6" x14ac:dyDescent="0.35">
      <c r="A69" s="22">
        <v>44546</v>
      </c>
      <c r="B69">
        <v>54.392000000000003</v>
      </c>
      <c r="C69">
        <v>54.392000000000003</v>
      </c>
      <c r="D69">
        <v>54.392000000000003</v>
      </c>
      <c r="E69">
        <v>54.392000000000003</v>
      </c>
      <c r="F69" s="23">
        <f t="shared" si="1"/>
        <v>-1.0835430019650236E-3</v>
      </c>
    </row>
    <row r="70" spans="1:6" x14ac:dyDescent="0.35">
      <c r="A70" s="22">
        <v>44547</v>
      </c>
      <c r="B70">
        <v>53.505000000000003</v>
      </c>
      <c r="C70">
        <v>53.505000000000003</v>
      </c>
      <c r="D70">
        <v>53.505000000000003</v>
      </c>
      <c r="E70">
        <v>53.505000000000003</v>
      </c>
      <c r="F70" s="23">
        <f t="shared" si="1"/>
        <v>-1.6307545227239307E-2</v>
      </c>
    </row>
    <row r="71" spans="1:6" x14ac:dyDescent="0.35">
      <c r="A71" s="22">
        <v>44550</v>
      </c>
      <c r="B71">
        <v>52.396000000000001</v>
      </c>
      <c r="C71">
        <v>52.396000000000001</v>
      </c>
      <c r="D71">
        <v>52.396000000000001</v>
      </c>
      <c r="E71">
        <v>52.396000000000001</v>
      </c>
      <c r="F71" s="23">
        <f t="shared" si="1"/>
        <v>-2.0727034856555495E-2</v>
      </c>
    </row>
    <row r="72" spans="1:6" x14ac:dyDescent="0.35">
      <c r="A72" s="22">
        <v>44551</v>
      </c>
      <c r="B72">
        <v>52.414000000000001</v>
      </c>
      <c r="C72">
        <v>52.414000000000001</v>
      </c>
      <c r="D72">
        <v>52.414000000000001</v>
      </c>
      <c r="E72">
        <v>52.414000000000001</v>
      </c>
      <c r="F72" s="23">
        <f t="shared" si="1"/>
        <v>3.4353767463166427E-4</v>
      </c>
    </row>
    <row r="73" spans="1:6" x14ac:dyDescent="0.35">
      <c r="A73" s="22">
        <v>44552</v>
      </c>
      <c r="B73">
        <v>53.195</v>
      </c>
      <c r="C73">
        <v>53.195</v>
      </c>
      <c r="D73">
        <v>53.195</v>
      </c>
      <c r="E73">
        <v>53.195</v>
      </c>
      <c r="F73" s="23">
        <f t="shared" si="1"/>
        <v>1.4900599076582569E-2</v>
      </c>
    </row>
    <row r="74" spans="1:6" x14ac:dyDescent="0.35">
      <c r="A74" s="22">
        <v>44553</v>
      </c>
      <c r="B74">
        <v>53.529000000000003</v>
      </c>
      <c r="C74">
        <v>53.529000000000003</v>
      </c>
      <c r="D74">
        <v>53.529000000000003</v>
      </c>
      <c r="E74">
        <v>53.529000000000003</v>
      </c>
      <c r="F74" s="23">
        <f t="shared" si="1"/>
        <v>6.2787856001504496E-3</v>
      </c>
    </row>
    <row r="75" spans="1:6" x14ac:dyDescent="0.35">
      <c r="A75" s="22">
        <v>44554</v>
      </c>
      <c r="B75">
        <v>53.432000000000002</v>
      </c>
      <c r="C75">
        <v>53.432000000000002</v>
      </c>
      <c r="D75">
        <v>53.432000000000002</v>
      </c>
      <c r="E75">
        <v>53.432000000000002</v>
      </c>
      <c r="F75" s="23">
        <f t="shared" si="1"/>
        <v>-1.8121018513329466E-3</v>
      </c>
    </row>
    <row r="76" spans="1:6" x14ac:dyDescent="0.35">
      <c r="A76" s="22">
        <v>44557</v>
      </c>
      <c r="B76">
        <v>53.628</v>
      </c>
      <c r="C76">
        <v>53.628</v>
      </c>
      <c r="D76">
        <v>53.628</v>
      </c>
      <c r="E76">
        <v>53.628</v>
      </c>
      <c r="F76" s="23">
        <f t="shared" si="1"/>
        <v>3.6682138044617073E-3</v>
      </c>
    </row>
    <row r="77" spans="1:6" x14ac:dyDescent="0.35">
      <c r="A77" s="22">
        <v>44558</v>
      </c>
      <c r="B77">
        <v>54.091999999999999</v>
      </c>
      <c r="C77">
        <v>54.091999999999999</v>
      </c>
      <c r="D77">
        <v>54.091999999999999</v>
      </c>
      <c r="E77">
        <v>54.091999999999999</v>
      </c>
      <c r="F77" s="23">
        <f t="shared" si="1"/>
        <v>8.6521966137092302E-3</v>
      </c>
    </row>
    <row r="78" spans="1:6" x14ac:dyDescent="0.35">
      <c r="A78" s="22">
        <v>44559</v>
      </c>
      <c r="B78">
        <v>53.933</v>
      </c>
      <c r="C78">
        <v>53.933</v>
      </c>
      <c r="D78">
        <v>53.933</v>
      </c>
      <c r="E78">
        <v>53.933</v>
      </c>
      <c r="F78" s="23">
        <f t="shared" si="1"/>
        <v>-2.9394365155660527E-3</v>
      </c>
    </row>
    <row r="79" spans="1:6" x14ac:dyDescent="0.35">
      <c r="A79" s="22">
        <v>44560</v>
      </c>
      <c r="B79">
        <v>53.997999999999998</v>
      </c>
      <c r="C79">
        <v>53.997999999999998</v>
      </c>
      <c r="D79">
        <v>53.997999999999998</v>
      </c>
      <c r="E79">
        <v>53.997999999999998</v>
      </c>
      <c r="F79" s="23">
        <f t="shared" si="1"/>
        <v>1.2051990432573327E-3</v>
      </c>
    </row>
    <row r="80" spans="1:6" x14ac:dyDescent="0.35">
      <c r="A80" s="22">
        <v>44561</v>
      </c>
      <c r="B80">
        <v>54.457999999999998</v>
      </c>
      <c r="C80">
        <v>54.457999999999998</v>
      </c>
      <c r="D80">
        <v>54.457999999999998</v>
      </c>
      <c r="E80">
        <v>54.457999999999998</v>
      </c>
      <c r="F80" s="23">
        <f t="shared" si="1"/>
        <v>8.5188340308900486E-3</v>
      </c>
    </row>
    <row r="81" spans="1:6" x14ac:dyDescent="0.35">
      <c r="A81" s="22">
        <v>44564</v>
      </c>
      <c r="B81">
        <v>54.588000000000001</v>
      </c>
      <c r="C81">
        <v>54.588000000000001</v>
      </c>
      <c r="D81">
        <v>54.588000000000001</v>
      </c>
      <c r="E81">
        <v>54.588000000000001</v>
      </c>
      <c r="F81" s="23">
        <f t="shared" si="1"/>
        <v>2.3871607477322443E-3</v>
      </c>
    </row>
    <row r="82" spans="1:6" x14ac:dyDescent="0.35">
      <c r="A82" s="22">
        <v>44565</v>
      </c>
      <c r="B82">
        <v>54.875</v>
      </c>
      <c r="C82">
        <v>54.875</v>
      </c>
      <c r="D82">
        <v>54.875</v>
      </c>
      <c r="E82">
        <v>54.875</v>
      </c>
      <c r="F82" s="23">
        <f t="shared" si="1"/>
        <v>5.2575657653696605E-3</v>
      </c>
    </row>
    <row r="83" spans="1:6" x14ac:dyDescent="0.35">
      <c r="A83" s="22">
        <v>44566</v>
      </c>
      <c r="B83">
        <v>54.813000000000002</v>
      </c>
      <c r="C83">
        <v>54.813000000000002</v>
      </c>
      <c r="D83">
        <v>54.813000000000002</v>
      </c>
      <c r="E83">
        <v>54.813000000000002</v>
      </c>
      <c r="F83" s="23">
        <f t="shared" si="1"/>
        <v>-1.1298405466969952E-3</v>
      </c>
    </row>
    <row r="84" spans="1:6" x14ac:dyDescent="0.35">
      <c r="A84" s="22">
        <v>44567</v>
      </c>
      <c r="B84">
        <v>54.015000000000001</v>
      </c>
      <c r="C84">
        <v>54.015000000000001</v>
      </c>
      <c r="D84">
        <v>54.015000000000001</v>
      </c>
      <c r="E84">
        <v>54.015000000000001</v>
      </c>
      <c r="F84" s="23">
        <f t="shared" si="1"/>
        <v>-1.4558590115483586E-2</v>
      </c>
    </row>
    <row r="85" spans="1:6" x14ac:dyDescent="0.35">
      <c r="A85" s="22">
        <v>44568</v>
      </c>
      <c r="B85">
        <v>54.037999999999997</v>
      </c>
      <c r="C85">
        <v>54.037999999999997</v>
      </c>
      <c r="D85">
        <v>54.037999999999997</v>
      </c>
      <c r="E85">
        <v>54.037999999999997</v>
      </c>
      <c r="F85" s="23">
        <f t="shared" si="1"/>
        <v>4.2580764602418098E-4</v>
      </c>
    </row>
    <row r="86" spans="1:6" x14ac:dyDescent="0.35">
      <c r="A86" s="22">
        <v>44571</v>
      </c>
      <c r="B86">
        <v>54.27</v>
      </c>
      <c r="C86">
        <v>54.27</v>
      </c>
      <c r="D86">
        <v>54.27</v>
      </c>
      <c r="E86">
        <v>54.27</v>
      </c>
      <c r="F86" s="23">
        <f t="shared" si="1"/>
        <v>4.2932751027056227E-3</v>
      </c>
    </row>
    <row r="87" spans="1:6" x14ac:dyDescent="0.35">
      <c r="A87" s="22">
        <v>44572</v>
      </c>
      <c r="B87">
        <v>54.317</v>
      </c>
      <c r="C87">
        <v>54.317</v>
      </c>
      <c r="D87">
        <v>54.317</v>
      </c>
      <c r="E87">
        <v>54.317</v>
      </c>
      <c r="F87" s="23">
        <f t="shared" si="1"/>
        <v>8.6604016952270208E-4</v>
      </c>
    </row>
    <row r="88" spans="1:6" x14ac:dyDescent="0.35">
      <c r="A88" s="22">
        <v>44573</v>
      </c>
      <c r="B88">
        <v>54.734999999999999</v>
      </c>
      <c r="C88">
        <v>54.734999999999999</v>
      </c>
      <c r="D88">
        <v>54.734999999999999</v>
      </c>
      <c r="E88">
        <v>54.734999999999999</v>
      </c>
      <c r="F88" s="23">
        <f t="shared" si="1"/>
        <v>7.69556492442512E-3</v>
      </c>
    </row>
    <row r="89" spans="1:6" x14ac:dyDescent="0.35">
      <c r="A89" s="22">
        <v>44574</v>
      </c>
      <c r="B89">
        <v>55.063000000000002</v>
      </c>
      <c r="C89">
        <v>55.063000000000002</v>
      </c>
      <c r="D89">
        <v>55.063000000000002</v>
      </c>
      <c r="E89">
        <v>55.063000000000002</v>
      </c>
      <c r="F89" s="23">
        <f t="shared" si="1"/>
        <v>5.9925093632959342E-3</v>
      </c>
    </row>
    <row r="90" spans="1:6" x14ac:dyDescent="0.35">
      <c r="A90" s="22">
        <v>44575</v>
      </c>
      <c r="B90">
        <v>54.627000000000002</v>
      </c>
      <c r="C90">
        <v>54.627000000000002</v>
      </c>
      <c r="D90">
        <v>54.627000000000002</v>
      </c>
      <c r="E90">
        <v>54.627000000000002</v>
      </c>
      <c r="F90" s="23">
        <f t="shared" si="1"/>
        <v>-7.9182027858997854E-3</v>
      </c>
    </row>
    <row r="91" spans="1:6" x14ac:dyDescent="0.35">
      <c r="A91" s="22">
        <v>44578</v>
      </c>
      <c r="B91">
        <v>54.793999999999997</v>
      </c>
      <c r="C91">
        <v>54.793999999999997</v>
      </c>
      <c r="D91">
        <v>54.793999999999997</v>
      </c>
      <c r="E91">
        <v>54.793999999999997</v>
      </c>
      <c r="F91" s="23">
        <f t="shared" si="1"/>
        <v>3.0570963076865742E-3</v>
      </c>
    </row>
    <row r="92" spans="1:6" x14ac:dyDescent="0.35">
      <c r="A92" s="22">
        <v>44579</v>
      </c>
      <c r="B92">
        <v>54.404000000000003</v>
      </c>
      <c r="C92">
        <v>54.404000000000003</v>
      </c>
      <c r="D92">
        <v>54.404000000000003</v>
      </c>
      <c r="E92">
        <v>54.404000000000003</v>
      </c>
      <c r="F92" s="23">
        <f t="shared" si="1"/>
        <v>-7.1175676168922413E-3</v>
      </c>
    </row>
    <row r="93" spans="1:6" x14ac:dyDescent="0.35">
      <c r="A93" s="22">
        <v>44580</v>
      </c>
      <c r="B93">
        <v>53.966000000000001</v>
      </c>
      <c r="C93">
        <v>53.966000000000001</v>
      </c>
      <c r="D93">
        <v>53.966000000000001</v>
      </c>
      <c r="E93">
        <v>53.966000000000001</v>
      </c>
      <c r="F93" s="23">
        <f t="shared" si="1"/>
        <v>-8.0508786118668185E-3</v>
      </c>
    </row>
    <row r="94" spans="1:6" x14ac:dyDescent="0.35">
      <c r="A94" s="22">
        <v>44581</v>
      </c>
      <c r="B94">
        <v>53.915999999999997</v>
      </c>
      <c r="C94">
        <v>53.915999999999997</v>
      </c>
      <c r="D94">
        <v>53.915999999999997</v>
      </c>
      <c r="E94">
        <v>53.915999999999997</v>
      </c>
      <c r="F94" s="23">
        <f t="shared" si="1"/>
        <v>-9.2650928362310086E-4</v>
      </c>
    </row>
    <row r="95" spans="1:6" x14ac:dyDescent="0.35">
      <c r="A95" s="22">
        <v>44582</v>
      </c>
      <c r="B95">
        <v>53.247</v>
      </c>
      <c r="C95">
        <v>53.247</v>
      </c>
      <c r="D95">
        <v>53.247</v>
      </c>
      <c r="E95">
        <v>53.247</v>
      </c>
      <c r="F95" s="23">
        <f t="shared" si="1"/>
        <v>-1.2408190518584409E-2</v>
      </c>
    </row>
    <row r="96" spans="1:6" x14ac:dyDescent="0.35">
      <c r="A96" s="22">
        <v>44585</v>
      </c>
      <c r="B96">
        <v>51.771999999999998</v>
      </c>
      <c r="C96">
        <v>51.771999999999998</v>
      </c>
      <c r="D96">
        <v>51.771999999999998</v>
      </c>
      <c r="E96">
        <v>51.771999999999998</v>
      </c>
      <c r="F96" s="23">
        <f t="shared" si="1"/>
        <v>-2.7701091141284981E-2</v>
      </c>
    </row>
    <row r="97" spans="1:6" x14ac:dyDescent="0.35">
      <c r="A97" s="22">
        <v>44586</v>
      </c>
      <c r="B97">
        <v>52.353999999999999</v>
      </c>
      <c r="C97">
        <v>52.353999999999999</v>
      </c>
      <c r="D97">
        <v>52.353999999999999</v>
      </c>
      <c r="E97">
        <v>52.353999999999999</v>
      </c>
      <c r="F97" s="23">
        <f t="shared" si="1"/>
        <v>1.1241597774859011E-2</v>
      </c>
    </row>
    <row r="98" spans="1:6" x14ac:dyDescent="0.35">
      <c r="A98" s="22">
        <v>44588</v>
      </c>
      <c r="B98">
        <v>51.668999999999997</v>
      </c>
      <c r="C98">
        <v>51.668999999999997</v>
      </c>
      <c r="D98">
        <v>51.668999999999997</v>
      </c>
      <c r="E98">
        <v>51.668999999999997</v>
      </c>
      <c r="F98" s="23">
        <f t="shared" si="1"/>
        <v>-1.3084005042594687E-2</v>
      </c>
    </row>
    <row r="99" spans="1:6" x14ac:dyDescent="0.35">
      <c r="A99" s="22">
        <v>44589</v>
      </c>
      <c r="B99">
        <v>51.648000000000003</v>
      </c>
      <c r="C99">
        <v>51.648000000000003</v>
      </c>
      <c r="D99">
        <v>51.648000000000003</v>
      </c>
      <c r="E99">
        <v>51.648000000000003</v>
      </c>
      <c r="F99" s="23">
        <f t="shared" si="1"/>
        <v>-4.0643325785274907E-4</v>
      </c>
    </row>
    <row r="100" spans="1:6" x14ac:dyDescent="0.35">
      <c r="A100" s="22">
        <v>44592</v>
      </c>
      <c r="B100">
        <v>52.497</v>
      </c>
      <c r="C100">
        <v>52.497</v>
      </c>
      <c r="D100">
        <v>52.497</v>
      </c>
      <c r="E100">
        <v>52.497</v>
      </c>
      <c r="F100" s="23">
        <f t="shared" si="1"/>
        <v>1.6438197026022238E-2</v>
      </c>
    </row>
    <row r="101" spans="1:6" x14ac:dyDescent="0.35">
      <c r="A101" s="22">
        <v>44593</v>
      </c>
      <c r="B101">
        <v>53.31</v>
      </c>
      <c r="C101">
        <v>53.31</v>
      </c>
      <c r="D101">
        <v>53.31</v>
      </c>
      <c r="E101">
        <v>53.31</v>
      </c>
      <c r="F101" s="23">
        <f t="shared" si="1"/>
        <v>1.5486599234242003E-2</v>
      </c>
    </row>
    <row r="102" spans="1:6" x14ac:dyDescent="0.35">
      <c r="A102" s="22">
        <v>44594</v>
      </c>
      <c r="B102">
        <v>53.968000000000004</v>
      </c>
      <c r="C102">
        <v>53.968000000000004</v>
      </c>
      <c r="D102">
        <v>53.968000000000004</v>
      </c>
      <c r="E102">
        <v>53.968000000000004</v>
      </c>
      <c r="F102" s="23">
        <f t="shared" si="1"/>
        <v>1.234290001875823E-2</v>
      </c>
    </row>
    <row r="103" spans="1:6" x14ac:dyDescent="0.35">
      <c r="A103" s="22">
        <v>44595</v>
      </c>
      <c r="B103">
        <v>54.366</v>
      </c>
      <c r="C103">
        <v>54.366</v>
      </c>
      <c r="D103">
        <v>54.366</v>
      </c>
      <c r="E103">
        <v>54.366</v>
      </c>
      <c r="F103" s="23">
        <f t="shared" si="1"/>
        <v>7.3747405870144547E-3</v>
      </c>
    </row>
    <row r="104" spans="1:6" x14ac:dyDescent="0.35">
      <c r="A104" s="22">
        <v>44596</v>
      </c>
      <c r="B104">
        <v>52.584000000000003</v>
      </c>
      <c r="C104">
        <v>52.584000000000003</v>
      </c>
      <c r="D104">
        <v>52.584000000000003</v>
      </c>
      <c r="E104">
        <v>52.584000000000003</v>
      </c>
      <c r="F104" s="23">
        <f t="shared" si="1"/>
        <v>-3.2777839090608038E-2</v>
      </c>
    </row>
    <row r="105" spans="1:6" x14ac:dyDescent="0.35">
      <c r="A105" s="22">
        <v>44599</v>
      </c>
      <c r="B105">
        <v>52.484999999999999</v>
      </c>
      <c r="C105">
        <v>52.484999999999999</v>
      </c>
      <c r="D105">
        <v>52.484999999999999</v>
      </c>
      <c r="E105">
        <v>52.484999999999999</v>
      </c>
      <c r="F105" s="23">
        <f t="shared" si="1"/>
        <v>-1.8827019625742383E-3</v>
      </c>
    </row>
    <row r="106" spans="1:6" x14ac:dyDescent="0.35">
      <c r="A106" s="22">
        <v>44600</v>
      </c>
      <c r="B106">
        <v>52.226999999999997</v>
      </c>
      <c r="C106">
        <v>52.226999999999997</v>
      </c>
      <c r="D106">
        <v>52.226999999999997</v>
      </c>
      <c r="E106">
        <v>52.226999999999997</v>
      </c>
      <c r="F106" s="23">
        <f t="shared" si="1"/>
        <v>-4.9156901971992503E-3</v>
      </c>
    </row>
    <row r="107" spans="1:6" x14ac:dyDescent="0.35">
      <c r="A107" s="22">
        <v>44601</v>
      </c>
      <c r="B107">
        <v>52.615000000000002</v>
      </c>
      <c r="C107">
        <v>52.615000000000002</v>
      </c>
      <c r="D107">
        <v>52.615000000000002</v>
      </c>
      <c r="E107">
        <v>52.615000000000002</v>
      </c>
      <c r="F107" s="23">
        <f t="shared" si="1"/>
        <v>7.429107549734912E-3</v>
      </c>
    </row>
    <row r="108" spans="1:6" x14ac:dyDescent="0.35">
      <c r="A108" s="22">
        <v>44602</v>
      </c>
      <c r="B108">
        <v>53.154000000000003</v>
      </c>
      <c r="C108">
        <v>53.154000000000003</v>
      </c>
      <c r="D108">
        <v>53.154000000000003</v>
      </c>
      <c r="E108">
        <v>53.154000000000003</v>
      </c>
      <c r="F108" s="23">
        <f t="shared" si="1"/>
        <v>1.0244226931483445E-2</v>
      </c>
    </row>
    <row r="109" spans="1:6" x14ac:dyDescent="0.35">
      <c r="A109" s="22">
        <v>44603</v>
      </c>
      <c r="B109">
        <v>52.469000000000001</v>
      </c>
      <c r="C109">
        <v>52.469000000000001</v>
      </c>
      <c r="D109">
        <v>52.469000000000001</v>
      </c>
      <c r="E109">
        <v>52.469000000000001</v>
      </c>
      <c r="F109" s="23">
        <f t="shared" si="1"/>
        <v>-1.2887082815968736E-2</v>
      </c>
    </row>
    <row r="110" spans="1:6" x14ac:dyDescent="0.35">
      <c r="A110" s="22">
        <v>44606</v>
      </c>
      <c r="B110">
        <v>50.996000000000002</v>
      </c>
      <c r="C110">
        <v>50.996000000000002</v>
      </c>
      <c r="D110">
        <v>50.996000000000002</v>
      </c>
      <c r="E110">
        <v>50.996000000000002</v>
      </c>
      <c r="F110" s="23">
        <f t="shared" si="1"/>
        <v>-2.8073719720215728E-2</v>
      </c>
    </row>
    <row r="111" spans="1:6" x14ac:dyDescent="0.35">
      <c r="A111" s="22">
        <v>44607</v>
      </c>
      <c r="B111">
        <v>51.808999999999997</v>
      </c>
      <c r="C111">
        <v>51.808999999999997</v>
      </c>
      <c r="D111">
        <v>51.808999999999997</v>
      </c>
      <c r="E111">
        <v>51.808999999999997</v>
      </c>
      <c r="F111" s="23">
        <f t="shared" si="1"/>
        <v>1.59424268570083E-2</v>
      </c>
    </row>
    <row r="112" spans="1:6" x14ac:dyDescent="0.35">
      <c r="A112" s="22">
        <v>44608</v>
      </c>
      <c r="B112">
        <v>52.024000000000001</v>
      </c>
      <c r="C112">
        <v>52.024000000000001</v>
      </c>
      <c r="D112">
        <v>52.024000000000001</v>
      </c>
      <c r="E112">
        <v>52.024000000000001</v>
      </c>
      <c r="F112" s="23">
        <f t="shared" si="1"/>
        <v>4.1498581327569228E-3</v>
      </c>
    </row>
    <row r="113" spans="1:6" x14ac:dyDescent="0.35">
      <c r="A113" s="22">
        <v>44609</v>
      </c>
      <c r="B113">
        <v>51.889000000000003</v>
      </c>
      <c r="C113">
        <v>51.889000000000003</v>
      </c>
      <c r="D113">
        <v>51.889000000000003</v>
      </c>
      <c r="E113">
        <v>51.889000000000003</v>
      </c>
      <c r="F113" s="23">
        <f t="shared" si="1"/>
        <v>-2.5949561740734664E-3</v>
      </c>
    </row>
    <row r="114" spans="1:6" x14ac:dyDescent="0.35">
      <c r="A114" s="22">
        <v>44610</v>
      </c>
      <c r="B114">
        <v>51.343000000000004</v>
      </c>
      <c r="C114">
        <v>51.343000000000004</v>
      </c>
      <c r="D114">
        <v>51.343000000000004</v>
      </c>
      <c r="E114">
        <v>51.343000000000004</v>
      </c>
      <c r="F114" s="23">
        <f t="shared" si="1"/>
        <v>-1.0522461408005538E-2</v>
      </c>
    </row>
    <row r="115" spans="1:6" x14ac:dyDescent="0.35">
      <c r="A115" s="22">
        <v>44613</v>
      </c>
      <c r="B115">
        <v>50.878</v>
      </c>
      <c r="C115">
        <v>50.878</v>
      </c>
      <c r="D115">
        <v>50.878</v>
      </c>
      <c r="E115">
        <v>50.878</v>
      </c>
      <c r="F115" s="23">
        <f t="shared" si="1"/>
        <v>-9.0567360691818435E-3</v>
      </c>
    </row>
    <row r="116" spans="1:6" x14ac:dyDescent="0.35">
      <c r="A116" s="22">
        <v>44614</v>
      </c>
      <c r="B116">
        <v>50.457999999999998</v>
      </c>
      <c r="C116">
        <v>50.457999999999998</v>
      </c>
      <c r="D116">
        <v>50.457999999999998</v>
      </c>
      <c r="E116">
        <v>50.457999999999998</v>
      </c>
      <c r="F116" s="23">
        <f t="shared" si="1"/>
        <v>-8.2550414717559983E-3</v>
      </c>
    </row>
    <row r="117" spans="1:6" x14ac:dyDescent="0.35">
      <c r="A117" s="22">
        <v>44615</v>
      </c>
      <c r="B117">
        <v>50.317</v>
      </c>
      <c r="C117">
        <v>50.317</v>
      </c>
      <c r="D117">
        <v>50.317</v>
      </c>
      <c r="E117">
        <v>50.317</v>
      </c>
      <c r="F117" s="23">
        <f t="shared" si="1"/>
        <v>-2.7944032660826477E-3</v>
      </c>
    </row>
    <row r="118" spans="1:6" x14ac:dyDescent="0.35">
      <c r="A118" s="22">
        <v>44616</v>
      </c>
      <c r="B118">
        <v>48.39</v>
      </c>
      <c r="C118">
        <v>48.39</v>
      </c>
      <c r="D118">
        <v>48.39</v>
      </c>
      <c r="E118">
        <v>48.39</v>
      </c>
      <c r="F118" s="23">
        <f t="shared" si="1"/>
        <v>-3.8297195778762637E-2</v>
      </c>
    </row>
    <row r="119" spans="1:6" x14ac:dyDescent="0.35">
      <c r="A119" s="22">
        <v>44617</v>
      </c>
      <c r="B119">
        <v>50.009</v>
      </c>
      <c r="C119">
        <v>50.009</v>
      </c>
      <c r="D119">
        <v>50.009</v>
      </c>
      <c r="E119">
        <v>50.009</v>
      </c>
      <c r="F119" s="23">
        <f t="shared" si="1"/>
        <v>3.3457325893779699E-2</v>
      </c>
    </row>
    <row r="120" spans="1:6" x14ac:dyDescent="0.35">
      <c r="A120" s="22">
        <v>44620</v>
      </c>
      <c r="B120">
        <v>50.311</v>
      </c>
      <c r="C120">
        <v>50.311</v>
      </c>
      <c r="D120">
        <v>50.311</v>
      </c>
      <c r="E120">
        <v>50.311</v>
      </c>
      <c r="F120" s="23">
        <f t="shared" si="1"/>
        <v>6.038912995660773E-3</v>
      </c>
    </row>
    <row r="121" spans="1:6" x14ac:dyDescent="0.35">
      <c r="A121" s="22">
        <v>44622</v>
      </c>
      <c r="B121">
        <v>49.886000000000003</v>
      </c>
      <c r="C121">
        <v>49.886000000000003</v>
      </c>
      <c r="D121">
        <v>49.886000000000003</v>
      </c>
      <c r="E121">
        <v>49.886000000000003</v>
      </c>
      <c r="F121" s="23">
        <f t="shared" si="1"/>
        <v>-8.4474568185883246E-3</v>
      </c>
    </row>
    <row r="122" spans="1:6" x14ac:dyDescent="0.35">
      <c r="A122" s="22">
        <v>44623</v>
      </c>
      <c r="B122">
        <v>50.104999999999997</v>
      </c>
      <c r="C122">
        <v>50.104999999999997</v>
      </c>
      <c r="D122">
        <v>50.104999999999997</v>
      </c>
      <c r="E122">
        <v>50.104999999999997</v>
      </c>
      <c r="F122" s="23">
        <f t="shared" si="1"/>
        <v>4.3900092210238158E-3</v>
      </c>
    </row>
    <row r="123" spans="1:6" x14ac:dyDescent="0.35">
      <c r="A123" s="22">
        <v>44624</v>
      </c>
      <c r="B123">
        <v>49.420999999999999</v>
      </c>
      <c r="C123">
        <v>49.420999999999999</v>
      </c>
      <c r="D123">
        <v>49.420999999999999</v>
      </c>
      <c r="E123">
        <v>49.420999999999999</v>
      </c>
      <c r="F123" s="23">
        <f t="shared" si="1"/>
        <v>-1.3651332202374963E-2</v>
      </c>
    </row>
    <row r="124" spans="1:6" x14ac:dyDescent="0.35">
      <c r="A124" s="22">
        <v>44627</v>
      </c>
      <c r="B124">
        <v>48.585999999999999</v>
      </c>
      <c r="C124">
        <v>48.585999999999999</v>
      </c>
      <c r="D124">
        <v>48.585999999999999</v>
      </c>
      <c r="E124">
        <v>48.585999999999999</v>
      </c>
      <c r="F124" s="23">
        <f t="shared" si="1"/>
        <v>-1.6895651646061407E-2</v>
      </c>
    </row>
    <row r="125" spans="1:6" x14ac:dyDescent="0.35">
      <c r="A125" s="22">
        <v>44628</v>
      </c>
      <c r="B125">
        <v>48.259</v>
      </c>
      <c r="C125">
        <v>48.259</v>
      </c>
      <c r="D125">
        <v>48.259</v>
      </c>
      <c r="E125">
        <v>48.259</v>
      </c>
      <c r="F125" s="23">
        <f t="shared" si="1"/>
        <v>-6.730333841024126E-3</v>
      </c>
    </row>
    <row r="126" spans="1:6" x14ac:dyDescent="0.35">
      <c r="A126" s="22">
        <v>44629</v>
      </c>
      <c r="B126">
        <v>48.639000000000003</v>
      </c>
      <c r="C126">
        <v>48.639000000000003</v>
      </c>
      <c r="D126">
        <v>48.639000000000003</v>
      </c>
      <c r="E126">
        <v>48.639000000000003</v>
      </c>
      <c r="F126" s="23">
        <f t="shared" si="1"/>
        <v>7.8741789096334891E-3</v>
      </c>
    </row>
    <row r="127" spans="1:6" x14ac:dyDescent="0.35">
      <c r="A127" s="22">
        <v>44630</v>
      </c>
      <c r="B127">
        <v>49.65</v>
      </c>
      <c r="C127">
        <v>49.65</v>
      </c>
      <c r="D127">
        <v>49.65</v>
      </c>
      <c r="E127">
        <v>49.65</v>
      </c>
      <c r="F127" s="23">
        <f t="shared" si="1"/>
        <v>2.0785789181520912E-2</v>
      </c>
    </row>
    <row r="128" spans="1:6" x14ac:dyDescent="0.35">
      <c r="A128" s="22">
        <v>44631</v>
      </c>
      <c r="B128">
        <v>49.991999999999997</v>
      </c>
      <c r="C128">
        <v>49.991999999999997</v>
      </c>
      <c r="D128">
        <v>49.991999999999997</v>
      </c>
      <c r="E128">
        <v>49.991999999999997</v>
      </c>
      <c r="F128" s="23">
        <f t="shared" si="1"/>
        <v>6.8882175226585851E-3</v>
      </c>
    </row>
    <row r="129" spans="1:6" x14ac:dyDescent="0.35">
      <c r="A129" s="22">
        <v>44634</v>
      </c>
      <c r="B129">
        <v>50.055</v>
      </c>
      <c r="C129">
        <v>50.055</v>
      </c>
      <c r="D129">
        <v>50.055</v>
      </c>
      <c r="E129">
        <v>50.055</v>
      </c>
      <c r="F129" s="23">
        <f t="shared" si="1"/>
        <v>1.2602016322612096E-3</v>
      </c>
    </row>
    <row r="130" spans="1:6" x14ac:dyDescent="0.35">
      <c r="A130" s="22">
        <v>44635</v>
      </c>
      <c r="B130">
        <v>49.46</v>
      </c>
      <c r="C130">
        <v>49.46</v>
      </c>
      <c r="D130">
        <v>49.46</v>
      </c>
      <c r="E130">
        <v>49.46</v>
      </c>
      <c r="F130" s="23">
        <f t="shared" si="1"/>
        <v>-1.188692438317848E-2</v>
      </c>
    </row>
    <row r="131" spans="1:6" x14ac:dyDescent="0.35">
      <c r="A131" s="22">
        <v>44636</v>
      </c>
      <c r="B131">
        <v>50.5</v>
      </c>
      <c r="C131">
        <v>50.5</v>
      </c>
      <c r="D131">
        <v>50.5</v>
      </c>
      <c r="E131">
        <v>50.5</v>
      </c>
      <c r="F131" s="23">
        <f t="shared" ref="F131:F194" si="2">(B131-B130)/B130</f>
        <v>2.1027092600080857E-2</v>
      </c>
    </row>
    <row r="132" spans="1:6" x14ac:dyDescent="0.35">
      <c r="A132" s="22">
        <v>44637</v>
      </c>
      <c r="B132">
        <v>51.341000000000001</v>
      </c>
      <c r="C132">
        <v>51.341000000000001</v>
      </c>
      <c r="D132">
        <v>51.341000000000001</v>
      </c>
      <c r="E132">
        <v>51.341000000000001</v>
      </c>
      <c r="F132" s="23">
        <f t="shared" si="2"/>
        <v>1.6653465346534675E-2</v>
      </c>
    </row>
    <row r="133" spans="1:6" x14ac:dyDescent="0.35">
      <c r="A133" s="22">
        <v>44641</v>
      </c>
      <c r="B133">
        <v>51.496000000000002</v>
      </c>
      <c r="C133">
        <v>51.496000000000002</v>
      </c>
      <c r="D133">
        <v>51.496000000000002</v>
      </c>
      <c r="E133">
        <v>51.496000000000002</v>
      </c>
      <c r="F133" s="23">
        <f t="shared" si="2"/>
        <v>3.0190296254455724E-3</v>
      </c>
    </row>
    <row r="134" spans="1:6" x14ac:dyDescent="0.35">
      <c r="A134" s="22">
        <v>44642</v>
      </c>
      <c r="B134">
        <v>51.639000000000003</v>
      </c>
      <c r="C134">
        <v>51.639000000000003</v>
      </c>
      <c r="D134">
        <v>51.639000000000003</v>
      </c>
      <c r="E134">
        <v>51.639000000000003</v>
      </c>
      <c r="F134" s="23">
        <f t="shared" si="2"/>
        <v>2.7769147118222905E-3</v>
      </c>
    </row>
    <row r="135" spans="1:6" x14ac:dyDescent="0.35">
      <c r="A135" s="22">
        <v>44643</v>
      </c>
      <c r="B135">
        <v>52.088999999999999</v>
      </c>
      <c r="C135">
        <v>52.088999999999999</v>
      </c>
      <c r="D135">
        <v>52.088999999999999</v>
      </c>
      <c r="E135">
        <v>52.088999999999999</v>
      </c>
      <c r="F135" s="23">
        <f t="shared" si="2"/>
        <v>8.71434380991103E-3</v>
      </c>
    </row>
    <row r="136" spans="1:6" x14ac:dyDescent="0.35">
      <c r="A136" s="22">
        <v>44644</v>
      </c>
      <c r="B136">
        <v>52.063000000000002</v>
      </c>
      <c r="C136">
        <v>52.063000000000002</v>
      </c>
      <c r="D136">
        <v>52.063000000000002</v>
      </c>
      <c r="E136">
        <v>52.063000000000002</v>
      </c>
      <c r="F136" s="23">
        <f t="shared" si="2"/>
        <v>-4.9914569294853513E-4</v>
      </c>
    </row>
    <row r="137" spans="1:6" x14ac:dyDescent="0.35">
      <c r="A137" s="22">
        <v>44645</v>
      </c>
      <c r="B137">
        <v>52.033999999999999</v>
      </c>
      <c r="C137">
        <v>52.033999999999999</v>
      </c>
      <c r="D137">
        <v>52.033999999999999</v>
      </c>
      <c r="E137">
        <v>52.033999999999999</v>
      </c>
      <c r="F137" s="23">
        <f t="shared" si="2"/>
        <v>-5.5701745961630079E-4</v>
      </c>
    </row>
    <row r="138" spans="1:6" x14ac:dyDescent="0.35">
      <c r="A138" s="22">
        <v>44648</v>
      </c>
      <c r="B138">
        <v>52.256999999999998</v>
      </c>
      <c r="C138">
        <v>52.256999999999998</v>
      </c>
      <c r="D138">
        <v>52.256999999999998</v>
      </c>
      <c r="E138">
        <v>52.256999999999998</v>
      </c>
      <c r="F138" s="23">
        <f t="shared" si="2"/>
        <v>4.2856593765614598E-3</v>
      </c>
    </row>
    <row r="139" spans="1:6" x14ac:dyDescent="0.35">
      <c r="A139" s="22">
        <v>44649</v>
      </c>
      <c r="B139">
        <v>52.261000000000003</v>
      </c>
      <c r="C139">
        <v>52.261000000000003</v>
      </c>
      <c r="D139">
        <v>52.261000000000003</v>
      </c>
      <c r="E139">
        <v>52.261000000000003</v>
      </c>
      <c r="F139" s="23">
        <f t="shared" si="2"/>
        <v>7.6544769121933681E-5</v>
      </c>
    </row>
    <row r="140" spans="1:6" x14ac:dyDescent="0.35">
      <c r="A140" s="22">
        <v>44650</v>
      </c>
      <c r="B140">
        <v>52.558</v>
      </c>
      <c r="C140">
        <v>52.558</v>
      </c>
      <c r="D140">
        <v>52.558</v>
      </c>
      <c r="E140">
        <v>52.558</v>
      </c>
      <c r="F140" s="23">
        <f t="shared" si="2"/>
        <v>5.6830141022941967E-3</v>
      </c>
    </row>
    <row r="141" spans="1:6" x14ac:dyDescent="0.35">
      <c r="A141" s="22">
        <v>44651</v>
      </c>
      <c r="B141">
        <v>52.514000000000003</v>
      </c>
      <c r="C141">
        <v>52.514000000000003</v>
      </c>
      <c r="D141">
        <v>52.514000000000003</v>
      </c>
      <c r="E141">
        <v>52.514000000000003</v>
      </c>
      <c r="F141" s="23">
        <f t="shared" si="2"/>
        <v>-8.3717036416904999E-4</v>
      </c>
    </row>
    <row r="142" spans="1:6" x14ac:dyDescent="0.35">
      <c r="A142" s="22">
        <v>44652</v>
      </c>
      <c r="B142">
        <v>52.860999999999997</v>
      </c>
      <c r="C142">
        <v>52.860999999999997</v>
      </c>
      <c r="D142">
        <v>52.860999999999997</v>
      </c>
      <c r="E142">
        <v>52.860999999999997</v>
      </c>
      <c r="F142" s="23">
        <f t="shared" si="2"/>
        <v>6.6077617397264383E-3</v>
      </c>
    </row>
    <row r="143" spans="1:6" x14ac:dyDescent="0.35">
      <c r="A143" s="22">
        <v>44655</v>
      </c>
      <c r="B143">
        <v>53.978999999999999</v>
      </c>
      <c r="C143">
        <v>53.978999999999999</v>
      </c>
      <c r="D143">
        <v>53.978999999999999</v>
      </c>
      <c r="E143">
        <v>53.978999999999999</v>
      </c>
      <c r="F143" s="23">
        <f t="shared" si="2"/>
        <v>2.1149807986984775E-2</v>
      </c>
    </row>
    <row r="144" spans="1:6" x14ac:dyDescent="0.35">
      <c r="A144" s="22">
        <v>44656</v>
      </c>
      <c r="B144">
        <v>54.786000000000001</v>
      </c>
      <c r="C144">
        <v>54.786000000000001</v>
      </c>
      <c r="D144">
        <v>54.786000000000001</v>
      </c>
      <c r="E144">
        <v>54.786000000000001</v>
      </c>
      <c r="F144" s="23">
        <f t="shared" si="2"/>
        <v>1.495025843383542E-2</v>
      </c>
    </row>
    <row r="145" spans="1:6" x14ac:dyDescent="0.35">
      <c r="A145" s="22">
        <v>44657</v>
      </c>
      <c r="B145">
        <v>54.454000000000001</v>
      </c>
      <c r="C145">
        <v>54.454000000000001</v>
      </c>
      <c r="D145">
        <v>54.454000000000001</v>
      </c>
      <c r="E145">
        <v>54.454000000000001</v>
      </c>
      <c r="F145" s="23">
        <f t="shared" si="2"/>
        <v>-6.0599423210309341E-3</v>
      </c>
    </row>
    <row r="146" spans="1:6" x14ac:dyDescent="0.35">
      <c r="A146" s="22">
        <v>44658</v>
      </c>
      <c r="B146">
        <v>53.777000000000001</v>
      </c>
      <c r="C146">
        <v>53.777000000000001</v>
      </c>
      <c r="D146">
        <v>53.777000000000001</v>
      </c>
      <c r="E146">
        <v>53.777000000000001</v>
      </c>
      <c r="F146" s="23">
        <f t="shared" si="2"/>
        <v>-1.2432511844859875E-2</v>
      </c>
    </row>
    <row r="147" spans="1:6" x14ac:dyDescent="0.35">
      <c r="A147" s="22">
        <v>44659</v>
      </c>
      <c r="B147">
        <v>54.008000000000003</v>
      </c>
      <c r="C147">
        <v>54.008000000000003</v>
      </c>
      <c r="D147">
        <v>54.008000000000003</v>
      </c>
      <c r="E147">
        <v>54.008000000000003</v>
      </c>
      <c r="F147" s="23">
        <f t="shared" si="2"/>
        <v>4.2955166706956814E-3</v>
      </c>
    </row>
    <row r="148" spans="1:6" x14ac:dyDescent="0.35">
      <c r="A148" s="22">
        <v>44662</v>
      </c>
      <c r="B148">
        <v>53.481999999999999</v>
      </c>
      <c r="C148">
        <v>53.481999999999999</v>
      </c>
      <c r="D148">
        <v>53.481999999999999</v>
      </c>
      <c r="E148">
        <v>53.481999999999999</v>
      </c>
      <c r="F148" s="23">
        <f t="shared" si="2"/>
        <v>-9.7392978817953512E-3</v>
      </c>
    </row>
    <row r="149" spans="1:6" x14ac:dyDescent="0.35">
      <c r="A149" s="22">
        <v>44663</v>
      </c>
      <c r="B149">
        <v>52.570999999999998</v>
      </c>
      <c r="C149">
        <v>52.570999999999998</v>
      </c>
      <c r="D149">
        <v>52.570999999999998</v>
      </c>
      <c r="E149">
        <v>52.570999999999998</v>
      </c>
      <c r="F149" s="23">
        <f t="shared" si="2"/>
        <v>-1.7033768370666794E-2</v>
      </c>
    </row>
    <row r="150" spans="1:6" x14ac:dyDescent="0.35">
      <c r="A150" s="22">
        <v>44664</v>
      </c>
      <c r="B150">
        <v>52.253999999999998</v>
      </c>
      <c r="C150">
        <v>52.253999999999998</v>
      </c>
      <c r="D150">
        <v>52.253999999999998</v>
      </c>
      <c r="E150">
        <v>52.253999999999998</v>
      </c>
      <c r="F150" s="23">
        <f t="shared" si="2"/>
        <v>-6.0299404614711566E-3</v>
      </c>
    </row>
    <row r="151" spans="1:6" x14ac:dyDescent="0.35">
      <c r="A151" s="22">
        <v>44669</v>
      </c>
      <c r="B151">
        <v>51.667000000000002</v>
      </c>
      <c r="C151">
        <v>51.667000000000002</v>
      </c>
      <c r="D151">
        <v>51.667000000000002</v>
      </c>
      <c r="E151">
        <v>51.667000000000002</v>
      </c>
      <c r="F151" s="23">
        <f t="shared" si="2"/>
        <v>-1.1233589773031656E-2</v>
      </c>
    </row>
    <row r="152" spans="1:6" x14ac:dyDescent="0.35">
      <c r="A152" s="22">
        <v>44670</v>
      </c>
      <c r="B152">
        <v>51.231000000000002</v>
      </c>
      <c r="C152">
        <v>51.231000000000002</v>
      </c>
      <c r="D152">
        <v>51.231000000000002</v>
      </c>
      <c r="E152">
        <v>51.231000000000002</v>
      </c>
      <c r="F152" s="23">
        <f t="shared" si="2"/>
        <v>-8.4386552344823569E-3</v>
      </c>
    </row>
    <row r="153" spans="1:6" x14ac:dyDescent="0.35">
      <c r="A153" s="22">
        <v>44671</v>
      </c>
      <c r="B153">
        <v>51.68</v>
      </c>
      <c r="C153">
        <v>51.68</v>
      </c>
      <c r="D153">
        <v>51.68</v>
      </c>
      <c r="E153">
        <v>51.68</v>
      </c>
      <c r="F153" s="23">
        <f t="shared" si="2"/>
        <v>8.7642247857742002E-3</v>
      </c>
    </row>
    <row r="154" spans="1:6" x14ac:dyDescent="0.35">
      <c r="A154" s="22">
        <v>44672</v>
      </c>
      <c r="B154">
        <v>51.752000000000002</v>
      </c>
      <c r="C154">
        <v>51.752000000000002</v>
      </c>
      <c r="D154">
        <v>51.752000000000002</v>
      </c>
      <c r="E154">
        <v>51.752000000000002</v>
      </c>
      <c r="F154" s="23">
        <f t="shared" si="2"/>
        <v>1.3931888544892169E-3</v>
      </c>
    </row>
    <row r="155" spans="1:6" x14ac:dyDescent="0.35">
      <c r="A155" s="22">
        <v>44673</v>
      </c>
      <c r="B155">
        <v>51.015999999999998</v>
      </c>
      <c r="C155">
        <v>51.015999999999998</v>
      </c>
      <c r="D155">
        <v>51.015999999999998</v>
      </c>
      <c r="E155">
        <v>51.015999999999998</v>
      </c>
      <c r="F155" s="23">
        <f t="shared" si="2"/>
        <v>-1.4221672592363661E-2</v>
      </c>
    </row>
    <row r="156" spans="1:6" x14ac:dyDescent="0.35">
      <c r="A156" s="22">
        <v>44676</v>
      </c>
      <c r="B156">
        <v>50.247999999999998</v>
      </c>
      <c r="C156">
        <v>50.247999999999998</v>
      </c>
      <c r="D156">
        <v>50.247999999999998</v>
      </c>
      <c r="E156">
        <v>50.247999999999998</v>
      </c>
      <c r="F156" s="23">
        <f t="shared" si="2"/>
        <v>-1.5054100674298273E-2</v>
      </c>
    </row>
    <row r="157" spans="1:6" x14ac:dyDescent="0.35">
      <c r="A157" s="22">
        <v>44677</v>
      </c>
      <c r="B157">
        <v>51.097999999999999</v>
      </c>
      <c r="C157">
        <v>51.097999999999999</v>
      </c>
      <c r="D157">
        <v>51.097999999999999</v>
      </c>
      <c r="E157">
        <v>51.097999999999999</v>
      </c>
      <c r="F157" s="23">
        <f t="shared" si="2"/>
        <v>1.6916096163031392E-2</v>
      </c>
    </row>
    <row r="158" spans="1:6" x14ac:dyDescent="0.35">
      <c r="A158" s="22">
        <v>44678</v>
      </c>
      <c r="B158">
        <v>50.322000000000003</v>
      </c>
      <c r="C158">
        <v>50.322000000000003</v>
      </c>
      <c r="D158">
        <v>50.322000000000003</v>
      </c>
      <c r="E158">
        <v>50.322000000000003</v>
      </c>
      <c r="F158" s="23">
        <f t="shared" si="2"/>
        <v>-1.5186504364162908E-2</v>
      </c>
    </row>
    <row r="159" spans="1:6" x14ac:dyDescent="0.35">
      <c r="A159" s="22">
        <v>44679</v>
      </c>
      <c r="B159">
        <v>50.673000000000002</v>
      </c>
      <c r="C159">
        <v>50.673000000000002</v>
      </c>
      <c r="D159">
        <v>50.673000000000002</v>
      </c>
      <c r="E159">
        <v>50.673000000000002</v>
      </c>
      <c r="F159" s="23">
        <f t="shared" si="2"/>
        <v>6.9750804816978472E-3</v>
      </c>
    </row>
    <row r="160" spans="1:6" x14ac:dyDescent="0.35">
      <c r="A160" s="22">
        <v>44680</v>
      </c>
      <c r="B160">
        <v>50.720999999999997</v>
      </c>
      <c r="C160">
        <v>50.720999999999997</v>
      </c>
      <c r="D160">
        <v>50.720999999999997</v>
      </c>
      <c r="E160">
        <v>50.720999999999997</v>
      </c>
      <c r="F160" s="23">
        <f t="shared" si="2"/>
        <v>9.4725001480067714E-4</v>
      </c>
    </row>
    <row r="161" spans="1:6" x14ac:dyDescent="0.35">
      <c r="A161" s="22">
        <v>44683</v>
      </c>
      <c r="B161">
        <v>49.962000000000003</v>
      </c>
      <c r="C161">
        <v>49.962000000000003</v>
      </c>
      <c r="D161">
        <v>49.962000000000003</v>
      </c>
      <c r="E161">
        <v>49.962000000000003</v>
      </c>
      <c r="F161" s="23">
        <f t="shared" si="2"/>
        <v>-1.4964216005204813E-2</v>
      </c>
    </row>
    <row r="162" spans="1:6" x14ac:dyDescent="0.35">
      <c r="A162" s="22">
        <v>44685</v>
      </c>
      <c r="B162">
        <v>49.648000000000003</v>
      </c>
      <c r="C162">
        <v>49.648000000000003</v>
      </c>
      <c r="D162">
        <v>49.648000000000003</v>
      </c>
      <c r="E162">
        <v>49.648000000000003</v>
      </c>
      <c r="F162" s="23">
        <f t="shared" si="2"/>
        <v>-6.2847764300868669E-3</v>
      </c>
    </row>
    <row r="163" spans="1:6" x14ac:dyDescent="0.35">
      <c r="A163" s="22">
        <v>44686</v>
      </c>
      <c r="B163">
        <v>49.944000000000003</v>
      </c>
      <c r="C163">
        <v>49.944000000000003</v>
      </c>
      <c r="D163">
        <v>49.944000000000003</v>
      </c>
      <c r="E163">
        <v>49.944000000000003</v>
      </c>
      <c r="F163" s="23">
        <f t="shared" si="2"/>
        <v>5.9619722848855815E-3</v>
      </c>
    </row>
    <row r="164" spans="1:6" x14ac:dyDescent="0.35">
      <c r="A164" s="22">
        <v>44687</v>
      </c>
      <c r="B164">
        <v>49.008000000000003</v>
      </c>
      <c r="C164">
        <v>49.008000000000003</v>
      </c>
      <c r="D164">
        <v>49.008000000000003</v>
      </c>
      <c r="E164">
        <v>49.008000000000003</v>
      </c>
      <c r="F164" s="23">
        <f t="shared" si="2"/>
        <v>-1.8740989908697738E-2</v>
      </c>
    </row>
    <row r="165" spans="1:6" x14ac:dyDescent="0.35">
      <c r="A165" s="22">
        <v>44690</v>
      </c>
      <c r="B165">
        <v>48.798999999999999</v>
      </c>
      <c r="C165">
        <v>48.798999999999999</v>
      </c>
      <c r="D165">
        <v>48.798999999999999</v>
      </c>
      <c r="E165">
        <v>48.798999999999999</v>
      </c>
      <c r="F165" s="23">
        <f t="shared" si="2"/>
        <v>-4.2646098596148211E-3</v>
      </c>
    </row>
    <row r="166" spans="1:6" x14ac:dyDescent="0.35">
      <c r="A166" s="22">
        <v>44691</v>
      </c>
      <c r="B166">
        <v>48.119</v>
      </c>
      <c r="C166">
        <v>48.119</v>
      </c>
      <c r="D166">
        <v>48.119</v>
      </c>
      <c r="E166">
        <v>48.119</v>
      </c>
      <c r="F166" s="23">
        <f t="shared" si="2"/>
        <v>-1.3934711776880668E-2</v>
      </c>
    </row>
    <row r="167" spans="1:6" x14ac:dyDescent="0.35">
      <c r="A167" s="22">
        <v>44692</v>
      </c>
      <c r="B167">
        <v>48.125999999999998</v>
      </c>
      <c r="C167">
        <v>48.125999999999998</v>
      </c>
      <c r="D167">
        <v>48.125999999999998</v>
      </c>
      <c r="E167">
        <v>48.125999999999998</v>
      </c>
      <c r="F167" s="23">
        <f t="shared" si="2"/>
        <v>1.4547268230839994E-4</v>
      </c>
    </row>
    <row r="168" spans="1:6" x14ac:dyDescent="0.35">
      <c r="A168" s="22">
        <v>44693</v>
      </c>
      <c r="B168">
        <v>47.02</v>
      </c>
      <c r="C168">
        <v>47.02</v>
      </c>
      <c r="D168">
        <v>47.02</v>
      </c>
      <c r="E168">
        <v>47.02</v>
      </c>
      <c r="F168" s="23">
        <f t="shared" si="2"/>
        <v>-2.2981340647466954E-2</v>
      </c>
    </row>
    <row r="169" spans="1:6" x14ac:dyDescent="0.35">
      <c r="A169" s="22">
        <v>44694</v>
      </c>
      <c r="B169">
        <v>47.15</v>
      </c>
      <c r="C169">
        <v>47.15</v>
      </c>
      <c r="D169">
        <v>47.15</v>
      </c>
      <c r="E169">
        <v>47.15</v>
      </c>
      <c r="F169" s="23">
        <f t="shared" si="2"/>
        <v>2.7647809442789334E-3</v>
      </c>
    </row>
    <row r="170" spans="1:6" x14ac:dyDescent="0.35">
      <c r="A170" s="22">
        <v>44697</v>
      </c>
      <c r="B170">
        <v>47.637</v>
      </c>
      <c r="C170">
        <v>47.637</v>
      </c>
      <c r="D170">
        <v>47.637</v>
      </c>
      <c r="E170">
        <v>47.637</v>
      </c>
      <c r="F170" s="23">
        <f t="shared" si="2"/>
        <v>1.0328738069989435E-2</v>
      </c>
    </row>
    <row r="171" spans="1:6" x14ac:dyDescent="0.35">
      <c r="A171" s="22">
        <v>44698</v>
      </c>
      <c r="B171">
        <v>48.313000000000002</v>
      </c>
      <c r="C171">
        <v>48.313000000000002</v>
      </c>
      <c r="D171">
        <v>48.313000000000002</v>
      </c>
      <c r="E171">
        <v>48.313000000000002</v>
      </c>
      <c r="F171" s="23">
        <f t="shared" si="2"/>
        <v>1.4190650124902952E-2</v>
      </c>
    </row>
    <row r="172" spans="1:6" x14ac:dyDescent="0.35">
      <c r="A172" s="22">
        <v>44699</v>
      </c>
      <c r="B172">
        <v>48.487000000000002</v>
      </c>
      <c r="C172">
        <v>48.487000000000002</v>
      </c>
      <c r="D172">
        <v>48.487000000000002</v>
      </c>
      <c r="E172">
        <v>48.487000000000002</v>
      </c>
      <c r="F172" s="23">
        <f t="shared" si="2"/>
        <v>3.6015151201539849E-3</v>
      </c>
    </row>
    <row r="173" spans="1:6" x14ac:dyDescent="0.35">
      <c r="A173" s="22">
        <v>44700</v>
      </c>
      <c r="B173">
        <v>47.55</v>
      </c>
      <c r="C173">
        <v>47.55</v>
      </c>
      <c r="D173">
        <v>47.55</v>
      </c>
      <c r="E173">
        <v>47.55</v>
      </c>
      <c r="F173" s="23">
        <f t="shared" si="2"/>
        <v>-1.9324767463443908E-2</v>
      </c>
    </row>
    <row r="174" spans="1:6" x14ac:dyDescent="0.35">
      <c r="A174" s="22">
        <v>44701</v>
      </c>
      <c r="B174">
        <v>48.145000000000003</v>
      </c>
      <c r="C174">
        <v>48.145000000000003</v>
      </c>
      <c r="D174">
        <v>48.145000000000003</v>
      </c>
      <c r="E174">
        <v>48.145000000000003</v>
      </c>
      <c r="F174" s="23">
        <f t="shared" si="2"/>
        <v>1.251314405888551E-2</v>
      </c>
    </row>
    <row r="175" spans="1:6" x14ac:dyDescent="0.35">
      <c r="A175" s="22">
        <v>44704</v>
      </c>
      <c r="B175">
        <v>47.96</v>
      </c>
      <c r="C175">
        <v>47.96</v>
      </c>
      <c r="D175">
        <v>47.96</v>
      </c>
      <c r="E175">
        <v>47.96</v>
      </c>
      <c r="F175" s="23">
        <f t="shared" si="2"/>
        <v>-3.8425589365458979E-3</v>
      </c>
    </row>
    <row r="176" spans="1:6" x14ac:dyDescent="0.35">
      <c r="A176" s="22">
        <v>44705</v>
      </c>
      <c r="B176">
        <v>48.015000000000001</v>
      </c>
      <c r="C176">
        <v>48.015000000000001</v>
      </c>
      <c r="D176">
        <v>48.015000000000001</v>
      </c>
      <c r="E176">
        <v>48.015000000000001</v>
      </c>
      <c r="F176" s="23">
        <f t="shared" si="2"/>
        <v>1.1467889908256821E-3</v>
      </c>
    </row>
    <row r="177" spans="1:6" x14ac:dyDescent="0.35">
      <c r="A177" s="22">
        <v>44706</v>
      </c>
      <c r="B177">
        <v>47.411999999999999</v>
      </c>
      <c r="C177">
        <v>47.411999999999999</v>
      </c>
      <c r="D177">
        <v>47.411999999999999</v>
      </c>
      <c r="E177">
        <v>47.411999999999999</v>
      </c>
      <c r="F177" s="23">
        <f t="shared" si="2"/>
        <v>-1.2558575445173414E-2</v>
      </c>
    </row>
    <row r="178" spans="1:6" x14ac:dyDescent="0.35">
      <c r="A178" s="22">
        <v>44707</v>
      </c>
      <c r="B178">
        <v>47.741</v>
      </c>
      <c r="C178">
        <v>47.741</v>
      </c>
      <c r="D178">
        <v>47.741</v>
      </c>
      <c r="E178">
        <v>47.741</v>
      </c>
      <c r="F178" s="23">
        <f t="shared" si="2"/>
        <v>6.9391715177592305E-3</v>
      </c>
    </row>
    <row r="179" spans="1:6" x14ac:dyDescent="0.35">
      <c r="A179" s="22">
        <v>44708</v>
      </c>
      <c r="B179">
        <v>48.445999999999998</v>
      </c>
      <c r="C179">
        <v>48.445999999999998</v>
      </c>
      <c r="D179">
        <v>48.445999999999998</v>
      </c>
      <c r="E179">
        <v>48.445999999999998</v>
      </c>
      <c r="F179" s="23">
        <f t="shared" si="2"/>
        <v>1.4767181248821731E-2</v>
      </c>
    </row>
    <row r="180" spans="1:6" x14ac:dyDescent="0.35">
      <c r="A180" s="22">
        <v>44711</v>
      </c>
      <c r="B180">
        <v>49.253999999999998</v>
      </c>
      <c r="C180">
        <v>49.253999999999998</v>
      </c>
      <c r="D180">
        <v>49.253999999999998</v>
      </c>
      <c r="E180">
        <v>49.253999999999998</v>
      </c>
      <c r="F180" s="23">
        <f t="shared" si="2"/>
        <v>1.6678363538785448E-2</v>
      </c>
    </row>
    <row r="181" spans="1:6" x14ac:dyDescent="0.35">
      <c r="A181" s="22">
        <v>44712</v>
      </c>
      <c r="B181">
        <v>49.558999999999997</v>
      </c>
      <c r="C181">
        <v>49.558999999999997</v>
      </c>
      <c r="D181">
        <v>49.558999999999997</v>
      </c>
      <c r="E181">
        <v>49.558999999999997</v>
      </c>
      <c r="F181" s="23">
        <f t="shared" si="2"/>
        <v>6.1923904657489688E-3</v>
      </c>
    </row>
    <row r="182" spans="1:6" x14ac:dyDescent="0.35">
      <c r="A182" s="22">
        <v>44713</v>
      </c>
      <c r="B182">
        <v>49.412999999999997</v>
      </c>
      <c r="C182">
        <v>49.412999999999997</v>
      </c>
      <c r="D182">
        <v>49.412999999999997</v>
      </c>
      <c r="E182">
        <v>49.412999999999997</v>
      </c>
      <c r="F182" s="23">
        <f t="shared" si="2"/>
        <v>-2.9459835751326864E-3</v>
      </c>
    </row>
    <row r="183" spans="1:6" x14ac:dyDescent="0.35">
      <c r="A183" s="22">
        <v>44714</v>
      </c>
      <c r="B183">
        <v>49.276000000000003</v>
      </c>
      <c r="C183">
        <v>49.276000000000003</v>
      </c>
      <c r="D183">
        <v>49.276000000000003</v>
      </c>
      <c r="E183">
        <v>49.276000000000003</v>
      </c>
      <c r="F183" s="23">
        <f t="shared" si="2"/>
        <v>-2.7725497338755662E-3</v>
      </c>
    </row>
    <row r="184" spans="1:6" x14ac:dyDescent="0.35">
      <c r="A184" s="22">
        <v>44715</v>
      </c>
      <c r="B184">
        <v>49.323</v>
      </c>
      <c r="C184">
        <v>49.323</v>
      </c>
      <c r="D184">
        <v>49.323</v>
      </c>
      <c r="E184">
        <v>49.323</v>
      </c>
      <c r="F184" s="23">
        <f t="shared" si="2"/>
        <v>9.5381118597282735E-4</v>
      </c>
    </row>
    <row r="185" spans="1:6" x14ac:dyDescent="0.35">
      <c r="A185" s="22">
        <v>44718</v>
      </c>
      <c r="B185">
        <v>48.866</v>
      </c>
      <c r="C185">
        <v>48.866</v>
      </c>
      <c r="D185">
        <v>48.866</v>
      </c>
      <c r="E185">
        <v>48.866</v>
      </c>
      <c r="F185" s="23">
        <f t="shared" si="2"/>
        <v>-9.2654542505524948E-3</v>
      </c>
    </row>
    <row r="186" spans="1:6" x14ac:dyDescent="0.35">
      <c r="A186" s="22">
        <v>44719</v>
      </c>
      <c r="B186">
        <v>48.847000000000001</v>
      </c>
      <c r="C186">
        <v>48.847000000000001</v>
      </c>
      <c r="D186">
        <v>48.847000000000001</v>
      </c>
      <c r="E186">
        <v>48.847000000000001</v>
      </c>
      <c r="F186" s="23">
        <f t="shared" si="2"/>
        <v>-3.8881840134241295E-4</v>
      </c>
    </row>
    <row r="187" spans="1:6" x14ac:dyDescent="0.35">
      <c r="A187" s="22">
        <v>44720</v>
      </c>
      <c r="B187">
        <v>48.718000000000004</v>
      </c>
      <c r="C187">
        <v>48.718000000000004</v>
      </c>
      <c r="D187">
        <v>48.718000000000004</v>
      </c>
      <c r="E187">
        <v>48.718000000000004</v>
      </c>
      <c r="F187" s="23">
        <f t="shared" si="2"/>
        <v>-2.6408991340307036E-3</v>
      </c>
    </row>
    <row r="188" spans="1:6" x14ac:dyDescent="0.35">
      <c r="A188" s="22">
        <v>44721</v>
      </c>
      <c r="B188">
        <v>48.874000000000002</v>
      </c>
      <c r="C188">
        <v>48.874000000000002</v>
      </c>
      <c r="D188">
        <v>48.874000000000002</v>
      </c>
      <c r="E188">
        <v>48.874000000000002</v>
      </c>
      <c r="F188" s="23">
        <f t="shared" si="2"/>
        <v>3.202101892524299E-3</v>
      </c>
    </row>
    <row r="189" spans="1:6" x14ac:dyDescent="0.35">
      <c r="A189" s="22">
        <v>44722</v>
      </c>
      <c r="B189">
        <v>48.222000000000001</v>
      </c>
      <c r="C189">
        <v>48.222000000000001</v>
      </c>
      <c r="D189">
        <v>48.222000000000001</v>
      </c>
      <c r="E189">
        <v>48.222000000000001</v>
      </c>
      <c r="F189" s="23">
        <f t="shared" si="2"/>
        <v>-1.3340426402586262E-2</v>
      </c>
    </row>
    <row r="190" spans="1:6" x14ac:dyDescent="0.35">
      <c r="A190" s="22">
        <v>44725</v>
      </c>
      <c r="B190">
        <v>47.018999999999998</v>
      </c>
      <c r="C190">
        <v>47.018999999999998</v>
      </c>
      <c r="D190">
        <v>47.018999999999998</v>
      </c>
      <c r="E190">
        <v>47.018999999999998</v>
      </c>
      <c r="F190" s="23">
        <f t="shared" si="2"/>
        <v>-2.4947119571979655E-2</v>
      </c>
    </row>
    <row r="191" spans="1:6" x14ac:dyDescent="0.35">
      <c r="A191" s="22">
        <v>44726</v>
      </c>
      <c r="B191">
        <v>46.497999999999998</v>
      </c>
      <c r="C191">
        <v>46.497999999999998</v>
      </c>
      <c r="D191">
        <v>46.497999999999998</v>
      </c>
      <c r="E191">
        <v>46.497999999999998</v>
      </c>
      <c r="F191" s="23">
        <f t="shared" si="2"/>
        <v>-1.1080626980582335E-2</v>
      </c>
    </row>
    <row r="192" spans="1:6" x14ac:dyDescent="0.35">
      <c r="A192" s="22">
        <v>44727</v>
      </c>
      <c r="B192">
        <v>46.566000000000003</v>
      </c>
      <c r="C192">
        <v>46.566000000000003</v>
      </c>
      <c r="D192">
        <v>46.566000000000003</v>
      </c>
      <c r="E192">
        <v>46.566000000000003</v>
      </c>
      <c r="F192" s="23">
        <f t="shared" si="2"/>
        <v>1.4624284915481301E-3</v>
      </c>
    </row>
    <row r="193" spans="1:6" x14ac:dyDescent="0.35">
      <c r="A193" s="22">
        <v>44728</v>
      </c>
      <c r="B193">
        <v>46.054000000000002</v>
      </c>
      <c r="C193">
        <v>46.054000000000002</v>
      </c>
      <c r="D193">
        <v>46.054000000000002</v>
      </c>
      <c r="E193">
        <v>46.054000000000002</v>
      </c>
      <c r="F193" s="23">
        <f t="shared" si="2"/>
        <v>-1.0995146673538642E-2</v>
      </c>
    </row>
    <row r="194" spans="1:6" x14ac:dyDescent="0.35">
      <c r="A194" s="22">
        <v>44729</v>
      </c>
      <c r="B194">
        <v>45.433</v>
      </c>
      <c r="C194">
        <v>45.433</v>
      </c>
      <c r="D194">
        <v>45.433</v>
      </c>
      <c r="E194">
        <v>45.433</v>
      </c>
      <c r="F194" s="23">
        <f t="shared" si="2"/>
        <v>-1.348417075606901E-2</v>
      </c>
    </row>
    <row r="195" spans="1:6" x14ac:dyDescent="0.35">
      <c r="A195" s="22">
        <v>44732</v>
      </c>
      <c r="B195">
        <v>45.488</v>
      </c>
      <c r="C195">
        <v>45.488</v>
      </c>
      <c r="D195">
        <v>45.488</v>
      </c>
      <c r="E195">
        <v>45.488</v>
      </c>
      <c r="F195" s="23">
        <f t="shared" ref="F195:F258" si="3">(B195-B194)/B194</f>
        <v>1.2105738119868755E-3</v>
      </c>
    </row>
    <row r="196" spans="1:6" x14ac:dyDescent="0.35">
      <c r="A196" s="22">
        <v>44733</v>
      </c>
      <c r="B196">
        <v>46.186</v>
      </c>
      <c r="C196">
        <v>46.186</v>
      </c>
      <c r="D196">
        <v>46.186</v>
      </c>
      <c r="E196">
        <v>46.186</v>
      </c>
      <c r="F196" s="23">
        <f t="shared" si="3"/>
        <v>1.5344706296166031E-2</v>
      </c>
    </row>
    <row r="197" spans="1:6" x14ac:dyDescent="0.35">
      <c r="A197" s="22">
        <v>44734</v>
      </c>
      <c r="B197">
        <v>45.918999999999997</v>
      </c>
      <c r="C197">
        <v>45.918999999999997</v>
      </c>
      <c r="D197">
        <v>45.918999999999997</v>
      </c>
      <c r="E197">
        <v>45.918999999999997</v>
      </c>
      <c r="F197" s="23">
        <f t="shared" si="3"/>
        <v>-5.7809725890963278E-3</v>
      </c>
    </row>
    <row r="198" spans="1:6" x14ac:dyDescent="0.35">
      <c r="A198" s="22">
        <v>44735</v>
      </c>
      <c r="B198">
        <v>46.131</v>
      </c>
      <c r="C198">
        <v>46.131</v>
      </c>
      <c r="D198">
        <v>46.131</v>
      </c>
      <c r="E198">
        <v>46.131</v>
      </c>
      <c r="F198" s="23">
        <f t="shared" si="3"/>
        <v>4.6168252792962239E-3</v>
      </c>
    </row>
    <row r="199" spans="1:6" x14ac:dyDescent="0.35">
      <c r="A199" s="22">
        <v>44736</v>
      </c>
      <c r="B199">
        <v>46.734999999999999</v>
      </c>
      <c r="C199">
        <v>46.734999999999999</v>
      </c>
      <c r="D199">
        <v>46.734999999999999</v>
      </c>
      <c r="E199">
        <v>46.734999999999999</v>
      </c>
      <c r="F199" s="23">
        <f t="shared" si="3"/>
        <v>1.3093147774815184E-2</v>
      </c>
    </row>
    <row r="200" spans="1:6" x14ac:dyDescent="0.35">
      <c r="A200" s="22">
        <v>44739</v>
      </c>
      <c r="B200">
        <v>47.591000000000001</v>
      </c>
      <c r="C200">
        <v>47.591000000000001</v>
      </c>
      <c r="D200">
        <v>47.591000000000001</v>
      </c>
      <c r="E200">
        <v>47.591000000000001</v>
      </c>
      <c r="F200" s="23">
        <f t="shared" si="3"/>
        <v>1.8316037231197211E-2</v>
      </c>
    </row>
    <row r="201" spans="1:6" x14ac:dyDescent="0.35">
      <c r="A201" s="22">
        <v>44740</v>
      </c>
      <c r="B201">
        <v>47.314</v>
      </c>
      <c r="C201">
        <v>47.314</v>
      </c>
      <c r="D201">
        <v>47.314</v>
      </c>
      <c r="E201">
        <v>47.314</v>
      </c>
      <c r="F201" s="23">
        <f t="shared" si="3"/>
        <v>-5.8204282322288038E-3</v>
      </c>
    </row>
    <row r="202" spans="1:6" x14ac:dyDescent="0.35">
      <c r="A202" s="22">
        <v>44741</v>
      </c>
      <c r="B202">
        <v>46.715000000000003</v>
      </c>
      <c r="C202">
        <v>46.715000000000003</v>
      </c>
      <c r="D202">
        <v>46.715000000000003</v>
      </c>
      <c r="E202">
        <v>46.715000000000003</v>
      </c>
      <c r="F202" s="23">
        <f t="shared" si="3"/>
        <v>-1.2660100604472178E-2</v>
      </c>
    </row>
    <row r="203" spans="1:6" x14ac:dyDescent="0.35">
      <c r="A203" s="22">
        <v>44742</v>
      </c>
      <c r="B203">
        <v>46.826999999999998</v>
      </c>
      <c r="C203">
        <v>46.826999999999998</v>
      </c>
      <c r="D203">
        <v>46.826999999999998</v>
      </c>
      <c r="E203">
        <v>46.826999999999998</v>
      </c>
      <c r="F203" s="23">
        <f t="shared" si="3"/>
        <v>2.3975168575402924E-3</v>
      </c>
    </row>
    <row r="204" spans="1:6" x14ac:dyDescent="0.35">
      <c r="A204" s="22">
        <v>44743</v>
      </c>
      <c r="B204">
        <v>46.807000000000002</v>
      </c>
      <c r="C204">
        <v>46.807000000000002</v>
      </c>
      <c r="D204">
        <v>46.807000000000002</v>
      </c>
      <c r="E204">
        <v>46.807000000000002</v>
      </c>
      <c r="F204" s="23">
        <f t="shared" si="3"/>
        <v>-4.2710402118427448E-4</v>
      </c>
    </row>
    <row r="205" spans="1:6" x14ac:dyDescent="0.35">
      <c r="A205" s="22">
        <v>44746</v>
      </c>
      <c r="B205">
        <v>47.174999999999997</v>
      </c>
      <c r="C205">
        <v>47.174999999999997</v>
      </c>
      <c r="D205">
        <v>47.174999999999997</v>
      </c>
      <c r="E205">
        <v>47.174999999999997</v>
      </c>
      <c r="F205" s="23">
        <f t="shared" si="3"/>
        <v>7.8620719123206999E-3</v>
      </c>
    </row>
    <row r="206" spans="1:6" x14ac:dyDescent="0.35">
      <c r="A206" s="22">
        <v>44747</v>
      </c>
      <c r="B206">
        <v>47.148000000000003</v>
      </c>
      <c r="C206">
        <v>47.148000000000003</v>
      </c>
      <c r="D206">
        <v>47.148000000000003</v>
      </c>
      <c r="E206">
        <v>47.148000000000003</v>
      </c>
      <c r="F206" s="23">
        <f t="shared" si="3"/>
        <v>-5.7233704292514935E-4</v>
      </c>
    </row>
    <row r="207" spans="1:6" x14ac:dyDescent="0.35">
      <c r="A207" s="22">
        <v>44748</v>
      </c>
      <c r="B207">
        <v>47.84</v>
      </c>
      <c r="C207">
        <v>47.84</v>
      </c>
      <c r="D207">
        <v>47.84</v>
      </c>
      <c r="E207">
        <v>47.84</v>
      </c>
      <c r="F207" s="23">
        <f t="shared" si="3"/>
        <v>1.4677186731144484E-2</v>
      </c>
    </row>
    <row r="208" spans="1:6" x14ac:dyDescent="0.35">
      <c r="A208" s="22">
        <v>44749</v>
      </c>
      <c r="B208">
        <v>48.271000000000001</v>
      </c>
      <c r="C208">
        <v>48.271000000000001</v>
      </c>
      <c r="D208">
        <v>48.271000000000001</v>
      </c>
      <c r="E208">
        <v>48.271000000000001</v>
      </c>
      <c r="F208" s="23">
        <f t="shared" si="3"/>
        <v>9.0091973244146601E-3</v>
      </c>
    </row>
    <row r="209" spans="1:6" x14ac:dyDescent="0.35">
      <c r="A209" s="22">
        <v>44750</v>
      </c>
      <c r="B209">
        <v>48.731000000000002</v>
      </c>
      <c r="C209">
        <v>48.731000000000002</v>
      </c>
      <c r="D209">
        <v>48.731000000000002</v>
      </c>
      <c r="E209">
        <v>48.731000000000002</v>
      </c>
      <c r="F209" s="23">
        <f t="shared" si="3"/>
        <v>9.5295311884982872E-3</v>
      </c>
    </row>
    <row r="210" spans="1:6" x14ac:dyDescent="0.35">
      <c r="A210" s="22">
        <v>44753</v>
      </c>
      <c r="B210">
        <v>48.866</v>
      </c>
      <c r="C210">
        <v>48.866</v>
      </c>
      <c r="D210">
        <v>48.866</v>
      </c>
      <c r="E210">
        <v>48.866</v>
      </c>
      <c r="F210" s="23">
        <f t="shared" si="3"/>
        <v>2.7703104799819008E-3</v>
      </c>
    </row>
    <row r="211" spans="1:6" x14ac:dyDescent="0.35">
      <c r="A211" s="22">
        <v>44754</v>
      </c>
      <c r="B211">
        <v>48.405000000000001</v>
      </c>
      <c r="C211">
        <v>48.405000000000001</v>
      </c>
      <c r="D211">
        <v>48.405000000000001</v>
      </c>
      <c r="E211">
        <v>48.405000000000001</v>
      </c>
      <c r="F211" s="23">
        <f t="shared" si="3"/>
        <v>-9.4339622641509135E-3</v>
      </c>
    </row>
    <row r="212" spans="1:6" x14ac:dyDescent="0.35">
      <c r="A212" s="22">
        <v>44755</v>
      </c>
      <c r="B212">
        <v>47.970999999999997</v>
      </c>
      <c r="C212">
        <v>47.970999999999997</v>
      </c>
      <c r="D212">
        <v>47.970999999999997</v>
      </c>
      <c r="E212">
        <v>47.970999999999997</v>
      </c>
      <c r="F212" s="23">
        <f t="shared" si="3"/>
        <v>-8.9660159074476733E-3</v>
      </c>
    </row>
    <row r="213" spans="1:6" x14ac:dyDescent="0.35">
      <c r="A213" s="22">
        <v>44756</v>
      </c>
      <c r="B213">
        <v>47.680999999999997</v>
      </c>
      <c r="C213">
        <v>47.680999999999997</v>
      </c>
      <c r="D213">
        <v>47.680999999999997</v>
      </c>
      <c r="E213">
        <v>47.680999999999997</v>
      </c>
      <c r="F213" s="23">
        <f t="shared" si="3"/>
        <v>-6.0453190469241663E-3</v>
      </c>
    </row>
    <row r="214" spans="1:6" x14ac:dyDescent="0.35">
      <c r="A214" s="22">
        <v>44757</v>
      </c>
      <c r="B214">
        <v>47.640999999999998</v>
      </c>
      <c r="C214">
        <v>47.640999999999998</v>
      </c>
      <c r="D214">
        <v>47.640999999999998</v>
      </c>
      <c r="E214">
        <v>47.640999999999998</v>
      </c>
      <c r="F214" s="23">
        <f t="shared" si="3"/>
        <v>-8.3890857993748342E-4</v>
      </c>
    </row>
    <row r="215" spans="1:6" x14ac:dyDescent="0.35">
      <c r="A215" s="22">
        <v>44760</v>
      </c>
      <c r="B215">
        <v>48.207999999999998</v>
      </c>
      <c r="C215">
        <v>48.207999999999998</v>
      </c>
      <c r="D215">
        <v>48.207999999999998</v>
      </c>
      <c r="E215">
        <v>48.207999999999998</v>
      </c>
      <c r="F215" s="23">
        <f t="shared" si="3"/>
        <v>1.1901513402321534E-2</v>
      </c>
    </row>
    <row r="216" spans="1:6" x14ac:dyDescent="0.35">
      <c r="A216" s="22">
        <v>44761</v>
      </c>
      <c r="B216">
        <v>48.222000000000001</v>
      </c>
      <c r="C216">
        <v>48.222000000000001</v>
      </c>
      <c r="D216">
        <v>48.222000000000001</v>
      </c>
      <c r="E216">
        <v>48.222000000000001</v>
      </c>
      <c r="F216" s="23">
        <f t="shared" si="3"/>
        <v>2.9040823099906447E-4</v>
      </c>
    </row>
    <row r="217" spans="1:6" x14ac:dyDescent="0.35">
      <c r="A217" s="22">
        <v>44762</v>
      </c>
      <c r="B217">
        <v>48.866</v>
      </c>
      <c r="C217">
        <v>48.866</v>
      </c>
      <c r="D217">
        <v>48.866</v>
      </c>
      <c r="E217">
        <v>48.866</v>
      </c>
      <c r="F217" s="23">
        <f t="shared" si="3"/>
        <v>1.3354900252996522E-2</v>
      </c>
    </row>
    <row r="218" spans="1:6" x14ac:dyDescent="0.35">
      <c r="A218" s="22">
        <v>44763</v>
      </c>
      <c r="B218">
        <v>49.207999999999998</v>
      </c>
      <c r="C218">
        <v>49.207999999999998</v>
      </c>
      <c r="D218">
        <v>49.207999999999998</v>
      </c>
      <c r="E218">
        <v>49.207999999999998</v>
      </c>
      <c r="F218" s="23">
        <f t="shared" si="3"/>
        <v>6.9987312241640148E-3</v>
      </c>
    </row>
    <row r="219" spans="1:6" x14ac:dyDescent="0.35">
      <c r="A219" s="22">
        <v>44764</v>
      </c>
      <c r="B219">
        <v>49.463999999999999</v>
      </c>
      <c r="C219">
        <v>49.463999999999999</v>
      </c>
      <c r="D219">
        <v>49.463999999999999</v>
      </c>
      <c r="E219">
        <v>49.463999999999999</v>
      </c>
      <c r="F219" s="23">
        <f t="shared" si="3"/>
        <v>5.2024061128271874E-3</v>
      </c>
    </row>
    <row r="220" spans="1:6" x14ac:dyDescent="0.35">
      <c r="A220" s="22">
        <v>44767</v>
      </c>
      <c r="B220">
        <v>49.06</v>
      </c>
      <c r="C220">
        <v>49.06</v>
      </c>
      <c r="D220">
        <v>49.06</v>
      </c>
      <c r="E220">
        <v>49.06</v>
      </c>
      <c r="F220" s="23">
        <f t="shared" si="3"/>
        <v>-8.1675562024906261E-3</v>
      </c>
    </row>
    <row r="221" spans="1:6" x14ac:dyDescent="0.35">
      <c r="A221" s="22">
        <v>44768</v>
      </c>
      <c r="B221">
        <v>48.734999999999999</v>
      </c>
      <c r="C221">
        <v>48.734999999999999</v>
      </c>
      <c r="D221">
        <v>48.734999999999999</v>
      </c>
      <c r="E221">
        <v>48.734999999999999</v>
      </c>
      <c r="F221" s="23">
        <f t="shared" si="3"/>
        <v>-6.6245413779046644E-3</v>
      </c>
    </row>
    <row r="222" spans="1:6" x14ac:dyDescent="0.35">
      <c r="A222" s="22">
        <v>44769</v>
      </c>
      <c r="B222">
        <v>48.62</v>
      </c>
      <c r="C222">
        <v>48.62</v>
      </c>
      <c r="D222">
        <v>48.62</v>
      </c>
      <c r="E222">
        <v>48.62</v>
      </c>
      <c r="F222" s="23">
        <f t="shared" si="3"/>
        <v>-2.3597004206422898E-3</v>
      </c>
    </row>
    <row r="223" spans="1:6" x14ac:dyDescent="0.35">
      <c r="A223" s="22">
        <v>44770</v>
      </c>
      <c r="B223">
        <v>49.667000000000002</v>
      </c>
      <c r="C223">
        <v>49.667000000000002</v>
      </c>
      <c r="D223">
        <v>49.667000000000002</v>
      </c>
      <c r="E223">
        <v>49.667000000000002</v>
      </c>
      <c r="F223" s="23">
        <f t="shared" si="3"/>
        <v>2.1534348004936327E-2</v>
      </c>
    </row>
    <row r="224" spans="1:6" x14ac:dyDescent="0.35">
      <c r="A224" s="22">
        <v>44771</v>
      </c>
      <c r="B224">
        <v>49.978000000000002</v>
      </c>
      <c r="C224">
        <v>49.978000000000002</v>
      </c>
      <c r="D224">
        <v>49.978000000000002</v>
      </c>
      <c r="E224">
        <v>49.978000000000002</v>
      </c>
      <c r="F224" s="23">
        <f t="shared" si="3"/>
        <v>6.2617029415909945E-3</v>
      </c>
    </row>
    <row r="225" spans="1:6" x14ac:dyDescent="0.35">
      <c r="A225" s="22">
        <v>44774</v>
      </c>
      <c r="B225">
        <v>50.655999999999999</v>
      </c>
      <c r="C225">
        <v>50.655999999999999</v>
      </c>
      <c r="D225">
        <v>50.655999999999999</v>
      </c>
      <c r="E225">
        <v>50.655999999999999</v>
      </c>
      <c r="F225" s="23">
        <f t="shared" si="3"/>
        <v>1.3565969026371548E-2</v>
      </c>
    </row>
    <row r="226" spans="1:6" x14ac:dyDescent="0.35">
      <c r="A226" s="22">
        <v>44775</v>
      </c>
      <c r="B226">
        <v>50.643999999999998</v>
      </c>
      <c r="C226">
        <v>50.643999999999998</v>
      </c>
      <c r="D226">
        <v>50.643999999999998</v>
      </c>
      <c r="E226">
        <v>50.643999999999998</v>
      </c>
      <c r="F226" s="23">
        <f t="shared" si="3"/>
        <v>-2.3689197725837918E-4</v>
      </c>
    </row>
    <row r="227" spans="1:6" x14ac:dyDescent="0.35">
      <c r="A227" s="22">
        <v>44776</v>
      </c>
      <c r="B227">
        <v>50.57</v>
      </c>
      <c r="C227">
        <v>50.57</v>
      </c>
      <c r="D227">
        <v>50.57</v>
      </c>
      <c r="E227">
        <v>50.57</v>
      </c>
      <c r="F227" s="23">
        <f t="shared" si="3"/>
        <v>-1.4611800015796159E-3</v>
      </c>
    </row>
    <row r="228" spans="1:6" x14ac:dyDescent="0.35">
      <c r="A228" s="22">
        <v>44777</v>
      </c>
      <c r="B228">
        <v>50.887</v>
      </c>
      <c r="C228">
        <v>50.887</v>
      </c>
      <c r="D228">
        <v>50.887</v>
      </c>
      <c r="E228">
        <v>50.887</v>
      </c>
      <c r="F228" s="23">
        <f t="shared" si="3"/>
        <v>6.2685386592841643E-3</v>
      </c>
    </row>
    <row r="229" spans="1:6" x14ac:dyDescent="0.35">
      <c r="A229" s="22">
        <v>44778</v>
      </c>
      <c r="B229">
        <v>50.991</v>
      </c>
      <c r="C229">
        <v>50.991</v>
      </c>
      <c r="D229">
        <v>50.991</v>
      </c>
      <c r="E229">
        <v>50.991</v>
      </c>
      <c r="F229" s="23">
        <f t="shared" si="3"/>
        <v>2.0437439817634997E-3</v>
      </c>
    </row>
    <row r="230" spans="1:6" x14ac:dyDescent="0.35">
      <c r="A230" s="22">
        <v>44781</v>
      </c>
      <c r="B230">
        <v>51.203000000000003</v>
      </c>
      <c r="C230">
        <v>51.203000000000003</v>
      </c>
      <c r="D230">
        <v>51.203000000000003</v>
      </c>
      <c r="E230">
        <v>51.203000000000003</v>
      </c>
      <c r="F230" s="23">
        <f t="shared" si="3"/>
        <v>4.1575964385872667E-3</v>
      </c>
    </row>
    <row r="231" spans="1:6" x14ac:dyDescent="0.35">
      <c r="A231" s="22">
        <v>44783</v>
      </c>
      <c r="B231">
        <v>51.216000000000001</v>
      </c>
      <c r="C231">
        <v>51.216000000000001</v>
      </c>
      <c r="D231">
        <v>51.216000000000001</v>
      </c>
      <c r="E231">
        <v>51.216000000000001</v>
      </c>
      <c r="F231" s="23">
        <f t="shared" si="3"/>
        <v>2.5389137355229425E-4</v>
      </c>
    </row>
    <row r="232" spans="1:6" x14ac:dyDescent="0.35">
      <c r="A232" s="22">
        <v>44784</v>
      </c>
      <c r="B232">
        <v>51.82</v>
      </c>
      <c r="C232">
        <v>51.82</v>
      </c>
      <c r="D232">
        <v>51.82</v>
      </c>
      <c r="E232">
        <v>51.82</v>
      </c>
      <c r="F232" s="23">
        <f t="shared" si="3"/>
        <v>1.179318962824116E-2</v>
      </c>
    </row>
    <row r="233" spans="1:6" x14ac:dyDescent="0.35">
      <c r="A233" s="22">
        <v>44785</v>
      </c>
      <c r="B233">
        <v>51.863999999999997</v>
      </c>
      <c r="C233">
        <v>51.863999999999997</v>
      </c>
      <c r="D233">
        <v>51.863999999999997</v>
      </c>
      <c r="E233">
        <v>51.863999999999997</v>
      </c>
      <c r="F233" s="23">
        <f t="shared" si="3"/>
        <v>8.4909301428014151E-4</v>
      </c>
    </row>
    <row r="234" spans="1:6" x14ac:dyDescent="0.35">
      <c r="A234" s="22">
        <v>44789</v>
      </c>
      <c r="B234">
        <v>52.368000000000002</v>
      </c>
      <c r="C234">
        <v>52.368000000000002</v>
      </c>
      <c r="D234">
        <v>52.368000000000002</v>
      </c>
      <c r="E234">
        <v>52.368000000000002</v>
      </c>
      <c r="F234" s="23">
        <f t="shared" si="3"/>
        <v>9.7177232762610845E-3</v>
      </c>
    </row>
    <row r="235" spans="1:6" x14ac:dyDescent="0.35">
      <c r="A235" s="22">
        <v>44790</v>
      </c>
      <c r="B235">
        <v>52.710999999999999</v>
      </c>
      <c r="C235">
        <v>52.710999999999999</v>
      </c>
      <c r="D235">
        <v>52.710999999999999</v>
      </c>
      <c r="E235">
        <v>52.710999999999999</v>
      </c>
      <c r="F235" s="23">
        <f t="shared" si="3"/>
        <v>6.549801405438367E-3</v>
      </c>
    </row>
    <row r="236" spans="1:6" x14ac:dyDescent="0.35">
      <c r="A236" s="22">
        <v>44791</v>
      </c>
      <c r="B236">
        <v>52.613</v>
      </c>
      <c r="C236">
        <v>52.613</v>
      </c>
      <c r="D236">
        <v>52.613</v>
      </c>
      <c r="E236">
        <v>52.613</v>
      </c>
      <c r="F236" s="23">
        <f t="shared" si="3"/>
        <v>-1.8591944755363963E-3</v>
      </c>
    </row>
    <row r="237" spans="1:6" x14ac:dyDescent="0.35">
      <c r="A237" s="22">
        <v>44792</v>
      </c>
      <c r="B237">
        <v>52.201000000000001</v>
      </c>
      <c r="C237">
        <v>52.201000000000001</v>
      </c>
      <c r="D237">
        <v>52.201000000000001</v>
      </c>
      <c r="E237">
        <v>52.201000000000001</v>
      </c>
      <c r="F237" s="23">
        <f t="shared" si="3"/>
        <v>-7.8307642597836846E-3</v>
      </c>
    </row>
    <row r="238" spans="1:6" x14ac:dyDescent="0.35">
      <c r="A238" s="22">
        <v>44795</v>
      </c>
      <c r="B238">
        <v>51.438000000000002</v>
      </c>
      <c r="C238">
        <v>51.438000000000002</v>
      </c>
      <c r="D238">
        <v>51.438000000000002</v>
      </c>
      <c r="E238">
        <v>51.438000000000002</v>
      </c>
      <c r="F238" s="23">
        <f t="shared" si="3"/>
        <v>-1.4616578226470721E-2</v>
      </c>
    </row>
    <row r="239" spans="1:6" x14ac:dyDescent="0.35">
      <c r="A239" s="22">
        <v>44796</v>
      </c>
      <c r="B239">
        <v>51.3</v>
      </c>
      <c r="C239">
        <v>51.3</v>
      </c>
      <c r="D239">
        <v>51.3</v>
      </c>
      <c r="E239">
        <v>51.3</v>
      </c>
      <c r="F239" s="23">
        <f t="shared" si="3"/>
        <v>-2.6828414790622734E-3</v>
      </c>
    </row>
    <row r="240" spans="1:6" x14ac:dyDescent="0.35">
      <c r="A240" s="22">
        <v>44797</v>
      </c>
      <c r="B240">
        <v>51.369</v>
      </c>
      <c r="C240">
        <v>51.369</v>
      </c>
      <c r="D240">
        <v>51.369</v>
      </c>
      <c r="E240">
        <v>51.369</v>
      </c>
      <c r="F240" s="23">
        <f t="shared" si="3"/>
        <v>1.3450292397661329E-3</v>
      </c>
    </row>
    <row r="241" spans="1:6" x14ac:dyDescent="0.35">
      <c r="A241" s="22">
        <v>44798</v>
      </c>
      <c r="B241">
        <v>51.228999999999999</v>
      </c>
      <c r="C241">
        <v>51.228999999999999</v>
      </c>
      <c r="D241">
        <v>51.228999999999999</v>
      </c>
      <c r="E241">
        <v>51.228999999999999</v>
      </c>
      <c r="F241" s="23">
        <f t="shared" si="3"/>
        <v>-2.7253791197025556E-3</v>
      </c>
    </row>
    <row r="242" spans="1:6" x14ac:dyDescent="0.35">
      <c r="A242" s="22">
        <v>44799</v>
      </c>
      <c r="B242">
        <v>51.555</v>
      </c>
      <c r="C242">
        <v>51.555</v>
      </c>
      <c r="D242">
        <v>51.555</v>
      </c>
      <c r="E242">
        <v>51.555</v>
      </c>
      <c r="F242" s="23">
        <f t="shared" si="3"/>
        <v>6.3635831267446277E-3</v>
      </c>
    </row>
    <row r="243" spans="1:6" x14ac:dyDescent="0.35">
      <c r="A243" s="22">
        <v>44802</v>
      </c>
      <c r="B243">
        <v>50.715000000000003</v>
      </c>
      <c r="C243">
        <v>50.715000000000003</v>
      </c>
      <c r="D243">
        <v>50.715000000000003</v>
      </c>
      <c r="E243">
        <v>50.715000000000003</v>
      </c>
      <c r="F243" s="23">
        <f t="shared" si="3"/>
        <v>-1.6293279022403188E-2</v>
      </c>
    </row>
    <row r="244" spans="1:6" x14ac:dyDescent="0.35">
      <c r="A244" s="22">
        <v>44803</v>
      </c>
      <c r="B244">
        <v>51.326000000000001</v>
      </c>
      <c r="C244">
        <v>51.326000000000001</v>
      </c>
      <c r="D244">
        <v>51.326000000000001</v>
      </c>
      <c r="E244">
        <v>51.326000000000001</v>
      </c>
      <c r="F244" s="23">
        <f t="shared" si="3"/>
        <v>1.2047717637779691E-2</v>
      </c>
    </row>
    <row r="245" spans="1:6" x14ac:dyDescent="0.35">
      <c r="A245" s="22">
        <v>44805</v>
      </c>
      <c r="B245">
        <v>51.131</v>
      </c>
      <c r="C245">
        <v>51.131</v>
      </c>
      <c r="D245">
        <v>51.131</v>
      </c>
      <c r="E245">
        <v>51.131</v>
      </c>
      <c r="F245" s="23">
        <f t="shared" si="3"/>
        <v>-3.7992440478509973E-3</v>
      </c>
    </row>
    <row r="246" spans="1:6" x14ac:dyDescent="0.35">
      <c r="A246" s="22">
        <v>44806</v>
      </c>
      <c r="B246">
        <v>51.161999999999999</v>
      </c>
      <c r="C246">
        <v>51.161999999999999</v>
      </c>
      <c r="D246">
        <v>51.161999999999999</v>
      </c>
      <c r="E246">
        <v>51.161999999999999</v>
      </c>
      <c r="F246" s="23">
        <f t="shared" si="3"/>
        <v>6.0628581486766946E-4</v>
      </c>
    </row>
    <row r="247" spans="1:6" x14ac:dyDescent="0.35">
      <c r="A247" s="22">
        <v>44809</v>
      </c>
      <c r="B247">
        <v>51.335000000000001</v>
      </c>
      <c r="C247">
        <v>51.335000000000001</v>
      </c>
      <c r="D247">
        <v>51.335000000000001</v>
      </c>
      <c r="E247">
        <v>51.335000000000001</v>
      </c>
      <c r="F247" s="23">
        <f t="shared" si="3"/>
        <v>3.3814158946093159E-3</v>
      </c>
    </row>
    <row r="248" spans="1:6" x14ac:dyDescent="0.35">
      <c r="A248" s="22">
        <v>44810</v>
      </c>
      <c r="B248">
        <v>51.465000000000003</v>
      </c>
      <c r="C248">
        <v>51.465000000000003</v>
      </c>
      <c r="D248">
        <v>51.465000000000003</v>
      </c>
      <c r="E248">
        <v>51.465000000000003</v>
      </c>
      <c r="F248" s="23">
        <f t="shared" si="3"/>
        <v>2.5323853121652392E-3</v>
      </c>
    </row>
    <row r="249" spans="1:6" x14ac:dyDescent="0.35">
      <c r="A249" s="22">
        <v>44811</v>
      </c>
      <c r="B249">
        <v>51.377000000000002</v>
      </c>
      <c r="C249">
        <v>51.377000000000002</v>
      </c>
      <c r="D249">
        <v>51.377000000000002</v>
      </c>
      <c r="E249">
        <v>51.377000000000002</v>
      </c>
      <c r="F249" s="23">
        <f t="shared" si="3"/>
        <v>-1.7098999319926349E-3</v>
      </c>
    </row>
    <row r="250" spans="1:6" x14ac:dyDescent="0.35">
      <c r="A250" s="22">
        <v>44812</v>
      </c>
      <c r="B250">
        <v>52.268999999999998</v>
      </c>
      <c r="C250">
        <v>52.268999999999998</v>
      </c>
      <c r="D250">
        <v>52.268999999999998</v>
      </c>
      <c r="E250">
        <v>52.268999999999998</v>
      </c>
      <c r="F250" s="23">
        <f t="shared" si="3"/>
        <v>1.7361854526344391E-2</v>
      </c>
    </row>
    <row r="251" spans="1:6" x14ac:dyDescent="0.35">
      <c r="A251" s="22">
        <v>44813</v>
      </c>
      <c r="B251">
        <v>52.469000000000001</v>
      </c>
      <c r="C251">
        <v>52.469000000000001</v>
      </c>
      <c r="D251">
        <v>52.469000000000001</v>
      </c>
      <c r="E251">
        <v>52.469000000000001</v>
      </c>
      <c r="F251" s="23">
        <f t="shared" si="3"/>
        <v>3.8263597926113538E-3</v>
      </c>
    </row>
    <row r="252" spans="1:6" x14ac:dyDescent="0.35">
      <c r="A252" s="22">
        <v>44816</v>
      </c>
      <c r="B252">
        <v>52.826000000000001</v>
      </c>
      <c r="C252">
        <v>52.826000000000001</v>
      </c>
      <c r="D252">
        <v>52.826000000000001</v>
      </c>
      <c r="E252">
        <v>52.826000000000001</v>
      </c>
      <c r="F252" s="23">
        <f t="shared" si="3"/>
        <v>6.8040176103985077E-3</v>
      </c>
    </row>
    <row r="253" spans="1:6" x14ac:dyDescent="0.35">
      <c r="A253" s="22">
        <v>44817</v>
      </c>
      <c r="B253">
        <v>53.143000000000001</v>
      </c>
      <c r="C253">
        <v>53.143000000000001</v>
      </c>
      <c r="D253">
        <v>53.143000000000001</v>
      </c>
      <c r="E253">
        <v>53.143000000000001</v>
      </c>
      <c r="F253" s="23">
        <f t="shared" si="3"/>
        <v>6.00083292318177E-3</v>
      </c>
    </row>
    <row r="254" spans="1:6" x14ac:dyDescent="0.35">
      <c r="A254" s="22">
        <v>44818</v>
      </c>
      <c r="B254">
        <v>52.790999999999997</v>
      </c>
      <c r="C254">
        <v>52.790999999999997</v>
      </c>
      <c r="D254">
        <v>52.790999999999997</v>
      </c>
      <c r="E254">
        <v>52.790999999999997</v>
      </c>
      <c r="F254" s="23">
        <f t="shared" si="3"/>
        <v>-6.6236381084997806E-3</v>
      </c>
    </row>
    <row r="255" spans="1:6" x14ac:dyDescent="0.35">
      <c r="A255" s="22">
        <v>44819</v>
      </c>
      <c r="B255">
        <v>52.706000000000003</v>
      </c>
      <c r="C255">
        <v>52.706000000000003</v>
      </c>
      <c r="D255">
        <v>52.706000000000003</v>
      </c>
      <c r="E255">
        <v>52.706000000000003</v>
      </c>
      <c r="F255" s="23">
        <f t="shared" si="3"/>
        <v>-1.6101229376218249E-3</v>
      </c>
    </row>
    <row r="256" spans="1:6" x14ac:dyDescent="0.35">
      <c r="A256" s="22">
        <v>44820</v>
      </c>
      <c r="B256">
        <v>51.715000000000003</v>
      </c>
      <c r="C256">
        <v>51.715000000000003</v>
      </c>
      <c r="D256">
        <v>51.715000000000003</v>
      </c>
      <c r="E256">
        <v>51.715000000000003</v>
      </c>
      <c r="F256" s="23">
        <f t="shared" si="3"/>
        <v>-1.8802413387470109E-2</v>
      </c>
    </row>
    <row r="257" spans="1:6" x14ac:dyDescent="0.35">
      <c r="A257" s="22">
        <v>44823</v>
      </c>
      <c r="B257">
        <v>51.747</v>
      </c>
      <c r="C257">
        <v>51.747</v>
      </c>
      <c r="D257">
        <v>51.747</v>
      </c>
      <c r="E257">
        <v>51.747</v>
      </c>
      <c r="F257" s="23">
        <f t="shared" si="3"/>
        <v>6.1877598375706226E-4</v>
      </c>
    </row>
    <row r="258" spans="1:6" x14ac:dyDescent="0.35">
      <c r="A258" s="22">
        <v>44824</v>
      </c>
      <c r="B258">
        <v>52.308</v>
      </c>
      <c r="C258">
        <v>52.308</v>
      </c>
      <c r="D258">
        <v>52.308</v>
      </c>
      <c r="E258">
        <v>52.308</v>
      </c>
      <c r="F258" s="23">
        <f t="shared" si="3"/>
        <v>1.0841208185981796E-2</v>
      </c>
    </row>
    <row r="259" spans="1:6" x14ac:dyDescent="0.35">
      <c r="A259" s="22">
        <v>44825</v>
      </c>
      <c r="B259">
        <v>51.991</v>
      </c>
      <c r="C259">
        <v>51.991</v>
      </c>
      <c r="D259">
        <v>51.991</v>
      </c>
      <c r="E259">
        <v>51.991</v>
      </c>
      <c r="F259" s="23">
        <f t="shared" ref="F259:F322" si="4">(B259-B258)/B258</f>
        <v>-6.0602584690678321E-3</v>
      </c>
    </row>
    <row r="260" spans="1:6" x14ac:dyDescent="0.35">
      <c r="A260" s="22">
        <v>44826</v>
      </c>
      <c r="B260">
        <v>51.603000000000002</v>
      </c>
      <c r="C260">
        <v>51.603000000000002</v>
      </c>
      <c r="D260">
        <v>51.603000000000002</v>
      </c>
      <c r="E260">
        <v>51.603000000000002</v>
      </c>
      <c r="F260" s="23">
        <f t="shared" si="4"/>
        <v>-7.4628301052104811E-3</v>
      </c>
    </row>
    <row r="261" spans="1:6" x14ac:dyDescent="0.35">
      <c r="A261" s="22">
        <v>44827</v>
      </c>
      <c r="B261">
        <v>50.996000000000002</v>
      </c>
      <c r="C261">
        <v>50.996000000000002</v>
      </c>
      <c r="D261">
        <v>50.996000000000002</v>
      </c>
      <c r="E261">
        <v>50.996000000000002</v>
      </c>
      <c r="F261" s="23">
        <f t="shared" si="4"/>
        <v>-1.176288200298431E-2</v>
      </c>
    </row>
    <row r="262" spans="1:6" x14ac:dyDescent="0.35">
      <c r="A262" s="22">
        <v>44830</v>
      </c>
      <c r="B262">
        <v>50.148000000000003</v>
      </c>
      <c r="C262">
        <v>50.148000000000003</v>
      </c>
      <c r="D262">
        <v>50.148000000000003</v>
      </c>
      <c r="E262">
        <v>50.148000000000003</v>
      </c>
      <c r="F262" s="23">
        <f t="shared" si="4"/>
        <v>-1.6628755196485979E-2</v>
      </c>
    </row>
    <row r="263" spans="1:6" x14ac:dyDescent="0.35">
      <c r="A263" s="22">
        <v>44831</v>
      </c>
      <c r="B263">
        <v>49.982999999999997</v>
      </c>
      <c r="C263">
        <v>49.982999999999997</v>
      </c>
      <c r="D263">
        <v>49.982999999999997</v>
      </c>
      <c r="E263">
        <v>49.982999999999997</v>
      </c>
      <c r="F263" s="23">
        <f t="shared" si="4"/>
        <v>-3.2902608279493945E-3</v>
      </c>
    </row>
    <row r="264" spans="1:6" x14ac:dyDescent="0.35">
      <c r="A264" s="22">
        <v>44832</v>
      </c>
      <c r="B264">
        <v>49.567</v>
      </c>
      <c r="C264">
        <v>49.567</v>
      </c>
      <c r="D264">
        <v>49.567</v>
      </c>
      <c r="E264">
        <v>49.567</v>
      </c>
      <c r="F264" s="23">
        <f t="shared" si="4"/>
        <v>-8.3228297621190574E-3</v>
      </c>
    </row>
    <row r="265" spans="1:6" x14ac:dyDescent="0.35">
      <c r="A265" s="22">
        <v>44833</v>
      </c>
      <c r="B265">
        <v>49.732999999999997</v>
      </c>
      <c r="C265">
        <v>49.732999999999997</v>
      </c>
      <c r="D265">
        <v>49.732999999999997</v>
      </c>
      <c r="E265">
        <v>49.732999999999997</v>
      </c>
      <c r="F265" s="23">
        <f t="shared" si="4"/>
        <v>3.3490023604413584E-3</v>
      </c>
    </row>
    <row r="266" spans="1:6" x14ac:dyDescent="0.35">
      <c r="A266" s="22">
        <v>44834</v>
      </c>
      <c r="B266">
        <v>49.892000000000003</v>
      </c>
      <c r="C266">
        <v>49.892000000000003</v>
      </c>
      <c r="D266">
        <v>49.892000000000003</v>
      </c>
      <c r="E266">
        <v>49.892000000000003</v>
      </c>
      <c r="F266" s="23">
        <f t="shared" si="4"/>
        <v>3.1970723664368939E-3</v>
      </c>
    </row>
    <row r="267" spans="1:6" x14ac:dyDescent="0.35">
      <c r="A267" s="22">
        <v>44837</v>
      </c>
      <c r="B267">
        <v>49.683</v>
      </c>
      <c r="C267">
        <v>49.683</v>
      </c>
      <c r="D267">
        <v>49.683</v>
      </c>
      <c r="E267">
        <v>49.683</v>
      </c>
      <c r="F267" s="23">
        <f t="shared" si="4"/>
        <v>-4.1890483444240196E-3</v>
      </c>
    </row>
    <row r="268" spans="1:6" x14ac:dyDescent="0.35">
      <c r="A268" s="22">
        <v>44840</v>
      </c>
      <c r="B268">
        <v>51.213000000000001</v>
      </c>
      <c r="C268">
        <v>51.213000000000001</v>
      </c>
      <c r="D268">
        <v>51.213000000000001</v>
      </c>
      <c r="E268">
        <v>51.213000000000001</v>
      </c>
      <c r="F268" s="23">
        <f t="shared" si="4"/>
        <v>3.0795241833222655E-2</v>
      </c>
    </row>
    <row r="269" spans="1:6" x14ac:dyDescent="0.35">
      <c r="A269" s="22">
        <v>44841</v>
      </c>
      <c r="B269">
        <v>51.276000000000003</v>
      </c>
      <c r="C269">
        <v>51.276000000000003</v>
      </c>
      <c r="D269">
        <v>51.276000000000003</v>
      </c>
      <c r="E269">
        <v>51.276000000000003</v>
      </c>
      <c r="F269" s="23">
        <f t="shared" si="4"/>
        <v>1.2301564056001872E-3</v>
      </c>
    </row>
    <row r="270" spans="1:6" x14ac:dyDescent="0.35">
      <c r="A270" s="22">
        <v>44844</v>
      </c>
      <c r="B270">
        <v>50.691000000000003</v>
      </c>
      <c r="C270">
        <v>50.691000000000003</v>
      </c>
      <c r="D270">
        <v>50.691000000000003</v>
      </c>
      <c r="E270">
        <v>50.691000000000003</v>
      </c>
      <c r="F270" s="23">
        <f t="shared" si="4"/>
        <v>-1.1408846243856791E-2</v>
      </c>
    </row>
    <row r="271" spans="1:6" x14ac:dyDescent="0.35">
      <c r="A271" s="22">
        <v>44845</v>
      </c>
      <c r="B271">
        <v>50.244999999999997</v>
      </c>
      <c r="C271">
        <v>50.244999999999997</v>
      </c>
      <c r="D271">
        <v>50.244999999999997</v>
      </c>
      <c r="E271">
        <v>50.244999999999997</v>
      </c>
      <c r="F271" s="23">
        <f t="shared" si="4"/>
        <v>-8.7984060286836925E-3</v>
      </c>
    </row>
    <row r="272" spans="1:6" x14ac:dyDescent="0.35">
      <c r="A272" s="22">
        <v>44846</v>
      </c>
      <c r="B272">
        <v>50.47</v>
      </c>
      <c r="C272">
        <v>50.47</v>
      </c>
      <c r="D272">
        <v>50.47</v>
      </c>
      <c r="E272">
        <v>50.47</v>
      </c>
      <c r="F272" s="23">
        <f t="shared" si="4"/>
        <v>4.4780575181610398E-3</v>
      </c>
    </row>
    <row r="273" spans="1:6" x14ac:dyDescent="0.35">
      <c r="A273" s="22">
        <v>44847</v>
      </c>
      <c r="B273">
        <v>50.408000000000001</v>
      </c>
      <c r="C273">
        <v>50.408000000000001</v>
      </c>
      <c r="D273">
        <v>50.408000000000001</v>
      </c>
      <c r="E273">
        <v>50.408000000000001</v>
      </c>
      <c r="F273" s="23">
        <f t="shared" si="4"/>
        <v>-1.2284525460669231E-3</v>
      </c>
    </row>
    <row r="274" spans="1:6" x14ac:dyDescent="0.35">
      <c r="A274" s="22">
        <v>44848</v>
      </c>
      <c r="B274">
        <v>50.798999999999999</v>
      </c>
      <c r="C274">
        <v>50.798999999999999</v>
      </c>
      <c r="D274">
        <v>50.798999999999999</v>
      </c>
      <c r="E274">
        <v>50.798999999999999</v>
      </c>
      <c r="F274" s="23">
        <f t="shared" si="4"/>
        <v>7.7567052848753811E-3</v>
      </c>
    </row>
    <row r="275" spans="1:6" x14ac:dyDescent="0.35">
      <c r="A275" s="22">
        <v>44851</v>
      </c>
      <c r="B275">
        <v>50.643000000000001</v>
      </c>
      <c r="C275">
        <v>50.643000000000001</v>
      </c>
      <c r="D275">
        <v>50.643000000000001</v>
      </c>
      <c r="E275">
        <v>50.643000000000001</v>
      </c>
      <c r="F275" s="23">
        <f t="shared" si="4"/>
        <v>-3.0709265930431466E-3</v>
      </c>
    </row>
    <row r="276" spans="1:6" x14ac:dyDescent="0.35">
      <c r="A276" s="22">
        <v>44852</v>
      </c>
      <c r="B276">
        <v>51.322000000000003</v>
      </c>
      <c r="C276">
        <v>51.322000000000003</v>
      </c>
      <c r="D276">
        <v>51.322000000000003</v>
      </c>
      <c r="E276">
        <v>51.322000000000003</v>
      </c>
      <c r="F276" s="23">
        <f t="shared" si="4"/>
        <v>1.3407578539975949E-2</v>
      </c>
    </row>
    <row r="277" spans="1:6" x14ac:dyDescent="0.35">
      <c r="A277" s="22">
        <v>44853</v>
      </c>
      <c r="B277">
        <v>51.579000000000001</v>
      </c>
      <c r="C277">
        <v>51.579000000000001</v>
      </c>
      <c r="D277">
        <v>51.579000000000001</v>
      </c>
      <c r="E277">
        <v>51.579000000000001</v>
      </c>
      <c r="F277" s="23">
        <f t="shared" si="4"/>
        <v>5.0075990803163922E-3</v>
      </c>
    </row>
    <row r="278" spans="1:6" x14ac:dyDescent="0.35">
      <c r="A278" s="22">
        <v>44854</v>
      </c>
      <c r="B278">
        <v>51.484000000000002</v>
      </c>
      <c r="C278">
        <v>51.484000000000002</v>
      </c>
      <c r="D278">
        <v>51.484000000000002</v>
      </c>
      <c r="E278">
        <v>51.484000000000002</v>
      </c>
      <c r="F278" s="23">
        <f t="shared" si="4"/>
        <v>-1.8418348552705337E-3</v>
      </c>
    </row>
    <row r="279" spans="1:6" x14ac:dyDescent="0.35">
      <c r="A279" s="22">
        <v>44855</v>
      </c>
      <c r="B279">
        <v>51.575000000000003</v>
      </c>
      <c r="C279">
        <v>51.575000000000003</v>
      </c>
      <c r="D279">
        <v>51.575000000000003</v>
      </c>
      <c r="E279">
        <v>51.575000000000003</v>
      </c>
      <c r="F279" s="23">
        <f t="shared" si="4"/>
        <v>1.7675394297257609E-3</v>
      </c>
    </row>
    <row r="280" spans="1:6" x14ac:dyDescent="0.35">
      <c r="A280" s="22">
        <v>44859</v>
      </c>
      <c r="B280">
        <v>52.252000000000002</v>
      </c>
      <c r="C280">
        <v>52.252000000000002</v>
      </c>
      <c r="D280">
        <v>52.252000000000002</v>
      </c>
      <c r="E280">
        <v>52.252000000000002</v>
      </c>
      <c r="F280" s="23">
        <f t="shared" si="4"/>
        <v>1.3126514784294708E-2</v>
      </c>
    </row>
    <row r="281" spans="1:6" x14ac:dyDescent="0.35">
      <c r="A281" s="22">
        <v>44861</v>
      </c>
      <c r="B281">
        <v>52.110999999999997</v>
      </c>
      <c r="C281">
        <v>52.110999999999997</v>
      </c>
      <c r="D281">
        <v>52.110999999999997</v>
      </c>
      <c r="E281">
        <v>52.110999999999997</v>
      </c>
      <c r="F281" s="23">
        <f t="shared" si="4"/>
        <v>-2.6984613029167369E-3</v>
      </c>
    </row>
    <row r="282" spans="1:6" x14ac:dyDescent="0.35">
      <c r="A282" s="22">
        <v>44862</v>
      </c>
      <c r="B282">
        <v>51.521999999999998</v>
      </c>
      <c r="C282">
        <v>51.521999999999998</v>
      </c>
      <c r="D282">
        <v>51.521999999999998</v>
      </c>
      <c r="E282">
        <v>51.521999999999998</v>
      </c>
      <c r="F282" s="23">
        <f t="shared" si="4"/>
        <v>-1.1302795954788791E-2</v>
      </c>
    </row>
    <row r="283" spans="1:6" x14ac:dyDescent="0.35">
      <c r="A283" s="22">
        <v>44865</v>
      </c>
      <c r="B283">
        <v>51.945999999999998</v>
      </c>
      <c r="C283">
        <v>51.945999999999998</v>
      </c>
      <c r="D283">
        <v>51.945999999999998</v>
      </c>
      <c r="E283">
        <v>51.945999999999998</v>
      </c>
      <c r="F283" s="23">
        <f t="shared" si="4"/>
        <v>8.2294941966538464E-3</v>
      </c>
    </row>
    <row r="284" spans="1:6" x14ac:dyDescent="0.35">
      <c r="A284" s="22">
        <v>44866</v>
      </c>
      <c r="B284">
        <v>51.984999999999999</v>
      </c>
      <c r="C284">
        <v>51.984999999999999</v>
      </c>
      <c r="D284">
        <v>51.984999999999999</v>
      </c>
      <c r="E284">
        <v>51.984999999999999</v>
      </c>
      <c r="F284" s="23">
        <f t="shared" si="4"/>
        <v>7.5077965579643249E-4</v>
      </c>
    </row>
    <row r="285" spans="1:6" x14ac:dyDescent="0.35">
      <c r="A285" s="22">
        <v>44867</v>
      </c>
      <c r="B285">
        <v>51.704999999999998</v>
      </c>
      <c r="C285">
        <v>51.704999999999998</v>
      </c>
      <c r="D285">
        <v>51.704999999999998</v>
      </c>
      <c r="E285">
        <v>51.704999999999998</v>
      </c>
      <c r="F285" s="23">
        <f t="shared" si="4"/>
        <v>-5.3861690872367245E-3</v>
      </c>
    </row>
    <row r="286" spans="1:6" x14ac:dyDescent="0.35">
      <c r="A286" s="22">
        <v>44868</v>
      </c>
      <c r="B286">
        <v>51.313000000000002</v>
      </c>
      <c r="C286">
        <v>51.313000000000002</v>
      </c>
      <c r="D286">
        <v>51.313000000000002</v>
      </c>
      <c r="E286">
        <v>51.313000000000002</v>
      </c>
      <c r="F286" s="23">
        <f t="shared" si="4"/>
        <v>-7.5814718112367455E-3</v>
      </c>
    </row>
    <row r="287" spans="1:6" x14ac:dyDescent="0.35">
      <c r="A287" s="22">
        <v>44869</v>
      </c>
      <c r="B287">
        <v>50.968000000000004</v>
      </c>
      <c r="C287">
        <v>50.968000000000004</v>
      </c>
      <c r="D287">
        <v>50.968000000000004</v>
      </c>
      <c r="E287">
        <v>50.968000000000004</v>
      </c>
      <c r="F287" s="23">
        <f t="shared" si="4"/>
        <v>-6.7234424025100631E-3</v>
      </c>
    </row>
    <row r="288" spans="1:6" x14ac:dyDescent="0.35">
      <c r="A288" s="22">
        <v>44872</v>
      </c>
      <c r="B288">
        <v>51.451999999999998</v>
      </c>
      <c r="C288">
        <v>51.451999999999998</v>
      </c>
      <c r="D288">
        <v>51.451999999999998</v>
      </c>
      <c r="E288">
        <v>51.451999999999998</v>
      </c>
      <c r="F288" s="23">
        <f t="shared" si="4"/>
        <v>9.4961544498507813E-3</v>
      </c>
    </row>
    <row r="289" spans="1:6" x14ac:dyDescent="0.35">
      <c r="A289" s="22">
        <v>44874</v>
      </c>
      <c r="B289">
        <v>51.728000000000002</v>
      </c>
      <c r="C289">
        <v>51.728000000000002</v>
      </c>
      <c r="D289">
        <v>51.728000000000002</v>
      </c>
      <c r="E289">
        <v>51.728000000000002</v>
      </c>
      <c r="F289" s="23">
        <f t="shared" si="4"/>
        <v>5.3642229650937446E-3</v>
      </c>
    </row>
    <row r="290" spans="1:6" x14ac:dyDescent="0.35">
      <c r="A290" s="22">
        <v>44875</v>
      </c>
      <c r="B290">
        <v>51.287999999999997</v>
      </c>
      <c r="C290">
        <v>51.287999999999997</v>
      </c>
      <c r="D290">
        <v>51.287999999999997</v>
      </c>
      <c r="E290">
        <v>51.287999999999997</v>
      </c>
      <c r="F290" s="23">
        <f t="shared" si="4"/>
        <v>-8.5060315496443863E-3</v>
      </c>
    </row>
    <row r="291" spans="1:6" x14ac:dyDescent="0.35">
      <c r="A291" s="22">
        <v>44876</v>
      </c>
      <c r="B291">
        <v>52.255000000000003</v>
      </c>
      <c r="C291">
        <v>52.255000000000003</v>
      </c>
      <c r="D291">
        <v>52.255000000000003</v>
      </c>
      <c r="E291">
        <v>52.255000000000003</v>
      </c>
      <c r="F291" s="23">
        <f t="shared" si="4"/>
        <v>1.8854312899703751E-2</v>
      </c>
    </row>
    <row r="292" spans="1:6" x14ac:dyDescent="0.35">
      <c r="A292" s="22">
        <v>44879</v>
      </c>
      <c r="B292">
        <v>52.341999999999999</v>
      </c>
      <c r="C292">
        <v>52.341999999999999</v>
      </c>
      <c r="D292">
        <v>52.341999999999999</v>
      </c>
      <c r="E292">
        <v>52.341999999999999</v>
      </c>
      <c r="F292" s="23">
        <f t="shared" si="4"/>
        <v>1.664912448569442E-3</v>
      </c>
    </row>
    <row r="293" spans="1:6" x14ac:dyDescent="0.35">
      <c r="A293" s="22">
        <v>44880</v>
      </c>
      <c r="B293">
        <v>52.384999999999998</v>
      </c>
      <c r="C293">
        <v>52.384999999999998</v>
      </c>
      <c r="D293">
        <v>52.384999999999998</v>
      </c>
      <c r="E293">
        <v>52.384999999999998</v>
      </c>
      <c r="F293" s="23">
        <f t="shared" si="4"/>
        <v>8.2152000305680455E-4</v>
      </c>
    </row>
    <row r="294" spans="1:6" x14ac:dyDescent="0.35">
      <c r="A294" s="22">
        <v>44881</v>
      </c>
      <c r="B294">
        <v>52.53</v>
      </c>
      <c r="C294">
        <v>52.53</v>
      </c>
      <c r="D294">
        <v>52.53</v>
      </c>
      <c r="E294">
        <v>52.53</v>
      </c>
      <c r="F294" s="23">
        <f t="shared" si="4"/>
        <v>2.7679679297509426E-3</v>
      </c>
    </row>
    <row r="295" spans="1:6" x14ac:dyDescent="0.35">
      <c r="A295" s="22">
        <v>44882</v>
      </c>
      <c r="B295">
        <v>52.335999999999999</v>
      </c>
      <c r="C295">
        <v>52.335999999999999</v>
      </c>
      <c r="D295">
        <v>52.335999999999999</v>
      </c>
      <c r="E295">
        <v>52.335999999999999</v>
      </c>
      <c r="F295" s="23">
        <f t="shared" si="4"/>
        <v>-3.6931277365315554E-3</v>
      </c>
    </row>
    <row r="296" spans="1:6" x14ac:dyDescent="0.35">
      <c r="A296" s="22">
        <v>44883</v>
      </c>
      <c r="B296">
        <v>52.158000000000001</v>
      </c>
      <c r="C296">
        <v>52.158000000000001</v>
      </c>
      <c r="D296">
        <v>52.158000000000001</v>
      </c>
      <c r="E296">
        <v>52.158000000000001</v>
      </c>
      <c r="F296" s="23">
        <f t="shared" si="4"/>
        <v>-3.4011005808620696E-3</v>
      </c>
    </row>
    <row r="297" spans="1:6" x14ac:dyDescent="0.35">
      <c r="A297" s="22">
        <v>44886</v>
      </c>
      <c r="B297">
        <v>52.021000000000001</v>
      </c>
      <c r="C297">
        <v>52.021000000000001</v>
      </c>
      <c r="D297">
        <v>52.021000000000001</v>
      </c>
      <c r="E297">
        <v>52.021000000000001</v>
      </c>
      <c r="F297" s="23">
        <f t="shared" si="4"/>
        <v>-2.6266344568426788E-3</v>
      </c>
    </row>
    <row r="298" spans="1:6" x14ac:dyDescent="0.35">
      <c r="A298" s="22">
        <v>44887</v>
      </c>
      <c r="B298">
        <v>51.994</v>
      </c>
      <c r="C298">
        <v>51.994</v>
      </c>
      <c r="D298">
        <v>51.994</v>
      </c>
      <c r="E298">
        <v>51.994</v>
      </c>
      <c r="F298" s="23">
        <f t="shared" si="4"/>
        <v>-5.1902116452972886E-4</v>
      </c>
    </row>
    <row r="299" spans="1:6" x14ac:dyDescent="0.35">
      <c r="A299" s="22">
        <v>44888</v>
      </c>
      <c r="B299">
        <v>52.054000000000002</v>
      </c>
      <c r="C299">
        <v>52.054000000000002</v>
      </c>
      <c r="D299">
        <v>52.054000000000002</v>
      </c>
      <c r="E299">
        <v>52.054000000000002</v>
      </c>
      <c r="F299" s="23">
        <f t="shared" si="4"/>
        <v>1.153979305304502E-3</v>
      </c>
    </row>
    <row r="300" spans="1:6" x14ac:dyDescent="0.35">
      <c r="A300" s="22">
        <v>44889</v>
      </c>
      <c r="B300">
        <v>52.497999999999998</v>
      </c>
      <c r="C300">
        <v>52.497999999999998</v>
      </c>
      <c r="D300">
        <v>52.497999999999998</v>
      </c>
      <c r="E300">
        <v>52.497999999999998</v>
      </c>
      <c r="F300" s="23">
        <f t="shared" si="4"/>
        <v>8.5296038729011318E-3</v>
      </c>
    </row>
    <row r="301" spans="1:6" x14ac:dyDescent="0.35">
      <c r="A301" s="22">
        <v>44890</v>
      </c>
      <c r="B301">
        <v>52.518999999999998</v>
      </c>
      <c r="C301">
        <v>52.518999999999998</v>
      </c>
      <c r="D301">
        <v>52.518999999999998</v>
      </c>
      <c r="E301">
        <v>52.518999999999998</v>
      </c>
      <c r="F301" s="23">
        <f t="shared" si="4"/>
        <v>4.0001523867577428E-4</v>
      </c>
    </row>
    <row r="302" spans="1:6" x14ac:dyDescent="0.35">
      <c r="A302" s="22">
        <v>44893</v>
      </c>
      <c r="B302">
        <v>52.508000000000003</v>
      </c>
      <c r="C302">
        <v>52.508000000000003</v>
      </c>
      <c r="D302">
        <v>52.508000000000003</v>
      </c>
      <c r="E302">
        <v>52.508000000000003</v>
      </c>
      <c r="F302" s="23">
        <f t="shared" si="4"/>
        <v>-2.0944800929179307E-4</v>
      </c>
    </row>
    <row r="303" spans="1:6" x14ac:dyDescent="0.35">
      <c r="A303" s="22">
        <v>44894</v>
      </c>
      <c r="B303">
        <v>52.273000000000003</v>
      </c>
      <c r="C303">
        <v>52.273000000000003</v>
      </c>
      <c r="D303">
        <v>52.273000000000003</v>
      </c>
      <c r="E303">
        <v>52.273000000000003</v>
      </c>
      <c r="F303" s="23">
        <f t="shared" si="4"/>
        <v>-4.4755084939437691E-3</v>
      </c>
    </row>
    <row r="304" spans="1:6" x14ac:dyDescent="0.35">
      <c r="A304" s="22">
        <v>44895</v>
      </c>
      <c r="B304">
        <v>52.517000000000003</v>
      </c>
      <c r="C304">
        <v>52.517000000000003</v>
      </c>
      <c r="D304">
        <v>52.517000000000003</v>
      </c>
      <c r="E304">
        <v>52.517000000000003</v>
      </c>
      <c r="F304" s="23">
        <f t="shared" si="4"/>
        <v>4.6678017332083439E-3</v>
      </c>
    </row>
    <row r="305" spans="1:6" x14ac:dyDescent="0.35">
      <c r="A305" s="22">
        <v>44896</v>
      </c>
      <c r="B305">
        <v>53</v>
      </c>
      <c r="C305">
        <v>53</v>
      </c>
      <c r="D305">
        <v>53</v>
      </c>
      <c r="E305">
        <v>53</v>
      </c>
      <c r="F305" s="23">
        <f t="shared" si="4"/>
        <v>9.1970219167126256E-3</v>
      </c>
    </row>
    <row r="306" spans="1:6" x14ac:dyDescent="0.35">
      <c r="A306" s="22">
        <v>44897</v>
      </c>
      <c r="B306">
        <v>52.881999999999998</v>
      </c>
      <c r="C306">
        <v>52.881999999999998</v>
      </c>
      <c r="D306">
        <v>52.881999999999998</v>
      </c>
      <c r="E306">
        <v>52.881999999999998</v>
      </c>
      <c r="F306" s="23">
        <f t="shared" si="4"/>
        <v>-2.2264150943396622E-3</v>
      </c>
    </row>
    <row r="307" spans="1:6" x14ac:dyDescent="0.35">
      <c r="A307" s="22">
        <v>44900</v>
      </c>
      <c r="B307">
        <v>52.887999999999998</v>
      </c>
      <c r="C307">
        <v>52.887999999999998</v>
      </c>
      <c r="D307">
        <v>52.887999999999998</v>
      </c>
      <c r="E307">
        <v>52.887999999999998</v>
      </c>
      <c r="F307" s="23">
        <f t="shared" si="4"/>
        <v>1.1346015657502038E-4</v>
      </c>
    </row>
    <row r="308" spans="1:6" x14ac:dyDescent="0.35">
      <c r="A308" s="22">
        <v>44901</v>
      </c>
      <c r="B308">
        <v>52.631999999999998</v>
      </c>
      <c r="C308">
        <v>52.631999999999998</v>
      </c>
      <c r="D308">
        <v>52.631999999999998</v>
      </c>
      <c r="E308">
        <v>52.631999999999998</v>
      </c>
      <c r="F308" s="23">
        <f t="shared" si="4"/>
        <v>-4.8404174860081726E-3</v>
      </c>
    </row>
    <row r="309" spans="1:6" x14ac:dyDescent="0.35">
      <c r="A309" s="22">
        <v>44902</v>
      </c>
      <c r="B309">
        <v>52.235999999999997</v>
      </c>
      <c r="C309">
        <v>52.235999999999997</v>
      </c>
      <c r="D309">
        <v>52.235999999999997</v>
      </c>
      <c r="E309">
        <v>52.235999999999997</v>
      </c>
      <c r="F309" s="23">
        <f t="shared" si="4"/>
        <v>-7.5239398084815477E-3</v>
      </c>
    </row>
    <row r="310" spans="1:6" x14ac:dyDescent="0.35">
      <c r="A310" s="22">
        <v>44903</v>
      </c>
      <c r="B310">
        <v>52.244</v>
      </c>
      <c r="C310">
        <v>52.244</v>
      </c>
      <c r="D310">
        <v>52.244</v>
      </c>
      <c r="E310">
        <v>52.244</v>
      </c>
      <c r="F310" s="23">
        <f t="shared" si="4"/>
        <v>1.5315108354396723E-4</v>
      </c>
    </row>
    <row r="311" spans="1:6" x14ac:dyDescent="0.35">
      <c r="A311" s="22">
        <v>44904</v>
      </c>
      <c r="B311">
        <v>52.045999999999999</v>
      </c>
      <c r="C311">
        <v>52.045999999999999</v>
      </c>
      <c r="D311">
        <v>52.045999999999999</v>
      </c>
      <c r="E311">
        <v>52.045999999999999</v>
      </c>
      <c r="F311" s="23">
        <f t="shared" si="4"/>
        <v>-3.7899088890590384E-3</v>
      </c>
    </row>
    <row r="312" spans="1:6" x14ac:dyDescent="0.35">
      <c r="A312" s="22">
        <v>44907</v>
      </c>
      <c r="B312">
        <v>52.08</v>
      </c>
      <c r="C312">
        <v>52.08</v>
      </c>
      <c r="D312">
        <v>52.08</v>
      </c>
      <c r="E312">
        <v>52.08</v>
      </c>
      <c r="F312" s="23">
        <f t="shared" si="4"/>
        <v>6.53268262690676E-4</v>
      </c>
    </row>
    <row r="313" spans="1:6" x14ac:dyDescent="0.35">
      <c r="A313" s="22">
        <v>44908</v>
      </c>
      <c r="B313">
        <v>52.405000000000001</v>
      </c>
      <c r="C313">
        <v>52.405000000000001</v>
      </c>
      <c r="D313">
        <v>52.405000000000001</v>
      </c>
      <c r="E313">
        <v>52.405000000000001</v>
      </c>
      <c r="F313" s="23">
        <f t="shared" si="4"/>
        <v>6.2403993855607307E-3</v>
      </c>
    </row>
    <row r="314" spans="1:6" x14ac:dyDescent="0.35">
      <c r="A314" s="22">
        <v>44909</v>
      </c>
      <c r="B314">
        <v>52.743000000000002</v>
      </c>
      <c r="C314">
        <v>52.743000000000002</v>
      </c>
      <c r="D314">
        <v>52.743000000000002</v>
      </c>
      <c r="E314">
        <v>52.743000000000002</v>
      </c>
      <c r="F314" s="23">
        <f t="shared" si="4"/>
        <v>6.449766243679057E-3</v>
      </c>
    </row>
    <row r="315" spans="1:6" x14ac:dyDescent="0.35">
      <c r="A315" s="22">
        <v>44910</v>
      </c>
      <c r="B315">
        <v>52.374000000000002</v>
      </c>
      <c r="C315">
        <v>52.374000000000002</v>
      </c>
      <c r="D315">
        <v>52.374000000000002</v>
      </c>
      <c r="E315">
        <v>52.374000000000002</v>
      </c>
      <c r="F315" s="23">
        <f t="shared" si="4"/>
        <v>-6.9961890677435823E-3</v>
      </c>
    </row>
    <row r="316" spans="1:6" x14ac:dyDescent="0.35">
      <c r="A316" s="22">
        <v>44911</v>
      </c>
      <c r="B316">
        <v>51.73</v>
      </c>
      <c r="C316">
        <v>51.73</v>
      </c>
      <c r="D316">
        <v>51.73</v>
      </c>
      <c r="E316">
        <v>51.73</v>
      </c>
      <c r="F316" s="23">
        <f t="shared" si="4"/>
        <v>-1.2296177492649128E-2</v>
      </c>
    </row>
    <row r="317" spans="1:6" x14ac:dyDescent="0.35">
      <c r="A317" s="22">
        <v>44914</v>
      </c>
      <c r="B317">
        <v>52.04</v>
      </c>
      <c r="C317">
        <v>52.04</v>
      </c>
      <c r="D317">
        <v>52.04</v>
      </c>
      <c r="E317">
        <v>52.04</v>
      </c>
      <c r="F317" s="23">
        <f t="shared" si="4"/>
        <v>5.9926541658612466E-3</v>
      </c>
    </row>
    <row r="318" spans="1:6" x14ac:dyDescent="0.35">
      <c r="A318" s="22">
        <v>44915</v>
      </c>
      <c r="B318">
        <v>51.826000000000001</v>
      </c>
      <c r="C318">
        <v>51.826000000000001</v>
      </c>
      <c r="D318">
        <v>51.826000000000001</v>
      </c>
      <c r="E318">
        <v>51.826000000000001</v>
      </c>
      <c r="F318" s="23">
        <f t="shared" si="4"/>
        <v>-4.1122213681782979E-3</v>
      </c>
    </row>
    <row r="319" spans="1:6" x14ac:dyDescent="0.35">
      <c r="A319" s="22">
        <v>44916</v>
      </c>
      <c r="B319">
        <v>51.551000000000002</v>
      </c>
      <c r="C319">
        <v>51.551000000000002</v>
      </c>
      <c r="D319">
        <v>51.551000000000002</v>
      </c>
      <c r="E319">
        <v>51.551000000000002</v>
      </c>
      <c r="F319" s="23">
        <f t="shared" si="4"/>
        <v>-5.3062169567398331E-3</v>
      </c>
    </row>
    <row r="320" spans="1:6" x14ac:dyDescent="0.35">
      <c r="A320" s="22">
        <v>44917</v>
      </c>
      <c r="B320">
        <v>51.408000000000001</v>
      </c>
      <c r="C320">
        <v>51.408000000000001</v>
      </c>
      <c r="D320">
        <v>51.408000000000001</v>
      </c>
      <c r="E320">
        <v>51.408000000000001</v>
      </c>
      <c r="F320" s="23">
        <f t="shared" si="4"/>
        <v>-2.7739520086904361E-3</v>
      </c>
    </row>
    <row r="321" spans="1:6" x14ac:dyDescent="0.35">
      <c r="A321" s="22">
        <v>44918</v>
      </c>
      <c r="B321">
        <v>50.366</v>
      </c>
      <c r="C321">
        <v>50.366</v>
      </c>
      <c r="D321">
        <v>50.366</v>
      </c>
      <c r="E321">
        <v>50.366</v>
      </c>
      <c r="F321" s="23">
        <f t="shared" si="4"/>
        <v>-2.0269218798630594E-2</v>
      </c>
    </row>
    <row r="322" spans="1:6" x14ac:dyDescent="0.35">
      <c r="A322" s="22">
        <v>44921</v>
      </c>
      <c r="B322">
        <v>50.956000000000003</v>
      </c>
      <c r="C322">
        <v>50.956000000000003</v>
      </c>
      <c r="D322">
        <v>50.956000000000003</v>
      </c>
      <c r="E322">
        <v>50.956000000000003</v>
      </c>
      <c r="F322" s="23">
        <f t="shared" si="4"/>
        <v>1.1714251677719164E-2</v>
      </c>
    </row>
    <row r="323" spans="1:6" x14ac:dyDescent="0.35">
      <c r="A323" s="22">
        <v>44922</v>
      </c>
      <c r="B323">
        <v>51.1</v>
      </c>
      <c r="C323">
        <v>51.1</v>
      </c>
      <c r="D323">
        <v>51.1</v>
      </c>
      <c r="E323">
        <v>51.1</v>
      </c>
      <c r="F323" s="23">
        <f t="shared" ref="F323:F386" si="5">(B323-B322)/B322</f>
        <v>2.8259675013737016E-3</v>
      </c>
    </row>
    <row r="324" spans="1:6" x14ac:dyDescent="0.35">
      <c r="A324" s="22">
        <v>44923</v>
      </c>
      <c r="B324">
        <v>51.006</v>
      </c>
      <c r="C324">
        <v>51.006</v>
      </c>
      <c r="D324">
        <v>51.006</v>
      </c>
      <c r="E324">
        <v>51.006</v>
      </c>
      <c r="F324" s="23">
        <f t="shared" si="5"/>
        <v>-1.8395303326810409E-3</v>
      </c>
    </row>
    <row r="325" spans="1:6" x14ac:dyDescent="0.35">
      <c r="A325" s="22">
        <v>44924</v>
      </c>
      <c r="B325">
        <v>51.012</v>
      </c>
      <c r="C325">
        <v>51.012</v>
      </c>
      <c r="D325">
        <v>51.012</v>
      </c>
      <c r="E325">
        <v>51.012</v>
      </c>
      <c r="F325" s="23">
        <f t="shared" si="5"/>
        <v>1.1763321962122549E-4</v>
      </c>
    </row>
    <row r="326" spans="1:6" x14ac:dyDescent="0.35">
      <c r="A326" s="22">
        <v>44925</v>
      </c>
      <c r="B326">
        <v>51.033000000000001</v>
      </c>
      <c r="C326">
        <v>51.033000000000001</v>
      </c>
      <c r="D326">
        <v>51.033000000000001</v>
      </c>
      <c r="E326">
        <v>51.033000000000001</v>
      </c>
      <c r="F326" s="23">
        <f t="shared" si="5"/>
        <v>4.1166784286051901E-4</v>
      </c>
    </row>
    <row r="327" spans="1:6" x14ac:dyDescent="0.35">
      <c r="A327" s="22">
        <v>44928</v>
      </c>
      <c r="B327">
        <v>51.088000000000001</v>
      </c>
      <c r="C327">
        <v>51.088000000000001</v>
      </c>
      <c r="D327">
        <v>51.088000000000001</v>
      </c>
      <c r="E327">
        <v>51.088000000000001</v>
      </c>
      <c r="F327" s="23">
        <f t="shared" si="5"/>
        <v>1.0777340152450319E-3</v>
      </c>
    </row>
    <row r="328" spans="1:6" x14ac:dyDescent="0.35">
      <c r="A328" s="22">
        <v>44929</v>
      </c>
      <c r="B328">
        <v>51.225999999999999</v>
      </c>
      <c r="C328">
        <v>51.225999999999999</v>
      </c>
      <c r="D328">
        <v>51.225999999999999</v>
      </c>
      <c r="E328">
        <v>51.225999999999999</v>
      </c>
      <c r="F328" s="23">
        <f t="shared" si="5"/>
        <v>2.7012214218602826E-3</v>
      </c>
    </row>
    <row r="329" spans="1:6" x14ac:dyDescent="0.35">
      <c r="A329" s="22">
        <v>44930</v>
      </c>
      <c r="B329">
        <v>51.030999999999999</v>
      </c>
      <c r="C329">
        <v>51.030999999999999</v>
      </c>
      <c r="D329">
        <v>51.030999999999999</v>
      </c>
      <c r="E329">
        <v>51.030999999999999</v>
      </c>
      <c r="F329" s="23">
        <f t="shared" si="5"/>
        <v>-3.8066606801233803E-3</v>
      </c>
    </row>
    <row r="330" spans="1:6" x14ac:dyDescent="0.35">
      <c r="A330" s="22">
        <v>44931</v>
      </c>
      <c r="B330">
        <v>50.918999999999997</v>
      </c>
      <c r="C330">
        <v>50.918999999999997</v>
      </c>
      <c r="D330">
        <v>50.918999999999997</v>
      </c>
      <c r="E330">
        <v>50.918999999999997</v>
      </c>
      <c r="F330" s="23">
        <f t="shared" si="5"/>
        <v>-2.1947443710686031E-3</v>
      </c>
    </row>
    <row r="331" spans="1:6" x14ac:dyDescent="0.35">
      <c r="A331" s="22">
        <v>44932</v>
      </c>
      <c r="B331">
        <v>50.503</v>
      </c>
      <c r="C331">
        <v>50.503</v>
      </c>
      <c r="D331">
        <v>50.503</v>
      </c>
      <c r="E331">
        <v>50.503</v>
      </c>
      <c r="F331" s="23">
        <f t="shared" si="5"/>
        <v>-8.1698383707456326E-3</v>
      </c>
    </row>
    <row r="332" spans="1:6" x14ac:dyDescent="0.35">
      <c r="A332" s="22">
        <v>44935</v>
      </c>
      <c r="B332">
        <v>51.079000000000001</v>
      </c>
      <c r="C332">
        <v>51.079000000000001</v>
      </c>
      <c r="D332">
        <v>51.079000000000001</v>
      </c>
      <c r="E332">
        <v>51.079000000000001</v>
      </c>
      <c r="F332" s="23">
        <f t="shared" si="5"/>
        <v>1.140526305367999E-2</v>
      </c>
    </row>
    <row r="333" spans="1:6" x14ac:dyDescent="0.35">
      <c r="A333" s="22">
        <v>44936</v>
      </c>
      <c r="B333">
        <v>50.976999999999997</v>
      </c>
      <c r="C333">
        <v>50.976999999999997</v>
      </c>
      <c r="D333">
        <v>50.976999999999997</v>
      </c>
      <c r="E333">
        <v>50.976999999999997</v>
      </c>
      <c r="F333" s="23">
        <f t="shared" si="5"/>
        <v>-1.9969067522857507E-3</v>
      </c>
    </row>
    <row r="334" spans="1:6" x14ac:dyDescent="0.35">
      <c r="A334" s="22">
        <v>44937</v>
      </c>
      <c r="B334">
        <v>50.984000000000002</v>
      </c>
      <c r="C334">
        <v>50.984000000000002</v>
      </c>
      <c r="D334">
        <v>50.984000000000002</v>
      </c>
      <c r="E334">
        <v>50.984000000000002</v>
      </c>
      <c r="F334" s="23">
        <f t="shared" si="5"/>
        <v>1.3731682915834597E-4</v>
      </c>
    </row>
    <row r="335" spans="1:6" x14ac:dyDescent="0.35">
      <c r="A335" s="22">
        <v>44938</v>
      </c>
      <c r="B335">
        <v>51.325000000000003</v>
      </c>
      <c r="C335">
        <v>51.325000000000003</v>
      </c>
      <c r="D335">
        <v>51.325000000000003</v>
      </c>
      <c r="E335">
        <v>51.325000000000003</v>
      </c>
      <c r="F335" s="23">
        <f t="shared" si="5"/>
        <v>6.6883728228464044E-3</v>
      </c>
    </row>
    <row r="336" spans="1:6" x14ac:dyDescent="0.35">
      <c r="A336" s="22">
        <v>44939</v>
      </c>
      <c r="B336">
        <v>51.621000000000002</v>
      </c>
      <c r="C336">
        <v>51.621000000000002</v>
      </c>
      <c r="D336">
        <v>51.621000000000002</v>
      </c>
      <c r="E336">
        <v>51.621000000000002</v>
      </c>
      <c r="F336" s="23">
        <f t="shared" si="5"/>
        <v>5.7671699951290668E-3</v>
      </c>
    </row>
    <row r="337" spans="1:6" x14ac:dyDescent="0.35">
      <c r="A337" s="22">
        <v>44942</v>
      </c>
      <c r="B337">
        <v>51.530999999999999</v>
      </c>
      <c r="C337">
        <v>51.530999999999999</v>
      </c>
      <c r="D337">
        <v>51.530999999999999</v>
      </c>
      <c r="E337">
        <v>51.530999999999999</v>
      </c>
      <c r="F337" s="23">
        <f t="shared" si="5"/>
        <v>-1.7434764921253638E-3</v>
      </c>
    </row>
    <row r="338" spans="1:6" x14ac:dyDescent="0.35">
      <c r="A338" s="22">
        <v>44943</v>
      </c>
      <c r="B338">
        <v>51.634</v>
      </c>
      <c r="C338">
        <v>51.634</v>
      </c>
      <c r="D338">
        <v>51.634</v>
      </c>
      <c r="E338">
        <v>51.634</v>
      </c>
      <c r="F338" s="23">
        <f t="shared" si="5"/>
        <v>1.9987968407366736E-3</v>
      </c>
    </row>
    <row r="339" spans="1:6" x14ac:dyDescent="0.35">
      <c r="A339" s="22">
        <v>44944</v>
      </c>
      <c r="B339">
        <v>51.75</v>
      </c>
      <c r="C339">
        <v>51.75</v>
      </c>
      <c r="D339">
        <v>51.75</v>
      </c>
      <c r="E339">
        <v>51.75</v>
      </c>
      <c r="F339" s="23">
        <f t="shared" si="5"/>
        <v>2.246581709726143E-3</v>
      </c>
    </row>
    <row r="340" spans="1:6" x14ac:dyDescent="0.35">
      <c r="A340" s="22">
        <v>44945</v>
      </c>
      <c r="B340">
        <v>51.750999999999998</v>
      </c>
      <c r="C340">
        <v>51.750999999999998</v>
      </c>
      <c r="D340">
        <v>51.750999999999998</v>
      </c>
      <c r="E340">
        <v>51.750999999999998</v>
      </c>
      <c r="F340" s="23">
        <f t="shared" si="5"/>
        <v>1.9323671497539506E-5</v>
      </c>
    </row>
    <row r="341" spans="1:6" x14ac:dyDescent="0.35">
      <c r="A341" s="22">
        <v>44946</v>
      </c>
      <c r="B341">
        <v>51.731000000000002</v>
      </c>
      <c r="C341">
        <v>51.731000000000002</v>
      </c>
      <c r="D341">
        <v>51.731000000000002</v>
      </c>
      <c r="E341">
        <v>51.731000000000002</v>
      </c>
      <c r="F341" s="23">
        <f t="shared" si="5"/>
        <v>-3.8646596201031907E-4</v>
      </c>
    </row>
    <row r="342" spans="1:6" x14ac:dyDescent="0.35">
      <c r="A342" s="22">
        <v>44949</v>
      </c>
      <c r="B342">
        <v>52.427</v>
      </c>
      <c r="C342">
        <v>52.427</v>
      </c>
      <c r="D342">
        <v>52.427</v>
      </c>
      <c r="E342">
        <v>52.427</v>
      </c>
      <c r="F342" s="23">
        <f t="shared" si="5"/>
        <v>1.3454215074133458E-2</v>
      </c>
    </row>
    <row r="343" spans="1:6" x14ac:dyDescent="0.35">
      <c r="A343" s="22">
        <v>44950</v>
      </c>
      <c r="B343">
        <v>52.546999999999997</v>
      </c>
      <c r="C343">
        <v>52.546999999999997</v>
      </c>
      <c r="D343">
        <v>52.546999999999997</v>
      </c>
      <c r="E343">
        <v>52.546999999999997</v>
      </c>
      <c r="F343" s="23">
        <f t="shared" si="5"/>
        <v>2.2888969424151189E-3</v>
      </c>
    </row>
    <row r="344" spans="1:6" x14ac:dyDescent="0.35">
      <c r="A344" s="22">
        <v>44951</v>
      </c>
      <c r="B344">
        <v>51.966000000000001</v>
      </c>
      <c r="C344">
        <v>51.966000000000001</v>
      </c>
      <c r="D344">
        <v>51.966000000000001</v>
      </c>
      <c r="E344">
        <v>51.966000000000001</v>
      </c>
      <c r="F344" s="23">
        <f t="shared" si="5"/>
        <v>-1.1056768226539974E-2</v>
      </c>
    </row>
    <row r="345" spans="1:6" x14ac:dyDescent="0.35">
      <c r="A345" s="22">
        <v>44953</v>
      </c>
      <c r="B345">
        <v>51.856000000000002</v>
      </c>
      <c r="C345">
        <v>51.856000000000002</v>
      </c>
      <c r="D345">
        <v>51.856000000000002</v>
      </c>
      <c r="E345">
        <v>51.856000000000002</v>
      </c>
      <c r="F345" s="23">
        <f t="shared" si="5"/>
        <v>-2.1167686564291929E-3</v>
      </c>
    </row>
    <row r="346" spans="1:6" x14ac:dyDescent="0.35">
      <c r="A346" s="22">
        <v>44956</v>
      </c>
      <c r="B346">
        <v>52.036999999999999</v>
      </c>
      <c r="C346">
        <v>52.036999999999999</v>
      </c>
      <c r="D346">
        <v>52.036999999999999</v>
      </c>
      <c r="E346">
        <v>52.036999999999999</v>
      </c>
      <c r="F346" s="23">
        <f t="shared" si="5"/>
        <v>3.4904350509101624E-3</v>
      </c>
    </row>
    <row r="347" spans="1:6" x14ac:dyDescent="0.35">
      <c r="A347" s="22">
        <v>44957</v>
      </c>
      <c r="B347">
        <v>51.969000000000001</v>
      </c>
      <c r="C347">
        <v>51.969000000000001</v>
      </c>
      <c r="D347">
        <v>51.969000000000001</v>
      </c>
      <c r="E347">
        <v>51.969000000000001</v>
      </c>
      <c r="F347" s="23">
        <f t="shared" si="5"/>
        <v>-1.3067624959163257E-3</v>
      </c>
    </row>
    <row r="348" spans="1:6" x14ac:dyDescent="0.35">
      <c r="A348" s="22">
        <v>44958</v>
      </c>
      <c r="B348">
        <v>52.323999999999998</v>
      </c>
      <c r="C348">
        <v>52.323999999999998</v>
      </c>
      <c r="D348">
        <v>52.323999999999998</v>
      </c>
      <c r="E348">
        <v>52.323999999999998</v>
      </c>
      <c r="F348" s="23">
        <f t="shared" si="5"/>
        <v>6.8309954011044442E-3</v>
      </c>
    </row>
    <row r="349" spans="1:6" x14ac:dyDescent="0.35">
      <c r="A349" s="22">
        <v>44959</v>
      </c>
      <c r="B349">
        <v>52.587000000000003</v>
      </c>
      <c r="C349">
        <v>52.587000000000003</v>
      </c>
      <c r="D349">
        <v>52.587000000000003</v>
      </c>
      <c r="E349">
        <v>52.587000000000003</v>
      </c>
      <c r="F349" s="23">
        <f t="shared" si="5"/>
        <v>5.026374130418264E-3</v>
      </c>
    </row>
    <row r="350" spans="1:6" x14ac:dyDescent="0.35">
      <c r="A350" s="22">
        <v>44960</v>
      </c>
      <c r="B350">
        <v>53.607999999999997</v>
      </c>
      <c r="C350">
        <v>53.607999999999997</v>
      </c>
      <c r="D350">
        <v>53.607999999999997</v>
      </c>
      <c r="E350">
        <v>53.607999999999997</v>
      </c>
      <c r="F350" s="23">
        <f t="shared" si="5"/>
        <v>1.9415444881814774E-2</v>
      </c>
    </row>
    <row r="351" spans="1:6" x14ac:dyDescent="0.35">
      <c r="A351" s="22">
        <v>44963</v>
      </c>
      <c r="B351">
        <v>53.281999999999996</v>
      </c>
      <c r="C351">
        <v>53.281999999999996</v>
      </c>
      <c r="D351">
        <v>53.281999999999996</v>
      </c>
      <c r="E351">
        <v>53.281999999999996</v>
      </c>
      <c r="F351" s="23">
        <f t="shared" si="5"/>
        <v>-6.0811819131473014E-3</v>
      </c>
    </row>
    <row r="352" spans="1:6" x14ac:dyDescent="0.35">
      <c r="A352" s="22">
        <v>44964</v>
      </c>
      <c r="B352">
        <v>53.066000000000003</v>
      </c>
      <c r="C352">
        <v>53.066000000000003</v>
      </c>
      <c r="D352">
        <v>53.066000000000003</v>
      </c>
      <c r="E352">
        <v>53.066000000000003</v>
      </c>
      <c r="F352" s="23">
        <f t="shared" si="5"/>
        <v>-4.0539018805599266E-3</v>
      </c>
    </row>
    <row r="353" spans="1:6" x14ac:dyDescent="0.35">
      <c r="A353" s="22">
        <v>44965</v>
      </c>
      <c r="B353">
        <v>53.466999999999999</v>
      </c>
      <c r="C353">
        <v>53.466999999999999</v>
      </c>
      <c r="D353">
        <v>53.466999999999999</v>
      </c>
      <c r="E353">
        <v>53.466999999999999</v>
      </c>
      <c r="F353" s="23">
        <f t="shared" si="5"/>
        <v>7.5566275958239967E-3</v>
      </c>
    </row>
    <row r="354" spans="1:6" x14ac:dyDescent="0.35">
      <c r="A354" s="22">
        <v>44966</v>
      </c>
      <c r="B354">
        <v>52.984999999999999</v>
      </c>
      <c r="C354">
        <v>52.984999999999999</v>
      </c>
      <c r="D354">
        <v>52.984999999999999</v>
      </c>
      <c r="E354">
        <v>52.984999999999999</v>
      </c>
      <c r="F354" s="23">
        <f t="shared" si="5"/>
        <v>-9.0149063908578995E-3</v>
      </c>
    </row>
    <row r="355" spans="1:6" x14ac:dyDescent="0.35">
      <c r="A355" s="22">
        <v>44967</v>
      </c>
      <c r="B355">
        <v>52.677999999999997</v>
      </c>
      <c r="C355">
        <v>52.677999999999997</v>
      </c>
      <c r="D355">
        <v>52.677999999999997</v>
      </c>
      <c r="E355">
        <v>52.677999999999997</v>
      </c>
      <c r="F355" s="23">
        <f t="shared" si="5"/>
        <v>-5.7940926677361925E-3</v>
      </c>
    </row>
    <row r="356" spans="1:6" x14ac:dyDescent="0.35">
      <c r="A356" s="22">
        <v>44970</v>
      </c>
      <c r="B356">
        <v>52.475000000000001</v>
      </c>
      <c r="C356">
        <v>52.475000000000001</v>
      </c>
      <c r="D356">
        <v>52.475000000000001</v>
      </c>
      <c r="E356">
        <v>52.475000000000001</v>
      </c>
      <c r="F356" s="23">
        <f t="shared" si="5"/>
        <v>-3.8536011238087219E-3</v>
      </c>
    </row>
    <row r="357" spans="1:6" x14ac:dyDescent="0.35">
      <c r="A357" s="22">
        <v>44987</v>
      </c>
      <c r="B357">
        <v>52.189</v>
      </c>
      <c r="C357">
        <v>52.189</v>
      </c>
      <c r="D357">
        <v>52.189</v>
      </c>
      <c r="E357">
        <v>52.189</v>
      </c>
      <c r="F357" s="23">
        <f t="shared" si="5"/>
        <v>-5.4502143878037415E-3</v>
      </c>
    </row>
    <row r="358" spans="1:6" x14ac:dyDescent="0.35">
      <c r="A358" s="22">
        <v>44988</v>
      </c>
      <c r="B358">
        <v>52.527999999999999</v>
      </c>
      <c r="C358">
        <v>52.527999999999999</v>
      </c>
      <c r="D358">
        <v>52.527999999999999</v>
      </c>
      <c r="E358">
        <v>52.527999999999999</v>
      </c>
      <c r="F358" s="23">
        <f t="shared" si="5"/>
        <v>6.4956216827300513E-3</v>
      </c>
    </row>
    <row r="359" spans="1:6" x14ac:dyDescent="0.35">
      <c r="A359" s="22">
        <v>44991</v>
      </c>
      <c r="B359">
        <v>53.125</v>
      </c>
      <c r="C359">
        <v>53.125</v>
      </c>
      <c r="D359">
        <v>53.125</v>
      </c>
      <c r="E359">
        <v>53.125</v>
      </c>
      <c r="F359" s="23">
        <f t="shared" si="5"/>
        <v>1.1365367042339349E-2</v>
      </c>
    </row>
    <row r="360" spans="1:6" x14ac:dyDescent="0.35">
      <c r="A360" s="22">
        <v>44993</v>
      </c>
      <c r="B360">
        <v>53.180999999999997</v>
      </c>
      <c r="C360">
        <v>53.180999999999997</v>
      </c>
      <c r="D360">
        <v>53.180999999999997</v>
      </c>
      <c r="E360">
        <v>53.180999999999997</v>
      </c>
      <c r="F360" s="23">
        <f t="shared" si="5"/>
        <v>1.0541176470587742E-3</v>
      </c>
    </row>
    <row r="361" spans="1:6" x14ac:dyDescent="0.35">
      <c r="A361" s="22">
        <v>44994</v>
      </c>
      <c r="B361">
        <v>52.923999999999999</v>
      </c>
      <c r="C361">
        <v>52.923999999999999</v>
      </c>
      <c r="D361">
        <v>52.923999999999999</v>
      </c>
      <c r="E361">
        <v>52.923999999999999</v>
      </c>
      <c r="F361" s="23">
        <f t="shared" si="5"/>
        <v>-4.8325529794475078E-3</v>
      </c>
    </row>
    <row r="362" spans="1:6" x14ac:dyDescent="0.35">
      <c r="A362" s="22">
        <v>44995</v>
      </c>
      <c r="B362">
        <v>52.530999999999999</v>
      </c>
      <c r="C362">
        <v>52.530999999999999</v>
      </c>
      <c r="D362">
        <v>52.530999999999999</v>
      </c>
      <c r="E362">
        <v>52.530999999999999</v>
      </c>
      <c r="F362" s="23">
        <f t="shared" si="5"/>
        <v>-7.4257425742574384E-3</v>
      </c>
    </row>
    <row r="363" spans="1:6" x14ac:dyDescent="0.35">
      <c r="A363" s="22">
        <v>44998</v>
      </c>
      <c r="B363">
        <v>51.899000000000001</v>
      </c>
      <c r="C363">
        <v>51.899000000000001</v>
      </c>
      <c r="D363">
        <v>51.899000000000001</v>
      </c>
      <c r="E363">
        <v>51.899000000000001</v>
      </c>
      <c r="F363" s="23">
        <f t="shared" si="5"/>
        <v>-1.2030991224229463E-2</v>
      </c>
    </row>
    <row r="364" spans="1:6" x14ac:dyDescent="0.35">
      <c r="A364" s="22">
        <v>44999</v>
      </c>
      <c r="B364">
        <v>51.957000000000001</v>
      </c>
      <c r="C364">
        <v>51.957000000000001</v>
      </c>
      <c r="D364">
        <v>51.957000000000001</v>
      </c>
      <c r="E364">
        <v>51.957000000000001</v>
      </c>
      <c r="F364" s="23">
        <f t="shared" si="5"/>
        <v>1.1175552515462692E-3</v>
      </c>
    </row>
    <row r="365" spans="1:6" x14ac:dyDescent="0.35">
      <c r="A365" s="22">
        <v>45000</v>
      </c>
      <c r="B365">
        <v>52.165999999999997</v>
      </c>
      <c r="C365">
        <v>52.165999999999997</v>
      </c>
      <c r="D365">
        <v>52.165999999999997</v>
      </c>
      <c r="E365">
        <v>52.165999999999997</v>
      </c>
      <c r="F365" s="23">
        <f t="shared" si="5"/>
        <v>4.0225571145369454E-3</v>
      </c>
    </row>
    <row r="366" spans="1:6" x14ac:dyDescent="0.35">
      <c r="A366" s="22">
        <v>45001</v>
      </c>
      <c r="B366">
        <v>52.436999999999998</v>
      </c>
      <c r="C366">
        <v>52.436999999999998</v>
      </c>
      <c r="D366">
        <v>52.436999999999998</v>
      </c>
      <c r="E366">
        <v>52.436999999999998</v>
      </c>
      <c r="F366" s="23">
        <f t="shared" si="5"/>
        <v>5.1949545681095124E-3</v>
      </c>
    </row>
    <row r="367" spans="1:6" x14ac:dyDescent="0.35">
      <c r="A367" s="22">
        <v>45002</v>
      </c>
      <c r="B367">
        <v>52.81</v>
      </c>
      <c r="C367">
        <v>52.81</v>
      </c>
      <c r="D367">
        <v>52.81</v>
      </c>
      <c r="E367">
        <v>52.81</v>
      </c>
      <c r="F367" s="23">
        <f t="shared" si="5"/>
        <v>7.1132978621966294E-3</v>
      </c>
    </row>
    <row r="368" spans="1:6" x14ac:dyDescent="0.35">
      <c r="A368" s="22">
        <v>45005</v>
      </c>
      <c r="B368">
        <v>52.606999999999999</v>
      </c>
      <c r="C368">
        <v>52.606999999999999</v>
      </c>
      <c r="D368">
        <v>52.606999999999999</v>
      </c>
      <c r="E368">
        <v>52.606999999999999</v>
      </c>
      <c r="F368" s="23">
        <f t="shared" si="5"/>
        <v>-3.8439689452755719E-3</v>
      </c>
    </row>
    <row r="369" spans="1:6" x14ac:dyDescent="0.35">
      <c r="A369" s="22">
        <v>45006</v>
      </c>
      <c r="B369">
        <v>52.683999999999997</v>
      </c>
      <c r="C369">
        <v>52.683999999999997</v>
      </c>
      <c r="D369">
        <v>52.683999999999997</v>
      </c>
      <c r="E369">
        <v>52.683999999999997</v>
      </c>
      <c r="F369" s="23">
        <f t="shared" si="5"/>
        <v>1.4636835402132451E-3</v>
      </c>
    </row>
    <row r="370" spans="1:6" x14ac:dyDescent="0.35">
      <c r="A370" s="22">
        <v>45007</v>
      </c>
      <c r="B370">
        <v>52.918999999999997</v>
      </c>
      <c r="C370">
        <v>52.918999999999997</v>
      </c>
      <c r="D370">
        <v>52.918999999999997</v>
      </c>
      <c r="E370">
        <v>52.918999999999997</v>
      </c>
      <c r="F370" s="23">
        <f t="shared" si="5"/>
        <v>4.460557284944185E-3</v>
      </c>
    </row>
    <row r="371" spans="1:6" x14ac:dyDescent="0.35">
      <c r="A371" s="22">
        <v>45008</v>
      </c>
      <c r="B371">
        <v>52.686</v>
      </c>
      <c r="C371">
        <v>52.686</v>
      </c>
      <c r="D371">
        <v>52.686</v>
      </c>
      <c r="E371">
        <v>52.686</v>
      </c>
      <c r="F371" s="23">
        <f t="shared" si="5"/>
        <v>-4.4029554602316185E-3</v>
      </c>
    </row>
    <row r="372" spans="1:6" x14ac:dyDescent="0.35">
      <c r="A372" s="22">
        <v>45009</v>
      </c>
      <c r="B372">
        <v>52.55</v>
      </c>
      <c r="C372">
        <v>52.55</v>
      </c>
      <c r="D372">
        <v>52.55</v>
      </c>
      <c r="E372">
        <v>52.55</v>
      </c>
      <c r="F372" s="23">
        <f t="shared" si="5"/>
        <v>-2.5813309038454765E-3</v>
      </c>
    </row>
    <row r="373" spans="1:6" x14ac:dyDescent="0.35">
      <c r="A373" s="22">
        <v>45012</v>
      </c>
      <c r="B373">
        <v>52.435000000000002</v>
      </c>
      <c r="C373">
        <v>52.435000000000002</v>
      </c>
      <c r="D373">
        <v>52.435000000000002</v>
      </c>
      <c r="E373">
        <v>52.435000000000002</v>
      </c>
      <c r="F373" s="23">
        <f t="shared" si="5"/>
        <v>-2.1883920076117011E-3</v>
      </c>
    </row>
    <row r="374" spans="1:6" x14ac:dyDescent="0.35">
      <c r="A374" s="22">
        <v>45013</v>
      </c>
      <c r="B374">
        <v>52.249000000000002</v>
      </c>
      <c r="C374">
        <v>52.249000000000002</v>
      </c>
      <c r="D374">
        <v>52.249000000000002</v>
      </c>
      <c r="E374">
        <v>52.249000000000002</v>
      </c>
      <c r="F374" s="23">
        <f t="shared" si="5"/>
        <v>-3.5472489749213301E-3</v>
      </c>
    </row>
    <row r="375" spans="1:6" x14ac:dyDescent="0.35">
      <c r="A375" s="22">
        <v>45014</v>
      </c>
      <c r="B375">
        <v>52.369</v>
      </c>
      <c r="C375">
        <v>52.369</v>
      </c>
      <c r="D375">
        <v>52.369</v>
      </c>
      <c r="E375">
        <v>52.369</v>
      </c>
      <c r="F375" s="23">
        <f t="shared" si="5"/>
        <v>2.2966946735822205E-3</v>
      </c>
    </row>
    <row r="376" spans="1:6" x14ac:dyDescent="0.35">
      <c r="A376" s="22">
        <v>45016</v>
      </c>
      <c r="B376">
        <v>53.048999999999999</v>
      </c>
      <c r="C376">
        <v>53.048999999999999</v>
      </c>
      <c r="D376">
        <v>53.048999999999999</v>
      </c>
      <c r="E376">
        <v>53.048999999999999</v>
      </c>
      <c r="F376" s="23">
        <f t="shared" si="5"/>
        <v>1.2984781072772055E-2</v>
      </c>
    </row>
    <row r="377" spans="1:6" x14ac:dyDescent="0.35">
      <c r="A377" s="22">
        <v>45019</v>
      </c>
      <c r="B377">
        <v>53.402999999999999</v>
      </c>
      <c r="C377">
        <v>53.402999999999999</v>
      </c>
      <c r="D377">
        <v>53.402999999999999</v>
      </c>
      <c r="E377">
        <v>53.402999999999999</v>
      </c>
      <c r="F377" s="23">
        <f t="shared" si="5"/>
        <v>6.6730758355482518E-3</v>
      </c>
    </row>
    <row r="378" spans="1:6" x14ac:dyDescent="0.35">
      <c r="A378" s="22">
        <v>45021</v>
      </c>
      <c r="B378">
        <v>53.795999999999999</v>
      </c>
      <c r="C378">
        <v>53.795999999999999</v>
      </c>
      <c r="D378">
        <v>53.795999999999999</v>
      </c>
      <c r="E378">
        <v>53.795999999999999</v>
      </c>
      <c r="F378" s="23">
        <f t="shared" si="5"/>
        <v>7.3591371271277024E-3</v>
      </c>
    </row>
    <row r="379" spans="1:6" x14ac:dyDescent="0.35">
      <c r="A379" s="22">
        <v>45022</v>
      </c>
      <c r="B379">
        <v>53.814</v>
      </c>
      <c r="C379">
        <v>53.814</v>
      </c>
      <c r="D379">
        <v>53.814</v>
      </c>
      <c r="E379">
        <v>53.814</v>
      </c>
      <c r="F379" s="23">
        <f t="shared" si="5"/>
        <v>3.345973678340524E-4</v>
      </c>
    </row>
    <row r="380" spans="1:6" x14ac:dyDescent="0.35">
      <c r="A380" s="22">
        <v>45026</v>
      </c>
      <c r="B380">
        <v>54.167999999999999</v>
      </c>
      <c r="C380">
        <v>54.167999999999999</v>
      </c>
      <c r="D380">
        <v>54.167999999999999</v>
      </c>
      <c r="E380">
        <v>54.167999999999999</v>
      </c>
      <c r="F380" s="23">
        <f t="shared" si="5"/>
        <v>6.5782138476976103E-3</v>
      </c>
    </row>
    <row r="381" spans="1:6" x14ac:dyDescent="0.35">
      <c r="A381" s="22">
        <v>45027</v>
      </c>
      <c r="B381">
        <v>54.375</v>
      </c>
      <c r="C381">
        <v>54.375</v>
      </c>
      <c r="D381">
        <v>54.375</v>
      </c>
      <c r="E381">
        <v>54.375</v>
      </c>
      <c r="F381" s="23">
        <f t="shared" si="5"/>
        <v>3.8214443952149005E-3</v>
      </c>
    </row>
    <row r="382" spans="1:6" x14ac:dyDescent="0.35">
      <c r="A382" s="22">
        <v>45028</v>
      </c>
      <c r="B382">
        <v>54.356999999999999</v>
      </c>
      <c r="C382">
        <v>54.356999999999999</v>
      </c>
      <c r="D382">
        <v>54.356999999999999</v>
      </c>
      <c r="E382">
        <v>54.356999999999999</v>
      </c>
      <c r="F382" s="23">
        <f t="shared" si="5"/>
        <v>-3.3103448275863321E-4</v>
      </c>
    </row>
    <row r="383" spans="1:6" x14ac:dyDescent="0.35">
      <c r="A383" s="22">
        <v>45029</v>
      </c>
      <c r="B383">
        <v>54.261000000000003</v>
      </c>
      <c r="C383">
        <v>54.261000000000003</v>
      </c>
      <c r="D383">
        <v>54.261000000000003</v>
      </c>
      <c r="E383">
        <v>54.261000000000003</v>
      </c>
      <c r="F383" s="23">
        <f t="shared" si="5"/>
        <v>-1.7661018820022542E-3</v>
      </c>
    </row>
    <row r="384" spans="1:6" x14ac:dyDescent="0.35">
      <c r="A384" s="22">
        <v>45033</v>
      </c>
      <c r="B384">
        <v>54.603000000000002</v>
      </c>
      <c r="C384">
        <v>54.603000000000002</v>
      </c>
      <c r="D384">
        <v>54.603000000000002</v>
      </c>
      <c r="E384">
        <v>54.603000000000002</v>
      </c>
      <c r="F384" s="23">
        <f t="shared" si="5"/>
        <v>6.302869464256072E-3</v>
      </c>
    </row>
    <row r="385" spans="1:6" x14ac:dyDescent="0.35">
      <c r="A385" s="22">
        <v>45034</v>
      </c>
      <c r="B385">
        <v>54.676000000000002</v>
      </c>
      <c r="C385">
        <v>54.676000000000002</v>
      </c>
      <c r="D385">
        <v>54.676000000000002</v>
      </c>
      <c r="E385">
        <v>54.676000000000002</v>
      </c>
      <c r="F385" s="23">
        <f t="shared" si="5"/>
        <v>1.3369228796952621E-3</v>
      </c>
    </row>
    <row r="386" spans="1:6" x14ac:dyDescent="0.35">
      <c r="A386" s="22">
        <v>45035</v>
      </c>
      <c r="B386">
        <v>54.524999999999999</v>
      </c>
      <c r="C386">
        <v>54.524999999999999</v>
      </c>
      <c r="D386">
        <v>54.524999999999999</v>
      </c>
      <c r="E386">
        <v>54.524999999999999</v>
      </c>
      <c r="F386" s="23">
        <f t="shared" si="5"/>
        <v>-2.7617236081645211E-3</v>
      </c>
    </row>
    <row r="387" spans="1:6" x14ac:dyDescent="0.35">
      <c r="A387" s="22">
        <v>45036</v>
      </c>
      <c r="B387">
        <v>54.581000000000003</v>
      </c>
      <c r="C387">
        <v>54.581000000000003</v>
      </c>
      <c r="D387">
        <v>54.581000000000003</v>
      </c>
      <c r="E387">
        <v>54.581000000000003</v>
      </c>
      <c r="F387" s="23">
        <f t="shared" ref="F387:F450" si="6">(B387-B386)/B386</f>
        <v>1.02705181109591E-3</v>
      </c>
    </row>
    <row r="388" spans="1:6" x14ac:dyDescent="0.35">
      <c r="A388" s="22">
        <v>45037</v>
      </c>
      <c r="B388">
        <v>54.651000000000003</v>
      </c>
      <c r="C388">
        <v>54.651000000000003</v>
      </c>
      <c r="D388">
        <v>54.651000000000003</v>
      </c>
      <c r="E388">
        <v>54.651000000000003</v>
      </c>
      <c r="F388" s="23">
        <f t="shared" si="6"/>
        <v>1.2824975724153144E-3</v>
      </c>
    </row>
    <row r="389" spans="1:6" x14ac:dyDescent="0.35">
      <c r="A389" s="22">
        <v>45040</v>
      </c>
      <c r="B389">
        <v>54.956000000000003</v>
      </c>
      <c r="C389">
        <v>54.956000000000003</v>
      </c>
      <c r="D389">
        <v>54.956000000000003</v>
      </c>
      <c r="E389">
        <v>54.956000000000003</v>
      </c>
      <c r="F389" s="23">
        <f t="shared" si="6"/>
        <v>5.5808676876909795E-3</v>
      </c>
    </row>
    <row r="390" spans="1:6" x14ac:dyDescent="0.35">
      <c r="A390" s="22">
        <v>45041</v>
      </c>
      <c r="B390">
        <v>54.875999999999998</v>
      </c>
      <c r="C390">
        <v>54.875999999999998</v>
      </c>
      <c r="D390">
        <v>54.875999999999998</v>
      </c>
      <c r="E390">
        <v>54.875999999999998</v>
      </c>
      <c r="F390" s="23">
        <f t="shared" si="6"/>
        <v>-1.4557100225636036E-3</v>
      </c>
    </row>
    <row r="391" spans="1:6" x14ac:dyDescent="0.35">
      <c r="A391" s="22">
        <v>45042</v>
      </c>
      <c r="B391">
        <v>54.771999999999998</v>
      </c>
      <c r="C391">
        <v>54.771999999999998</v>
      </c>
      <c r="D391">
        <v>54.771999999999998</v>
      </c>
      <c r="E391">
        <v>54.771999999999998</v>
      </c>
      <c r="F391" s="23">
        <f t="shared" si="6"/>
        <v>-1.895181864567374E-3</v>
      </c>
    </row>
    <row r="392" spans="1:6" x14ac:dyDescent="0.35">
      <c r="A392" s="22">
        <v>45043</v>
      </c>
      <c r="B392">
        <v>55.204000000000001</v>
      </c>
      <c r="C392">
        <v>55.204000000000001</v>
      </c>
      <c r="D392">
        <v>55.204000000000001</v>
      </c>
      <c r="E392">
        <v>55.204000000000001</v>
      </c>
      <c r="F392" s="23">
        <f t="shared" si="6"/>
        <v>7.8872416563207873E-3</v>
      </c>
    </row>
    <row r="393" spans="1:6" x14ac:dyDescent="0.35">
      <c r="A393" s="22">
        <v>45044</v>
      </c>
      <c r="B393">
        <v>55.994</v>
      </c>
      <c r="C393">
        <v>55.994</v>
      </c>
      <c r="D393">
        <v>55.994</v>
      </c>
      <c r="E393">
        <v>55.994</v>
      </c>
      <c r="F393" s="23">
        <f t="shared" si="6"/>
        <v>1.4310557205999549E-2</v>
      </c>
    </row>
    <row r="394" spans="1:6" x14ac:dyDescent="0.35">
      <c r="A394" s="22">
        <v>45048</v>
      </c>
      <c r="B394">
        <v>56.046999999999997</v>
      </c>
      <c r="C394">
        <v>56.046999999999997</v>
      </c>
      <c r="D394">
        <v>56.046999999999997</v>
      </c>
      <c r="E394">
        <v>56.046999999999997</v>
      </c>
      <c r="F394" s="23">
        <f t="shared" si="6"/>
        <v>9.4652998535552514E-4</v>
      </c>
    </row>
    <row r="395" spans="1:6" x14ac:dyDescent="0.35">
      <c r="A395" s="22">
        <v>45049</v>
      </c>
      <c r="B395">
        <v>55.996000000000002</v>
      </c>
      <c r="C395">
        <v>55.996000000000002</v>
      </c>
      <c r="D395">
        <v>55.996000000000002</v>
      </c>
      <c r="E395">
        <v>55.996000000000002</v>
      </c>
      <c r="F395" s="23">
        <f t="shared" si="6"/>
        <v>-9.0995057719404839E-4</v>
      </c>
    </row>
    <row r="396" spans="1:6" x14ac:dyDescent="0.35">
      <c r="A396" s="22">
        <v>45050</v>
      </c>
      <c r="B396">
        <v>56.09</v>
      </c>
      <c r="C396">
        <v>56.09</v>
      </c>
      <c r="D396">
        <v>56.09</v>
      </c>
      <c r="E396">
        <v>56.09</v>
      </c>
      <c r="F396" s="23">
        <f t="shared" si="6"/>
        <v>1.6786913350953852E-3</v>
      </c>
    </row>
    <row r="397" spans="1:6" x14ac:dyDescent="0.35">
      <c r="A397" s="22">
        <v>45051</v>
      </c>
      <c r="B397">
        <v>55.816000000000003</v>
      </c>
      <c r="C397">
        <v>55.816000000000003</v>
      </c>
      <c r="D397">
        <v>55.816000000000003</v>
      </c>
      <c r="E397">
        <v>55.816000000000003</v>
      </c>
      <c r="F397" s="23">
        <f t="shared" si="6"/>
        <v>-4.8850062399714905E-3</v>
      </c>
    </row>
    <row r="398" spans="1:6" x14ac:dyDescent="0.35">
      <c r="A398" s="22">
        <v>45054</v>
      </c>
      <c r="B398">
        <v>56.173999999999999</v>
      </c>
      <c r="C398">
        <v>56.173999999999999</v>
      </c>
      <c r="D398">
        <v>56.173999999999999</v>
      </c>
      <c r="E398">
        <v>56.173999999999999</v>
      </c>
      <c r="F398" s="23">
        <f t="shared" si="6"/>
        <v>6.4139314891786762E-3</v>
      </c>
    </row>
    <row r="399" spans="1:6" x14ac:dyDescent="0.35">
      <c r="A399" s="22">
        <v>45055</v>
      </c>
      <c r="B399">
        <v>56.280999999999999</v>
      </c>
      <c r="C399">
        <v>56.280999999999999</v>
      </c>
      <c r="D399">
        <v>56.280999999999999</v>
      </c>
      <c r="E399">
        <v>56.280999999999999</v>
      </c>
      <c r="F399" s="23">
        <f t="shared" si="6"/>
        <v>1.9047958130095652E-3</v>
      </c>
    </row>
    <row r="400" spans="1:6" x14ac:dyDescent="0.35">
      <c r="A400" s="22">
        <v>45056</v>
      </c>
      <c r="B400">
        <v>56.39</v>
      </c>
      <c r="C400">
        <v>56.39</v>
      </c>
      <c r="D400">
        <v>56.39</v>
      </c>
      <c r="E400">
        <v>56.39</v>
      </c>
      <c r="F400" s="23">
        <f t="shared" si="6"/>
        <v>1.9367104351379998E-3</v>
      </c>
    </row>
    <row r="401" spans="1:6" x14ac:dyDescent="0.35">
      <c r="A401" s="22">
        <v>45057</v>
      </c>
      <c r="B401">
        <v>56.688000000000002</v>
      </c>
      <c r="C401">
        <v>56.688000000000002</v>
      </c>
      <c r="D401">
        <v>56.688000000000002</v>
      </c>
      <c r="E401">
        <v>56.688000000000002</v>
      </c>
      <c r="F401" s="23">
        <f t="shared" si="6"/>
        <v>5.2846249334988797E-3</v>
      </c>
    </row>
    <row r="402" spans="1:6" x14ac:dyDescent="0.35">
      <c r="A402" s="22">
        <v>45058</v>
      </c>
      <c r="B402">
        <v>56.774000000000001</v>
      </c>
      <c r="C402">
        <v>56.774000000000001</v>
      </c>
      <c r="D402">
        <v>56.774000000000001</v>
      </c>
      <c r="E402">
        <v>56.774000000000001</v>
      </c>
      <c r="F402" s="23">
        <f t="shared" si="6"/>
        <v>1.5170759243578627E-3</v>
      </c>
    </row>
    <row r="403" spans="1:6" x14ac:dyDescent="0.35">
      <c r="A403" s="22">
        <v>45061</v>
      </c>
      <c r="B403">
        <v>56.753999999999998</v>
      </c>
      <c r="C403">
        <v>56.753999999999998</v>
      </c>
      <c r="D403">
        <v>56.753999999999998</v>
      </c>
      <c r="E403">
        <v>56.753999999999998</v>
      </c>
      <c r="F403" s="23">
        <f t="shared" si="6"/>
        <v>-3.5227392820662848E-4</v>
      </c>
    </row>
    <row r="404" spans="1:6" x14ac:dyDescent="0.35">
      <c r="A404" s="22">
        <v>45062</v>
      </c>
      <c r="B404">
        <v>56.661000000000001</v>
      </c>
      <c r="C404">
        <v>56.661000000000001</v>
      </c>
      <c r="D404">
        <v>56.661000000000001</v>
      </c>
      <c r="E404">
        <v>56.661000000000001</v>
      </c>
      <c r="F404" s="23">
        <f t="shared" si="6"/>
        <v>-1.6386510201923464E-3</v>
      </c>
    </row>
    <row r="405" spans="1:6" x14ac:dyDescent="0.35">
      <c r="A405" s="22">
        <v>45063</v>
      </c>
      <c r="B405">
        <v>56.601999999999997</v>
      </c>
      <c r="C405">
        <v>56.601999999999997</v>
      </c>
      <c r="D405">
        <v>56.601999999999997</v>
      </c>
      <c r="E405">
        <v>56.601999999999997</v>
      </c>
      <c r="F405" s="23">
        <f t="shared" si="6"/>
        <v>-1.0412805986481813E-3</v>
      </c>
    </row>
    <row r="406" spans="1:6" x14ac:dyDescent="0.35">
      <c r="A406" s="22">
        <v>45064</v>
      </c>
      <c r="B406">
        <v>56.546999999999997</v>
      </c>
      <c r="C406">
        <v>56.546999999999997</v>
      </c>
      <c r="D406">
        <v>56.546999999999997</v>
      </c>
      <c r="E406">
        <v>56.546999999999997</v>
      </c>
      <c r="F406" s="23">
        <f t="shared" si="6"/>
        <v>-9.7169711317620787E-4</v>
      </c>
    </row>
    <row r="407" spans="1:6" x14ac:dyDescent="0.35">
      <c r="A407" s="22">
        <v>45065</v>
      </c>
      <c r="B407">
        <v>56.779000000000003</v>
      </c>
      <c r="C407">
        <v>56.779000000000003</v>
      </c>
      <c r="D407">
        <v>56.779000000000003</v>
      </c>
      <c r="E407">
        <v>56.779000000000003</v>
      </c>
      <c r="F407" s="23">
        <f t="shared" si="6"/>
        <v>4.1027817567688193E-3</v>
      </c>
    </row>
    <row r="408" spans="1:6" x14ac:dyDescent="0.35">
      <c r="A408" s="22">
        <v>45068</v>
      </c>
      <c r="B408">
        <v>56.972000000000001</v>
      </c>
      <c r="C408">
        <v>56.972000000000001</v>
      </c>
      <c r="D408">
        <v>56.972000000000001</v>
      </c>
      <c r="E408">
        <v>56.972000000000001</v>
      </c>
      <c r="F408" s="23">
        <f t="shared" si="6"/>
        <v>3.3991440497366603E-3</v>
      </c>
    </row>
    <row r="409" spans="1:6" x14ac:dyDescent="0.35">
      <c r="A409" s="22">
        <v>45069</v>
      </c>
      <c r="B409">
        <v>57.27</v>
      </c>
      <c r="C409">
        <v>57.27</v>
      </c>
      <c r="D409">
        <v>57.27</v>
      </c>
      <c r="E409">
        <v>57.27</v>
      </c>
      <c r="F409" s="23">
        <f t="shared" si="6"/>
        <v>5.230639612441231E-3</v>
      </c>
    </row>
    <row r="410" spans="1:6" x14ac:dyDescent="0.35">
      <c r="A410" s="22">
        <v>45070</v>
      </c>
      <c r="B410">
        <v>57.289000000000001</v>
      </c>
      <c r="C410">
        <v>57.289000000000001</v>
      </c>
      <c r="D410">
        <v>57.289000000000001</v>
      </c>
      <c r="E410">
        <v>57.289000000000001</v>
      </c>
      <c r="F410" s="23">
        <f t="shared" si="6"/>
        <v>3.3176182992838049E-4</v>
      </c>
    </row>
    <row r="411" spans="1:6" x14ac:dyDescent="0.35">
      <c r="A411" s="22">
        <v>45071</v>
      </c>
      <c r="B411">
        <v>57.369</v>
      </c>
      <c r="C411">
        <v>57.369</v>
      </c>
      <c r="D411">
        <v>57.369</v>
      </c>
      <c r="E411">
        <v>57.369</v>
      </c>
      <c r="F411" s="23">
        <f t="shared" si="6"/>
        <v>1.3964286337691057E-3</v>
      </c>
    </row>
    <row r="412" spans="1:6" x14ac:dyDescent="0.35">
      <c r="A412" s="22">
        <v>45072</v>
      </c>
      <c r="B412">
        <v>57.877000000000002</v>
      </c>
      <c r="C412">
        <v>57.877000000000002</v>
      </c>
      <c r="D412">
        <v>57.877000000000002</v>
      </c>
      <c r="E412">
        <v>57.877000000000002</v>
      </c>
      <c r="F412" s="23">
        <f t="shared" si="6"/>
        <v>8.8549565096132515E-3</v>
      </c>
    </row>
    <row r="413" spans="1:6" x14ac:dyDescent="0.35">
      <c r="A413" s="22">
        <v>45075</v>
      </c>
      <c r="B413">
        <v>58.316000000000003</v>
      </c>
      <c r="C413">
        <v>58.316000000000003</v>
      </c>
      <c r="D413">
        <v>58.316000000000003</v>
      </c>
      <c r="E413">
        <v>58.316000000000003</v>
      </c>
      <c r="F413" s="23">
        <f t="shared" si="6"/>
        <v>7.5850510565509625E-3</v>
      </c>
    </row>
    <row r="414" spans="1:6" x14ac:dyDescent="0.35">
      <c r="A414" s="22">
        <v>45076</v>
      </c>
      <c r="B414">
        <v>58.402999999999999</v>
      </c>
      <c r="C414">
        <v>58.402999999999999</v>
      </c>
      <c r="D414">
        <v>58.402999999999999</v>
      </c>
      <c r="E414">
        <v>58.402999999999999</v>
      </c>
      <c r="F414" s="23">
        <f t="shared" si="6"/>
        <v>1.4918718704985971E-3</v>
      </c>
    </row>
    <row r="415" spans="1:6" x14ac:dyDescent="0.35">
      <c r="A415" s="22">
        <v>45077</v>
      </c>
      <c r="B415">
        <v>58.335999999999999</v>
      </c>
      <c r="C415">
        <v>58.335999999999999</v>
      </c>
      <c r="D415">
        <v>58.335999999999999</v>
      </c>
      <c r="E415">
        <v>58.335999999999999</v>
      </c>
      <c r="F415" s="23">
        <f t="shared" si="6"/>
        <v>-1.1472013423967976E-3</v>
      </c>
    </row>
    <row r="416" spans="1:6" x14ac:dyDescent="0.35">
      <c r="A416" s="22">
        <v>45078</v>
      </c>
      <c r="B416">
        <v>57.978000000000002</v>
      </c>
      <c r="C416">
        <v>57.978000000000002</v>
      </c>
      <c r="D416">
        <v>57.978000000000002</v>
      </c>
      <c r="E416">
        <v>57.978000000000002</v>
      </c>
      <c r="F416" s="23">
        <f t="shared" si="6"/>
        <v>-6.1368623148655545E-3</v>
      </c>
    </row>
    <row r="417" spans="1:6" x14ac:dyDescent="0.35">
      <c r="A417" s="22">
        <v>45079</v>
      </c>
      <c r="B417">
        <v>58.262999999999998</v>
      </c>
      <c r="C417">
        <v>58.262999999999998</v>
      </c>
      <c r="D417">
        <v>58.262999999999998</v>
      </c>
      <c r="E417">
        <v>58.262999999999998</v>
      </c>
      <c r="F417" s="23">
        <f t="shared" si="6"/>
        <v>4.9156576632515192E-3</v>
      </c>
    </row>
    <row r="418" spans="1:6" x14ac:dyDescent="0.35">
      <c r="A418" s="22">
        <v>45082</v>
      </c>
      <c r="B418">
        <v>58.414999999999999</v>
      </c>
      <c r="C418">
        <v>58.414999999999999</v>
      </c>
      <c r="D418">
        <v>58.414999999999999</v>
      </c>
      <c r="E418">
        <v>58.414999999999999</v>
      </c>
      <c r="F418" s="23">
        <f t="shared" si="6"/>
        <v>2.6088598252750634E-3</v>
      </c>
    </row>
    <row r="419" spans="1:6" x14ac:dyDescent="0.35">
      <c r="A419" s="22">
        <v>45083</v>
      </c>
      <c r="B419">
        <v>58.515000000000001</v>
      </c>
      <c r="C419">
        <v>58.515000000000001</v>
      </c>
      <c r="D419">
        <v>58.515000000000001</v>
      </c>
      <c r="E419">
        <v>58.515000000000001</v>
      </c>
      <c r="F419" s="23">
        <f t="shared" si="6"/>
        <v>1.711889069588315E-3</v>
      </c>
    </row>
    <row r="420" spans="1:6" x14ac:dyDescent="0.35">
      <c r="A420" s="22">
        <v>45084</v>
      </c>
      <c r="B420">
        <v>58.738999999999997</v>
      </c>
      <c r="C420">
        <v>58.738999999999997</v>
      </c>
      <c r="D420">
        <v>58.738999999999997</v>
      </c>
      <c r="E420">
        <v>58.738999999999997</v>
      </c>
      <c r="F420" s="23">
        <f t="shared" si="6"/>
        <v>3.8280782705288671E-3</v>
      </c>
    </row>
    <row r="421" spans="1:6" x14ac:dyDescent="0.35">
      <c r="A421" s="22">
        <v>45085</v>
      </c>
      <c r="B421">
        <v>58.097000000000001</v>
      </c>
      <c r="C421">
        <v>58.097000000000001</v>
      </c>
      <c r="D421">
        <v>58.097000000000001</v>
      </c>
      <c r="E421">
        <v>58.097000000000001</v>
      </c>
      <c r="F421" s="23">
        <f t="shared" si="6"/>
        <v>-1.0929705987503974E-2</v>
      </c>
    </row>
    <row r="422" spans="1:6" x14ac:dyDescent="0.35">
      <c r="A422" s="22">
        <v>45086</v>
      </c>
      <c r="B422">
        <v>57.951000000000001</v>
      </c>
      <c r="C422">
        <v>57.951000000000001</v>
      </c>
      <c r="D422">
        <v>57.951000000000001</v>
      </c>
      <c r="E422">
        <v>57.951000000000001</v>
      </c>
      <c r="F422" s="23">
        <f t="shared" si="6"/>
        <v>-2.5130385389951423E-3</v>
      </c>
    </row>
    <row r="423" spans="1:6" x14ac:dyDescent="0.35">
      <c r="A423" s="22">
        <v>45089</v>
      </c>
      <c r="B423">
        <v>58.012999999999998</v>
      </c>
      <c r="C423">
        <v>58.012999999999998</v>
      </c>
      <c r="D423">
        <v>58.012999999999998</v>
      </c>
      <c r="E423">
        <v>58.012999999999998</v>
      </c>
      <c r="F423" s="23">
        <f t="shared" si="6"/>
        <v>1.0698693724007801E-3</v>
      </c>
    </row>
    <row r="424" spans="1:6" x14ac:dyDescent="0.35">
      <c r="A424" s="22">
        <v>45090</v>
      </c>
      <c r="B424">
        <v>58.514000000000003</v>
      </c>
      <c r="C424">
        <v>58.514000000000003</v>
      </c>
      <c r="D424">
        <v>58.514000000000003</v>
      </c>
      <c r="E424">
        <v>58.514000000000003</v>
      </c>
      <c r="F424" s="23">
        <f t="shared" si="6"/>
        <v>8.6359953803458664E-3</v>
      </c>
    </row>
    <row r="425" spans="1:6" x14ac:dyDescent="0.35">
      <c r="A425" s="22">
        <v>45091</v>
      </c>
      <c r="B425">
        <v>58.581000000000003</v>
      </c>
      <c r="C425">
        <v>58.581000000000003</v>
      </c>
      <c r="D425">
        <v>58.581000000000003</v>
      </c>
      <c r="E425">
        <v>58.581000000000003</v>
      </c>
      <c r="F425" s="23">
        <f t="shared" si="6"/>
        <v>1.1450251221929823E-3</v>
      </c>
    </row>
    <row r="426" spans="1:6" x14ac:dyDescent="0.35">
      <c r="A426" s="22">
        <v>45092</v>
      </c>
      <c r="B426">
        <v>58.613</v>
      </c>
      <c r="C426">
        <v>58.613</v>
      </c>
      <c r="D426">
        <v>58.613</v>
      </c>
      <c r="E426">
        <v>58.613</v>
      </c>
      <c r="F426" s="23">
        <f t="shared" si="6"/>
        <v>5.4625219781151695E-4</v>
      </c>
    </row>
    <row r="427" spans="1:6" x14ac:dyDescent="0.35">
      <c r="A427" s="22">
        <v>45093</v>
      </c>
      <c r="B427">
        <v>59.006</v>
      </c>
      <c r="C427">
        <v>59.006</v>
      </c>
      <c r="D427">
        <v>59.006</v>
      </c>
      <c r="E427">
        <v>59.006</v>
      </c>
      <c r="F427" s="23">
        <f t="shared" si="6"/>
        <v>6.7049971849248574E-3</v>
      </c>
    </row>
    <row r="428" spans="1:6" x14ac:dyDescent="0.35">
      <c r="A428" s="22">
        <v>45096</v>
      </c>
      <c r="B428">
        <v>58.773000000000003</v>
      </c>
      <c r="C428">
        <v>58.773000000000003</v>
      </c>
      <c r="D428">
        <v>58.773000000000003</v>
      </c>
      <c r="E428">
        <v>58.773000000000003</v>
      </c>
      <c r="F428" s="23">
        <f t="shared" si="6"/>
        <v>-3.9487509744771205E-3</v>
      </c>
    </row>
    <row r="429" spans="1:6" x14ac:dyDescent="0.35">
      <c r="A429" s="22">
        <v>45097</v>
      </c>
      <c r="B429">
        <v>58.997</v>
      </c>
      <c r="C429">
        <v>58.997</v>
      </c>
      <c r="D429">
        <v>58.997</v>
      </c>
      <c r="E429">
        <v>58.997</v>
      </c>
      <c r="F429" s="23">
        <f t="shared" si="6"/>
        <v>3.8112738842665276E-3</v>
      </c>
    </row>
    <row r="430" spans="1:6" x14ac:dyDescent="0.35">
      <c r="A430" s="22">
        <v>45098</v>
      </c>
      <c r="B430">
        <v>59.094000000000001</v>
      </c>
      <c r="C430">
        <v>59.094000000000001</v>
      </c>
      <c r="D430">
        <v>59.094000000000001</v>
      </c>
      <c r="E430">
        <v>59.094000000000001</v>
      </c>
      <c r="F430" s="23">
        <f t="shared" si="6"/>
        <v>1.64415139752871E-3</v>
      </c>
    </row>
    <row r="431" spans="1:6" x14ac:dyDescent="0.35">
      <c r="A431" s="22">
        <v>45099</v>
      </c>
      <c r="B431">
        <v>58.753</v>
      </c>
      <c r="C431">
        <v>58.753</v>
      </c>
      <c r="D431">
        <v>58.753</v>
      </c>
      <c r="E431">
        <v>58.753</v>
      </c>
      <c r="F431" s="23">
        <f t="shared" si="6"/>
        <v>-5.770467390936492E-3</v>
      </c>
    </row>
    <row r="432" spans="1:6" x14ac:dyDescent="0.35">
      <c r="A432" s="22">
        <v>45100</v>
      </c>
      <c r="B432">
        <v>58.792999999999999</v>
      </c>
      <c r="C432">
        <v>58.792999999999999</v>
      </c>
      <c r="D432">
        <v>58.792999999999999</v>
      </c>
      <c r="E432">
        <v>58.792999999999999</v>
      </c>
      <c r="F432" s="23">
        <f t="shared" si="6"/>
        <v>6.8081629874217737E-4</v>
      </c>
    </row>
    <row r="433" spans="1:6" x14ac:dyDescent="0.35">
      <c r="A433" s="22">
        <v>45103</v>
      </c>
      <c r="B433">
        <v>58.957999999999998</v>
      </c>
      <c r="C433">
        <v>58.957999999999998</v>
      </c>
      <c r="D433">
        <v>58.957999999999998</v>
      </c>
      <c r="E433">
        <v>58.957999999999998</v>
      </c>
      <c r="F433" s="23">
        <f t="shared" si="6"/>
        <v>2.8064565509499286E-3</v>
      </c>
    </row>
    <row r="434" spans="1:6" x14ac:dyDescent="0.35">
      <c r="A434" s="22">
        <v>45104</v>
      </c>
      <c r="B434">
        <v>58.856999999999999</v>
      </c>
      <c r="C434">
        <v>58.856999999999999</v>
      </c>
      <c r="D434">
        <v>58.856999999999999</v>
      </c>
      <c r="E434">
        <v>58.856999999999999</v>
      </c>
      <c r="F434" s="23">
        <f t="shared" si="6"/>
        <v>-1.7130838902269258E-3</v>
      </c>
    </row>
    <row r="435" spans="1:6" x14ac:dyDescent="0.35">
      <c r="A435" s="22">
        <v>45105</v>
      </c>
      <c r="B435">
        <v>59.287999999999997</v>
      </c>
      <c r="C435">
        <v>59.287999999999997</v>
      </c>
      <c r="D435">
        <v>59.287999999999997</v>
      </c>
      <c r="E435">
        <v>59.287999999999997</v>
      </c>
      <c r="F435" s="23">
        <f t="shared" si="6"/>
        <v>7.3228333078477906E-3</v>
      </c>
    </row>
    <row r="436" spans="1:6" x14ac:dyDescent="0.35">
      <c r="A436" s="22">
        <v>45107</v>
      </c>
      <c r="B436">
        <v>59.631999999999998</v>
      </c>
      <c r="C436">
        <v>59.631999999999998</v>
      </c>
      <c r="D436">
        <v>59.631999999999998</v>
      </c>
      <c r="E436">
        <v>59.631999999999998</v>
      </c>
      <c r="F436" s="23">
        <f t="shared" si="6"/>
        <v>5.8021859398192082E-3</v>
      </c>
    </row>
    <row r="437" spans="1:6" x14ac:dyDescent="0.35">
      <c r="A437" s="22">
        <v>45110</v>
      </c>
      <c r="B437">
        <v>59.923999999999999</v>
      </c>
      <c r="C437">
        <v>59.923999999999999</v>
      </c>
      <c r="D437">
        <v>59.923999999999999</v>
      </c>
      <c r="E437">
        <v>59.923999999999999</v>
      </c>
      <c r="F437" s="23">
        <f t="shared" si="6"/>
        <v>4.896699758518943E-3</v>
      </c>
    </row>
    <row r="438" spans="1:6" x14ac:dyDescent="0.35">
      <c r="A438" s="22">
        <v>45111</v>
      </c>
      <c r="B438">
        <v>60.017000000000003</v>
      </c>
      <c r="C438">
        <v>60.017000000000003</v>
      </c>
      <c r="D438">
        <v>60.017000000000003</v>
      </c>
      <c r="E438">
        <v>60.017000000000003</v>
      </c>
      <c r="F438" s="23">
        <f t="shared" si="6"/>
        <v>1.5519658233763354E-3</v>
      </c>
    </row>
    <row r="439" spans="1:6" x14ac:dyDescent="0.35">
      <c r="A439" s="22">
        <v>45112</v>
      </c>
      <c r="B439">
        <v>60.368000000000002</v>
      </c>
      <c r="C439">
        <v>60.368000000000002</v>
      </c>
      <c r="D439">
        <v>60.368000000000002</v>
      </c>
      <c r="E439">
        <v>60.368000000000002</v>
      </c>
      <c r="F439" s="23">
        <f t="shared" si="6"/>
        <v>5.8483429694919618E-3</v>
      </c>
    </row>
    <row r="440" spans="1:6" x14ac:dyDescent="0.35">
      <c r="A440" s="22">
        <v>45113</v>
      </c>
      <c r="B440">
        <v>60.503</v>
      </c>
      <c r="C440">
        <v>60.503</v>
      </c>
      <c r="D440">
        <v>60.503</v>
      </c>
      <c r="E440">
        <v>60.503</v>
      </c>
      <c r="F440" s="23">
        <f t="shared" si="6"/>
        <v>2.2362841240391933E-3</v>
      </c>
    </row>
    <row r="441" spans="1:6" x14ac:dyDescent="0.35">
      <c r="A441" s="22">
        <v>45114</v>
      </c>
      <c r="B441">
        <v>60.06</v>
      </c>
      <c r="C441">
        <v>60.06</v>
      </c>
      <c r="D441">
        <v>60.06</v>
      </c>
      <c r="E441">
        <v>60.06</v>
      </c>
      <c r="F441" s="23">
        <f t="shared" si="6"/>
        <v>-7.321950977637437E-3</v>
      </c>
    </row>
    <row r="442" spans="1:6" x14ac:dyDescent="0.35">
      <c r="A442" s="22">
        <v>45117</v>
      </c>
      <c r="B442">
        <v>59.677</v>
      </c>
      <c r="C442">
        <v>59.677</v>
      </c>
      <c r="D442">
        <v>59.677</v>
      </c>
      <c r="E442">
        <v>59.677</v>
      </c>
      <c r="F442" s="23">
        <f t="shared" si="6"/>
        <v>-6.3769563769564214E-3</v>
      </c>
    </row>
    <row r="443" spans="1:6" x14ac:dyDescent="0.35">
      <c r="A443" s="22">
        <v>45118</v>
      </c>
      <c r="B443">
        <v>59.860999999999997</v>
      </c>
      <c r="C443">
        <v>59.860999999999997</v>
      </c>
      <c r="D443">
        <v>59.860999999999997</v>
      </c>
      <c r="E443">
        <v>59.860999999999997</v>
      </c>
      <c r="F443" s="23">
        <f t="shared" si="6"/>
        <v>3.0832649094290512E-3</v>
      </c>
    </row>
    <row r="444" spans="1:6" x14ac:dyDescent="0.35">
      <c r="A444" s="22">
        <v>45119</v>
      </c>
      <c r="B444">
        <v>60.158000000000001</v>
      </c>
      <c r="C444">
        <v>60.158000000000001</v>
      </c>
      <c r="D444">
        <v>60.158000000000001</v>
      </c>
      <c r="E444">
        <v>60.158000000000001</v>
      </c>
      <c r="F444" s="23">
        <f t="shared" si="6"/>
        <v>4.9614941280634161E-3</v>
      </c>
    </row>
    <row r="445" spans="1:6" x14ac:dyDescent="0.35">
      <c r="A445" s="22">
        <v>45120</v>
      </c>
      <c r="B445">
        <v>60.335999999999999</v>
      </c>
      <c r="C445">
        <v>60.335999999999999</v>
      </c>
      <c r="D445">
        <v>60.335999999999999</v>
      </c>
      <c r="E445">
        <v>60.335999999999999</v>
      </c>
      <c r="F445" s="23">
        <f t="shared" si="6"/>
        <v>2.9588749625984452E-3</v>
      </c>
    </row>
    <row r="446" spans="1:6" x14ac:dyDescent="0.35">
      <c r="A446" s="22">
        <v>45121</v>
      </c>
      <c r="B446">
        <v>60.636000000000003</v>
      </c>
      <c r="C446">
        <v>60.636000000000003</v>
      </c>
      <c r="D446">
        <v>60.636000000000003</v>
      </c>
      <c r="E446">
        <v>60.636000000000003</v>
      </c>
      <c r="F446" s="23">
        <f t="shared" si="6"/>
        <v>4.9721559268099359E-3</v>
      </c>
    </row>
    <row r="447" spans="1:6" x14ac:dyDescent="0.35">
      <c r="A447" s="22">
        <v>45124</v>
      </c>
      <c r="B447">
        <v>60.814999999999998</v>
      </c>
      <c r="C447">
        <v>60.814999999999998</v>
      </c>
      <c r="D447">
        <v>60.814999999999998</v>
      </c>
      <c r="E447">
        <v>60.814999999999998</v>
      </c>
      <c r="F447" s="23">
        <f t="shared" si="6"/>
        <v>2.9520416914043624E-3</v>
      </c>
    </row>
    <row r="448" spans="1:6" x14ac:dyDescent="0.35">
      <c r="A448" s="22">
        <v>45125</v>
      </c>
      <c r="B448">
        <v>60.856999999999999</v>
      </c>
      <c r="C448">
        <v>60.856999999999999</v>
      </c>
      <c r="D448">
        <v>60.856999999999999</v>
      </c>
      <c r="E448">
        <v>60.856999999999999</v>
      </c>
      <c r="F448" s="23">
        <f t="shared" si="6"/>
        <v>6.9061909068489011E-4</v>
      </c>
    </row>
    <row r="449" spans="1:6" x14ac:dyDescent="0.35">
      <c r="A449" s="22">
        <v>45126</v>
      </c>
      <c r="B449">
        <v>61.073</v>
      </c>
      <c r="C449">
        <v>61.073</v>
      </c>
      <c r="D449">
        <v>61.073</v>
      </c>
      <c r="E449">
        <v>61.073</v>
      </c>
      <c r="F449" s="23">
        <f t="shared" si="6"/>
        <v>3.5493041063476851E-3</v>
      </c>
    </row>
    <row r="450" spans="1:6" x14ac:dyDescent="0.35">
      <c r="A450" s="22">
        <v>45127</v>
      </c>
      <c r="B450">
        <v>61.058999999999997</v>
      </c>
      <c r="C450">
        <v>61.058999999999997</v>
      </c>
      <c r="D450">
        <v>61.058999999999997</v>
      </c>
      <c r="E450">
        <v>61.058999999999997</v>
      </c>
      <c r="F450" s="23">
        <f t="shared" si="6"/>
        <v>-2.2923386766661043E-4</v>
      </c>
    </row>
    <row r="451" spans="1:6" x14ac:dyDescent="0.35">
      <c r="A451" s="22">
        <v>45128</v>
      </c>
      <c r="B451">
        <v>60.648000000000003</v>
      </c>
      <c r="C451">
        <v>60.648000000000003</v>
      </c>
      <c r="D451">
        <v>60.648000000000003</v>
      </c>
      <c r="E451">
        <v>60.648000000000003</v>
      </c>
      <c r="F451" s="23">
        <f t="shared" ref="F451:F514" si="7">(B451-B450)/B450</f>
        <v>-6.7311944185131471E-3</v>
      </c>
    </row>
    <row r="452" spans="1:6" x14ac:dyDescent="0.35">
      <c r="A452" s="22">
        <v>45131</v>
      </c>
      <c r="B452">
        <v>60.534999999999997</v>
      </c>
      <c r="C452">
        <v>60.534999999999997</v>
      </c>
      <c r="D452">
        <v>60.534999999999997</v>
      </c>
      <c r="E452">
        <v>60.534999999999997</v>
      </c>
      <c r="F452" s="23">
        <f t="shared" si="7"/>
        <v>-1.8632106582246182E-3</v>
      </c>
    </row>
    <row r="453" spans="1:6" x14ac:dyDescent="0.35">
      <c r="A453" s="22">
        <v>45132</v>
      </c>
      <c r="B453">
        <v>60.746000000000002</v>
      </c>
      <c r="C453">
        <v>60.746000000000002</v>
      </c>
      <c r="D453">
        <v>60.746000000000002</v>
      </c>
      <c r="E453">
        <v>60.746000000000002</v>
      </c>
      <c r="F453" s="23">
        <f t="shared" si="7"/>
        <v>3.4855868505824011E-3</v>
      </c>
    </row>
    <row r="454" spans="1:6" x14ac:dyDescent="0.35">
      <c r="A454" s="22">
        <v>45133</v>
      </c>
      <c r="B454">
        <v>61.030999999999999</v>
      </c>
      <c r="C454">
        <v>61.030999999999999</v>
      </c>
      <c r="D454">
        <v>61.030999999999999</v>
      </c>
      <c r="E454">
        <v>61.030999999999999</v>
      </c>
      <c r="F454" s="23">
        <f t="shared" si="7"/>
        <v>4.6916669410330984E-3</v>
      </c>
    </row>
    <row r="455" spans="1:6" x14ac:dyDescent="0.35">
      <c r="A455" s="22">
        <v>45134</v>
      </c>
      <c r="B455">
        <v>60.999000000000002</v>
      </c>
      <c r="C455">
        <v>60.999000000000002</v>
      </c>
      <c r="D455">
        <v>60.999000000000002</v>
      </c>
      <c r="E455">
        <v>60.999000000000002</v>
      </c>
      <c r="F455" s="23">
        <f t="shared" si="7"/>
        <v>-5.2432370434691352E-4</v>
      </c>
    </row>
    <row r="456" spans="1:6" x14ac:dyDescent="0.35">
      <c r="A456" s="22">
        <v>45135</v>
      </c>
      <c r="B456">
        <v>61.317999999999998</v>
      </c>
      <c r="C456">
        <v>61.317999999999998</v>
      </c>
      <c r="D456">
        <v>61.317999999999998</v>
      </c>
      <c r="E456">
        <v>61.317999999999998</v>
      </c>
      <c r="F456" s="23">
        <f t="shared" si="7"/>
        <v>5.2295939277692341E-3</v>
      </c>
    </row>
    <row r="457" spans="1:6" x14ac:dyDescent="0.35">
      <c r="A457" s="22">
        <v>45138</v>
      </c>
      <c r="B457">
        <v>61.603000000000002</v>
      </c>
      <c r="C457">
        <v>61.603000000000002</v>
      </c>
      <c r="D457">
        <v>61.603000000000002</v>
      </c>
      <c r="E457">
        <v>61.603000000000002</v>
      </c>
      <c r="F457" s="23">
        <f t="shared" si="7"/>
        <v>4.6479011057112708E-3</v>
      </c>
    </row>
    <row r="458" spans="1:6" x14ac:dyDescent="0.35">
      <c r="A458" s="22">
        <v>45139</v>
      </c>
      <c r="B458">
        <v>61.6</v>
      </c>
      <c r="C458">
        <v>61.6</v>
      </c>
      <c r="D458">
        <v>61.6</v>
      </c>
      <c r="E458">
        <v>61.6</v>
      </c>
      <c r="F458" s="23">
        <f t="shared" si="7"/>
        <v>-4.8698927000310268E-5</v>
      </c>
    </row>
    <row r="459" spans="1:6" x14ac:dyDescent="0.35">
      <c r="A459" s="22">
        <v>45140</v>
      </c>
      <c r="B459">
        <v>60.863</v>
      </c>
      <c r="C459">
        <v>60.863</v>
      </c>
      <c r="D459">
        <v>60.863</v>
      </c>
      <c r="E459">
        <v>60.863</v>
      </c>
      <c r="F459" s="23">
        <f t="shared" si="7"/>
        <v>-1.1964285714285745E-2</v>
      </c>
    </row>
    <row r="460" spans="1:6" x14ac:dyDescent="0.35">
      <c r="A460" s="22">
        <v>45141</v>
      </c>
      <c r="B460">
        <v>60.649000000000001</v>
      </c>
      <c r="C460">
        <v>60.649000000000001</v>
      </c>
      <c r="D460">
        <v>60.649000000000001</v>
      </c>
      <c r="E460">
        <v>60.649000000000001</v>
      </c>
      <c r="F460" s="23">
        <f t="shared" si="7"/>
        <v>-3.5160935215155127E-3</v>
      </c>
    </row>
    <row r="461" spans="1:6" x14ac:dyDescent="0.35">
      <c r="A461" s="22">
        <v>45142</v>
      </c>
      <c r="B461">
        <v>61.069000000000003</v>
      </c>
      <c r="C461">
        <v>61.069000000000003</v>
      </c>
      <c r="D461">
        <v>61.069000000000003</v>
      </c>
      <c r="E461">
        <v>61.069000000000003</v>
      </c>
      <c r="F461" s="23">
        <f t="shared" si="7"/>
        <v>6.9250935712048293E-3</v>
      </c>
    </row>
    <row r="462" spans="1:6" x14ac:dyDescent="0.35">
      <c r="A462" s="22">
        <v>45145</v>
      </c>
      <c r="B462">
        <v>61.350999999999999</v>
      </c>
      <c r="C462">
        <v>61.350999999999999</v>
      </c>
      <c r="D462">
        <v>61.350999999999999</v>
      </c>
      <c r="E462">
        <v>61.350999999999999</v>
      </c>
      <c r="F462" s="23">
        <f t="shared" si="7"/>
        <v>4.6177274885784349E-3</v>
      </c>
    </row>
    <row r="463" spans="1:6" x14ac:dyDescent="0.35">
      <c r="A463" s="22">
        <v>45146</v>
      </c>
      <c r="B463">
        <v>61.188000000000002</v>
      </c>
      <c r="C463">
        <v>61.188000000000002</v>
      </c>
      <c r="D463">
        <v>61.188000000000002</v>
      </c>
      <c r="E463">
        <v>61.188000000000002</v>
      </c>
      <c r="F463" s="23">
        <f t="shared" si="7"/>
        <v>-2.6568434092353295E-3</v>
      </c>
    </row>
    <row r="464" spans="1:6" x14ac:dyDescent="0.35">
      <c r="A464" s="22">
        <v>45147</v>
      </c>
      <c r="B464">
        <v>61.158000000000001</v>
      </c>
      <c r="C464">
        <v>61.158000000000001</v>
      </c>
      <c r="D464">
        <v>61.158000000000001</v>
      </c>
      <c r="E464">
        <v>61.158000000000001</v>
      </c>
      <c r="F464" s="23">
        <f t="shared" si="7"/>
        <v>-4.902922141596577E-4</v>
      </c>
    </row>
    <row r="465" spans="1:6" x14ac:dyDescent="0.35">
      <c r="A465" s="22">
        <v>45148</v>
      </c>
      <c r="B465">
        <v>60.956000000000003</v>
      </c>
      <c r="C465">
        <v>60.956000000000003</v>
      </c>
      <c r="D465">
        <v>60.956000000000003</v>
      </c>
      <c r="E465">
        <v>60.956000000000003</v>
      </c>
      <c r="F465" s="23">
        <f t="shared" si="7"/>
        <v>-3.3029203047842993E-3</v>
      </c>
    </row>
    <row r="466" spans="1:6" x14ac:dyDescent="0.35">
      <c r="A466" s="22">
        <v>45149</v>
      </c>
      <c r="B466">
        <v>60.820999999999998</v>
      </c>
      <c r="C466">
        <v>60.820999999999998</v>
      </c>
      <c r="D466">
        <v>60.820999999999998</v>
      </c>
      <c r="E466">
        <v>60.820999999999998</v>
      </c>
      <c r="F466" s="23">
        <f t="shared" si="7"/>
        <v>-2.2147122514601532E-3</v>
      </c>
    </row>
    <row r="467" spans="1:6" x14ac:dyDescent="0.35">
      <c r="A467" s="22">
        <v>45152</v>
      </c>
      <c r="B467">
        <v>61.018000000000001</v>
      </c>
      <c r="C467">
        <v>61.018000000000001</v>
      </c>
      <c r="D467">
        <v>61.018000000000001</v>
      </c>
      <c r="E467">
        <v>61.018000000000001</v>
      </c>
      <c r="F467" s="23">
        <f t="shared" si="7"/>
        <v>3.2390128409595818E-3</v>
      </c>
    </row>
    <row r="468" spans="1:6" x14ac:dyDescent="0.35">
      <c r="A468" s="22">
        <v>45154</v>
      </c>
      <c r="B468">
        <v>60.853000000000002</v>
      </c>
      <c r="C468">
        <v>60.853000000000002</v>
      </c>
      <c r="D468">
        <v>60.853000000000002</v>
      </c>
      <c r="E468">
        <v>60.853000000000002</v>
      </c>
      <c r="F468" s="23">
        <f t="shared" si="7"/>
        <v>-2.7041200957094486E-3</v>
      </c>
    </row>
    <row r="469" spans="1:6" x14ac:dyDescent="0.35">
      <c r="A469" s="22">
        <v>45155</v>
      </c>
      <c r="B469">
        <v>60.377000000000002</v>
      </c>
      <c r="C469">
        <v>60.377000000000002</v>
      </c>
      <c r="D469">
        <v>60.377000000000002</v>
      </c>
      <c r="E469">
        <v>60.377000000000002</v>
      </c>
      <c r="F469" s="23">
        <f t="shared" si="7"/>
        <v>-7.8221287364632647E-3</v>
      </c>
    </row>
    <row r="470" spans="1:6" x14ac:dyDescent="0.35">
      <c r="A470" s="22">
        <v>45156</v>
      </c>
      <c r="B470">
        <v>60.076999999999998</v>
      </c>
      <c r="C470">
        <v>60.076999999999998</v>
      </c>
      <c r="D470">
        <v>60.076999999999998</v>
      </c>
      <c r="E470">
        <v>60.076999999999998</v>
      </c>
      <c r="F470" s="23">
        <f t="shared" si="7"/>
        <v>-4.9687795021283645E-3</v>
      </c>
    </row>
    <row r="471" spans="1:6" x14ac:dyDescent="0.35">
      <c r="A471" s="22">
        <v>45159</v>
      </c>
      <c r="B471">
        <v>60.578000000000003</v>
      </c>
      <c r="C471">
        <v>60.578000000000003</v>
      </c>
      <c r="D471">
        <v>60.578000000000003</v>
      </c>
      <c r="E471">
        <v>60.578000000000003</v>
      </c>
      <c r="F471" s="23">
        <f t="shared" si="7"/>
        <v>8.3392979010270957E-3</v>
      </c>
    </row>
    <row r="472" spans="1:6" x14ac:dyDescent="0.35">
      <c r="A472" s="22">
        <v>45160</v>
      </c>
      <c r="B472">
        <v>60.706000000000003</v>
      </c>
      <c r="C472">
        <v>60.706000000000003</v>
      </c>
      <c r="D472">
        <v>60.706000000000003</v>
      </c>
      <c r="E472">
        <v>60.706000000000003</v>
      </c>
      <c r="F472" s="23">
        <f t="shared" si="7"/>
        <v>2.1129783089570489E-3</v>
      </c>
    </row>
    <row r="473" spans="1:6" x14ac:dyDescent="0.35">
      <c r="A473" s="22">
        <v>45161</v>
      </c>
      <c r="B473">
        <v>61.07</v>
      </c>
      <c r="C473">
        <v>61.07</v>
      </c>
      <c r="D473">
        <v>61.07</v>
      </c>
      <c r="E473">
        <v>61.07</v>
      </c>
      <c r="F473" s="23">
        <f t="shared" si="7"/>
        <v>5.9961124106348166E-3</v>
      </c>
    </row>
    <row r="474" spans="1:6" x14ac:dyDescent="0.35">
      <c r="A474" s="22">
        <v>45162</v>
      </c>
      <c r="B474">
        <v>60.75</v>
      </c>
      <c r="C474">
        <v>60.75</v>
      </c>
      <c r="D474">
        <v>60.75</v>
      </c>
      <c r="E474">
        <v>60.75</v>
      </c>
      <c r="F474" s="23">
        <f t="shared" si="7"/>
        <v>-5.2398886523661418E-3</v>
      </c>
    </row>
    <row r="475" spans="1:6" x14ac:dyDescent="0.35">
      <c r="A475" s="22">
        <v>45163</v>
      </c>
      <c r="B475">
        <v>60.51</v>
      </c>
      <c r="C475">
        <v>60.51</v>
      </c>
      <c r="D475">
        <v>60.51</v>
      </c>
      <c r="E475">
        <v>60.51</v>
      </c>
      <c r="F475" s="23">
        <f t="shared" si="7"/>
        <v>-3.9506172839506503E-3</v>
      </c>
    </row>
    <row r="476" spans="1:6" x14ac:dyDescent="0.35">
      <c r="A476" s="22">
        <v>45166</v>
      </c>
      <c r="B476">
        <v>60.823999999999998</v>
      </c>
      <c r="C476">
        <v>60.823999999999998</v>
      </c>
      <c r="D476">
        <v>60.823999999999998</v>
      </c>
      <c r="E476">
        <v>60.823999999999998</v>
      </c>
      <c r="F476" s="23">
        <f t="shared" si="7"/>
        <v>5.1892249215005799E-3</v>
      </c>
    </row>
    <row r="477" spans="1:6" x14ac:dyDescent="0.35">
      <c r="A477" s="22">
        <v>45167</v>
      </c>
      <c r="B477">
        <v>61.152000000000001</v>
      </c>
      <c r="C477">
        <v>61.152000000000001</v>
      </c>
      <c r="D477">
        <v>61.152000000000001</v>
      </c>
      <c r="E477">
        <v>61.152000000000001</v>
      </c>
      <c r="F477" s="23">
        <f t="shared" si="7"/>
        <v>5.3926081809812405E-3</v>
      </c>
    </row>
    <row r="478" spans="1:6" x14ac:dyDescent="0.35">
      <c r="A478" s="22">
        <v>45168</v>
      </c>
      <c r="B478">
        <v>61.244999999999997</v>
      </c>
      <c r="C478">
        <v>61.244999999999997</v>
      </c>
      <c r="D478">
        <v>61.244999999999997</v>
      </c>
      <c r="E478">
        <v>61.244999999999997</v>
      </c>
      <c r="F478" s="23">
        <f t="shared" si="7"/>
        <v>1.5208006279434265E-3</v>
      </c>
    </row>
    <row r="479" spans="1:6" x14ac:dyDescent="0.35">
      <c r="A479" s="22">
        <v>45169</v>
      </c>
      <c r="B479">
        <v>61.323</v>
      </c>
      <c r="C479">
        <v>61.323</v>
      </c>
      <c r="D479">
        <v>61.323</v>
      </c>
      <c r="E479">
        <v>61.323</v>
      </c>
      <c r="F479" s="23">
        <f t="shared" si="7"/>
        <v>1.2735733529268178E-3</v>
      </c>
    </row>
    <row r="480" spans="1:6" x14ac:dyDescent="0.35">
      <c r="A480" s="22">
        <v>45170</v>
      </c>
      <c r="B480">
        <v>61.817999999999998</v>
      </c>
      <c r="C480">
        <v>61.817999999999998</v>
      </c>
      <c r="D480">
        <v>61.817999999999998</v>
      </c>
      <c r="E480">
        <v>61.817999999999998</v>
      </c>
      <c r="F480" s="23">
        <f t="shared" si="7"/>
        <v>8.0720121324788004E-3</v>
      </c>
    </row>
    <row r="481" spans="1:6" x14ac:dyDescent="0.35">
      <c r="A481" s="22">
        <v>45173</v>
      </c>
      <c r="B481">
        <v>62.171999999999997</v>
      </c>
      <c r="C481">
        <v>62.171999999999997</v>
      </c>
      <c r="D481">
        <v>62.171999999999997</v>
      </c>
      <c r="E481">
        <v>62.171999999999997</v>
      </c>
      <c r="F481" s="23">
        <f t="shared" si="7"/>
        <v>5.7264874308453721E-3</v>
      </c>
    </row>
    <row r="482" spans="1:6" x14ac:dyDescent="0.35">
      <c r="A482" s="22">
        <v>45174</v>
      </c>
      <c r="B482">
        <v>62.43</v>
      </c>
      <c r="C482">
        <v>62.43</v>
      </c>
      <c r="D482">
        <v>62.43</v>
      </c>
      <c r="E482">
        <v>62.43</v>
      </c>
      <c r="F482" s="23">
        <f t="shared" si="7"/>
        <v>4.1497780351283965E-3</v>
      </c>
    </row>
    <row r="483" spans="1:6" x14ac:dyDescent="0.35">
      <c r="A483" s="22">
        <v>45175</v>
      </c>
      <c r="B483">
        <v>62.372</v>
      </c>
      <c r="C483">
        <v>62.372</v>
      </c>
      <c r="D483">
        <v>62.372</v>
      </c>
      <c r="E483">
        <v>62.372</v>
      </c>
      <c r="F483" s="23">
        <f t="shared" si="7"/>
        <v>-9.2904052538843231E-4</v>
      </c>
    </row>
    <row r="484" spans="1:6" x14ac:dyDescent="0.35">
      <c r="A484" s="22">
        <v>45176</v>
      </c>
      <c r="B484">
        <v>62.814999999999998</v>
      </c>
      <c r="C484">
        <v>62.814999999999998</v>
      </c>
      <c r="D484">
        <v>62.814999999999998</v>
      </c>
      <c r="E484">
        <v>62.814999999999998</v>
      </c>
      <c r="F484" s="23">
        <f t="shared" si="7"/>
        <v>7.1025460142371231E-3</v>
      </c>
    </row>
    <row r="485" spans="1:6" x14ac:dyDescent="0.35">
      <c r="A485" s="22">
        <v>45177</v>
      </c>
      <c r="B485">
        <v>63.088000000000001</v>
      </c>
      <c r="C485">
        <v>63.088000000000001</v>
      </c>
      <c r="D485">
        <v>63.088000000000001</v>
      </c>
      <c r="E485">
        <v>63.088000000000001</v>
      </c>
      <c r="F485" s="23">
        <f t="shared" si="7"/>
        <v>4.3460956777840202E-3</v>
      </c>
    </row>
    <row r="486" spans="1:6" x14ac:dyDescent="0.35">
      <c r="A486" s="22">
        <v>45180</v>
      </c>
      <c r="B486">
        <v>63.762999999999998</v>
      </c>
      <c r="C486">
        <v>63.762999999999998</v>
      </c>
      <c r="D486">
        <v>63.762999999999998</v>
      </c>
      <c r="E486">
        <v>63.762999999999998</v>
      </c>
      <c r="F486" s="23">
        <f t="shared" si="7"/>
        <v>1.0699340603601273E-2</v>
      </c>
    </row>
    <row r="487" spans="1:6" x14ac:dyDescent="0.35">
      <c r="A487" s="22">
        <v>45181</v>
      </c>
      <c r="B487">
        <v>63.209000000000003</v>
      </c>
      <c r="C487">
        <v>63.209000000000003</v>
      </c>
      <c r="D487">
        <v>63.209000000000003</v>
      </c>
      <c r="E487">
        <v>63.209000000000003</v>
      </c>
      <c r="F487" s="23">
        <f t="shared" si="7"/>
        <v>-8.6884243213147909E-3</v>
      </c>
    </row>
    <row r="488" spans="1:6" x14ac:dyDescent="0.35">
      <c r="A488" s="22">
        <v>45182</v>
      </c>
      <c r="B488">
        <v>63.588000000000001</v>
      </c>
      <c r="C488">
        <v>63.588000000000001</v>
      </c>
      <c r="D488">
        <v>63.588000000000001</v>
      </c>
      <c r="E488">
        <v>63.588000000000001</v>
      </c>
      <c r="F488" s="23">
        <f t="shared" si="7"/>
        <v>5.9959815849008492E-3</v>
      </c>
    </row>
    <row r="489" spans="1:6" x14ac:dyDescent="0.35">
      <c r="A489" s="22">
        <v>45183</v>
      </c>
      <c r="B489">
        <v>63.853999999999999</v>
      </c>
      <c r="C489">
        <v>63.853999999999999</v>
      </c>
      <c r="D489">
        <v>63.853999999999999</v>
      </c>
      <c r="E489">
        <v>63.853999999999999</v>
      </c>
      <c r="F489" s="23">
        <f t="shared" si="7"/>
        <v>4.1831792162042875E-3</v>
      </c>
    </row>
    <row r="490" spans="1:6" x14ac:dyDescent="0.35">
      <c r="A490" s="22">
        <v>45184</v>
      </c>
      <c r="B490">
        <v>63.786999999999999</v>
      </c>
      <c r="C490">
        <v>63.786999999999999</v>
      </c>
      <c r="D490">
        <v>63.786999999999999</v>
      </c>
      <c r="E490">
        <v>63.786999999999999</v>
      </c>
      <c r="F490" s="23">
        <f t="shared" si="7"/>
        <v>-1.0492686440943429E-3</v>
      </c>
    </row>
    <row r="491" spans="1:6" x14ac:dyDescent="0.35">
      <c r="A491" s="22">
        <v>45187</v>
      </c>
      <c r="B491">
        <v>63.877000000000002</v>
      </c>
      <c r="C491">
        <v>63.877000000000002</v>
      </c>
      <c r="D491">
        <v>63.877000000000002</v>
      </c>
      <c r="E491">
        <v>63.877000000000002</v>
      </c>
      <c r="F491" s="23">
        <f t="shared" si="7"/>
        <v>1.410945804004004E-3</v>
      </c>
    </row>
    <row r="492" spans="1:6" x14ac:dyDescent="0.35">
      <c r="A492" s="22">
        <v>45189</v>
      </c>
      <c r="B492">
        <v>63.334000000000003</v>
      </c>
      <c r="C492">
        <v>63.334000000000003</v>
      </c>
      <c r="D492">
        <v>63.334000000000003</v>
      </c>
      <c r="E492">
        <v>63.334000000000003</v>
      </c>
      <c r="F492" s="23">
        <f t="shared" si="7"/>
        <v>-8.5007123064639728E-3</v>
      </c>
    </row>
    <row r="493" spans="1:6" x14ac:dyDescent="0.35">
      <c r="A493" s="22">
        <v>45190</v>
      </c>
      <c r="B493">
        <v>62.731000000000002</v>
      </c>
      <c r="C493">
        <v>62.731000000000002</v>
      </c>
      <c r="D493">
        <v>62.731000000000002</v>
      </c>
      <c r="E493">
        <v>62.731000000000002</v>
      </c>
      <c r="F493" s="23">
        <f t="shared" si="7"/>
        <v>-9.5209524110272756E-3</v>
      </c>
    </row>
    <row r="494" spans="1:6" x14ac:dyDescent="0.35">
      <c r="A494" s="22">
        <v>45191</v>
      </c>
      <c r="B494">
        <v>62.59</v>
      </c>
      <c r="C494">
        <v>62.59</v>
      </c>
      <c r="D494">
        <v>62.59</v>
      </c>
      <c r="E494">
        <v>62.59</v>
      </c>
      <c r="F494" s="23">
        <f t="shared" si="7"/>
        <v>-2.2476925284149502E-3</v>
      </c>
    </row>
    <row r="495" spans="1:6" x14ac:dyDescent="0.35">
      <c r="A495" s="22">
        <v>45194</v>
      </c>
      <c r="B495">
        <v>62.735999999999997</v>
      </c>
      <c r="C495">
        <v>62.735999999999997</v>
      </c>
      <c r="D495">
        <v>62.735999999999997</v>
      </c>
      <c r="E495">
        <v>62.735999999999997</v>
      </c>
      <c r="F495" s="23">
        <f t="shared" si="7"/>
        <v>2.3326409969642702E-3</v>
      </c>
    </row>
    <row r="496" spans="1:6" x14ac:dyDescent="0.35">
      <c r="A496" s="22">
        <v>45195</v>
      </c>
      <c r="B496">
        <v>62.515999999999998</v>
      </c>
      <c r="C496">
        <v>62.515999999999998</v>
      </c>
      <c r="D496">
        <v>62.515999999999998</v>
      </c>
      <c r="E496">
        <v>62.515999999999998</v>
      </c>
      <c r="F496" s="23">
        <f t="shared" si="7"/>
        <v>-3.5067584799795791E-3</v>
      </c>
    </row>
    <row r="497" spans="1:6" x14ac:dyDescent="0.35">
      <c r="A497" s="22">
        <v>45196</v>
      </c>
      <c r="B497">
        <v>62.765999999999998</v>
      </c>
      <c r="C497">
        <v>62.765999999999998</v>
      </c>
      <c r="D497">
        <v>62.765999999999998</v>
      </c>
      <c r="E497">
        <v>62.765999999999998</v>
      </c>
      <c r="F497" s="23">
        <f t="shared" si="7"/>
        <v>3.9989762620769084E-3</v>
      </c>
    </row>
    <row r="498" spans="1:6" x14ac:dyDescent="0.35">
      <c r="A498" s="22">
        <v>45198</v>
      </c>
      <c r="B498">
        <v>62.84</v>
      </c>
      <c r="C498">
        <v>62.84</v>
      </c>
      <c r="D498">
        <v>62.84</v>
      </c>
      <c r="E498">
        <v>62.84</v>
      </c>
      <c r="F498" s="23">
        <f t="shared" si="7"/>
        <v>1.1789822515375391E-3</v>
      </c>
    </row>
    <row r="499" spans="1:6" x14ac:dyDescent="0.35">
      <c r="A499" s="22">
        <v>45202</v>
      </c>
      <c r="B499">
        <v>62.494</v>
      </c>
      <c r="C499">
        <v>62.494</v>
      </c>
      <c r="D499">
        <v>62.494</v>
      </c>
      <c r="E499">
        <v>62.494</v>
      </c>
      <c r="F499" s="23">
        <f t="shared" si="7"/>
        <v>-5.5060471037556274E-3</v>
      </c>
    </row>
    <row r="500" spans="1:6" x14ac:dyDescent="0.35">
      <c r="A500" s="22">
        <v>45203</v>
      </c>
      <c r="B500">
        <v>62.173000000000002</v>
      </c>
      <c r="C500">
        <v>62.173000000000002</v>
      </c>
      <c r="D500">
        <v>62.173000000000002</v>
      </c>
      <c r="E500">
        <v>62.173000000000002</v>
      </c>
      <c r="F500" s="23">
        <f t="shared" si="7"/>
        <v>-5.1364931033378875E-3</v>
      </c>
    </row>
    <row r="501" spans="1:6" x14ac:dyDescent="0.35">
      <c r="A501" s="22">
        <v>45204</v>
      </c>
      <c r="B501">
        <v>62.256</v>
      </c>
      <c r="C501">
        <v>62.256</v>
      </c>
      <c r="D501">
        <v>62.256</v>
      </c>
      <c r="E501">
        <v>62.256</v>
      </c>
      <c r="F501" s="23">
        <f t="shared" si="7"/>
        <v>1.3349846396345424E-3</v>
      </c>
    </row>
    <row r="502" spans="1:6" x14ac:dyDescent="0.35">
      <c r="A502" s="22">
        <v>45205</v>
      </c>
      <c r="B502">
        <v>62.746000000000002</v>
      </c>
      <c r="C502">
        <v>62.746000000000002</v>
      </c>
      <c r="D502">
        <v>62.746000000000002</v>
      </c>
      <c r="E502">
        <v>62.746000000000002</v>
      </c>
      <c r="F502" s="23">
        <f t="shared" si="7"/>
        <v>7.8707273194551855E-3</v>
      </c>
    </row>
    <row r="503" spans="1:6" x14ac:dyDescent="0.35">
      <c r="A503" s="22">
        <v>45208</v>
      </c>
      <c r="B503">
        <v>62.597000000000001</v>
      </c>
      <c r="C503">
        <v>62.597000000000001</v>
      </c>
      <c r="D503">
        <v>62.597000000000001</v>
      </c>
      <c r="E503">
        <v>62.597000000000001</v>
      </c>
      <c r="F503" s="23">
        <f t="shared" si="7"/>
        <v>-2.3746533643579019E-3</v>
      </c>
    </row>
    <row r="504" spans="1:6" x14ac:dyDescent="0.35">
      <c r="A504" s="22">
        <v>45209</v>
      </c>
      <c r="B504">
        <v>63.171999999999997</v>
      </c>
      <c r="C504">
        <v>63.171999999999997</v>
      </c>
      <c r="D504">
        <v>63.171999999999997</v>
      </c>
      <c r="E504">
        <v>63.171999999999997</v>
      </c>
      <c r="F504" s="23">
        <f t="shared" si="7"/>
        <v>9.185743725737586E-3</v>
      </c>
    </row>
    <row r="505" spans="1:6" x14ac:dyDescent="0.35">
      <c r="A505" s="22">
        <v>45210</v>
      </c>
      <c r="B505">
        <v>63.527999999999999</v>
      </c>
      <c r="C505">
        <v>63.527999999999999</v>
      </c>
      <c r="D505">
        <v>63.527999999999999</v>
      </c>
      <c r="E505">
        <v>63.527999999999999</v>
      </c>
      <c r="F505" s="23">
        <f t="shared" si="7"/>
        <v>5.6354080921927696E-3</v>
      </c>
    </row>
    <row r="506" spans="1:6" x14ac:dyDescent="0.35">
      <c r="A506" s="22">
        <v>45211</v>
      </c>
      <c r="B506">
        <v>63.695</v>
      </c>
      <c r="C506">
        <v>63.695</v>
      </c>
      <c r="D506">
        <v>63.695</v>
      </c>
      <c r="E506">
        <v>63.695</v>
      </c>
      <c r="F506" s="23">
        <f t="shared" si="7"/>
        <v>2.6287621206397432E-3</v>
      </c>
    </row>
    <row r="507" spans="1:6" x14ac:dyDescent="0.35">
      <c r="A507" s="22">
        <v>45212</v>
      </c>
      <c r="B507">
        <v>63.526000000000003</v>
      </c>
      <c r="C507">
        <v>63.526000000000003</v>
      </c>
      <c r="D507">
        <v>63.526000000000003</v>
      </c>
      <c r="E507">
        <v>63.526000000000003</v>
      </c>
      <c r="F507" s="23">
        <f t="shared" si="7"/>
        <v>-2.6532694874008469E-3</v>
      </c>
    </row>
    <row r="508" spans="1:6" x14ac:dyDescent="0.35">
      <c r="A508" s="22">
        <v>45215</v>
      </c>
      <c r="B508">
        <v>63.898000000000003</v>
      </c>
      <c r="C508">
        <v>63.898000000000003</v>
      </c>
      <c r="D508">
        <v>63.898000000000003</v>
      </c>
      <c r="E508">
        <v>63.898000000000003</v>
      </c>
      <c r="F508" s="23">
        <f t="shared" si="7"/>
        <v>5.855870037464973E-3</v>
      </c>
    </row>
    <row r="509" spans="1:6" x14ac:dyDescent="0.35">
      <c r="A509" s="22">
        <v>45216</v>
      </c>
      <c r="B509">
        <v>64.207999999999998</v>
      </c>
      <c r="C509">
        <v>64.207999999999998</v>
      </c>
      <c r="D509">
        <v>64.207999999999998</v>
      </c>
      <c r="E509">
        <v>64.207999999999998</v>
      </c>
      <c r="F509" s="23">
        <f t="shared" si="7"/>
        <v>4.8514820495163405E-3</v>
      </c>
    </row>
    <row r="510" spans="1:6" x14ac:dyDescent="0.35">
      <c r="A510" s="22">
        <v>45217</v>
      </c>
      <c r="B510">
        <v>63.801000000000002</v>
      </c>
      <c r="C510">
        <v>63.801000000000002</v>
      </c>
      <c r="D510">
        <v>63.801000000000002</v>
      </c>
      <c r="E510">
        <v>63.801000000000002</v>
      </c>
      <c r="F510" s="23">
        <f t="shared" si="7"/>
        <v>-6.3387739845501574E-3</v>
      </c>
    </row>
    <row r="511" spans="1:6" x14ac:dyDescent="0.35">
      <c r="A511" s="22">
        <v>45218</v>
      </c>
      <c r="B511">
        <v>63.655000000000001</v>
      </c>
      <c r="C511">
        <v>63.655000000000001</v>
      </c>
      <c r="D511">
        <v>63.655000000000001</v>
      </c>
      <c r="E511">
        <v>63.655000000000001</v>
      </c>
      <c r="F511" s="23">
        <f t="shared" si="7"/>
        <v>-2.288365386122487E-3</v>
      </c>
    </row>
    <row r="512" spans="1:6" x14ac:dyDescent="0.35">
      <c r="A512" s="22">
        <v>45219</v>
      </c>
      <c r="B512">
        <v>63.292000000000002</v>
      </c>
      <c r="C512">
        <v>63.292000000000002</v>
      </c>
      <c r="D512">
        <v>63.292000000000002</v>
      </c>
      <c r="E512">
        <v>63.292000000000002</v>
      </c>
      <c r="F512" s="23">
        <f t="shared" si="7"/>
        <v>-5.7026156625559583E-3</v>
      </c>
    </row>
    <row r="513" spans="1:6" x14ac:dyDescent="0.35">
      <c r="A513" s="22">
        <v>45222</v>
      </c>
      <c r="B513">
        <v>62.826999999999998</v>
      </c>
      <c r="C513">
        <v>62.826999999999998</v>
      </c>
      <c r="D513">
        <v>62.826999999999998</v>
      </c>
      <c r="E513">
        <v>62.826999999999998</v>
      </c>
      <c r="F513" s="23">
        <f t="shared" si="7"/>
        <v>-7.3469000821589367E-3</v>
      </c>
    </row>
    <row r="514" spans="1:6" x14ac:dyDescent="0.35">
      <c r="A514" s="22">
        <v>45224</v>
      </c>
      <c r="B514">
        <v>62.262</v>
      </c>
      <c r="C514">
        <v>62.262</v>
      </c>
      <c r="D514">
        <v>62.262</v>
      </c>
      <c r="E514">
        <v>62.262</v>
      </c>
      <c r="F514" s="23">
        <f t="shared" si="7"/>
        <v>-8.9929488914001574E-3</v>
      </c>
    </row>
    <row r="515" spans="1:6" x14ac:dyDescent="0.35">
      <c r="A515" s="22">
        <v>45225</v>
      </c>
      <c r="B515">
        <v>61.563000000000002</v>
      </c>
      <c r="C515">
        <v>61.563000000000002</v>
      </c>
      <c r="D515">
        <v>61.563000000000002</v>
      </c>
      <c r="E515">
        <v>61.563000000000002</v>
      </c>
      <c r="F515" s="23">
        <f t="shared" ref="F515:F578" si="8">(B515-B514)/B514</f>
        <v>-1.1226751469596192E-2</v>
      </c>
    </row>
    <row r="516" spans="1:6" x14ac:dyDescent="0.35">
      <c r="A516" s="22">
        <v>45226</v>
      </c>
      <c r="B516">
        <v>62.360999999999997</v>
      </c>
      <c r="C516">
        <v>62.360999999999997</v>
      </c>
      <c r="D516">
        <v>62.360999999999997</v>
      </c>
      <c r="E516">
        <v>62.360999999999997</v>
      </c>
      <c r="F516" s="23">
        <f t="shared" si="8"/>
        <v>1.2962331270405839E-2</v>
      </c>
    </row>
    <row r="517" spans="1:6" x14ac:dyDescent="0.35">
      <c r="A517" s="22">
        <v>45229</v>
      </c>
      <c r="B517">
        <v>62.713000000000001</v>
      </c>
      <c r="C517">
        <v>62.713000000000001</v>
      </c>
      <c r="D517">
        <v>62.713000000000001</v>
      </c>
      <c r="E517">
        <v>62.713000000000001</v>
      </c>
      <c r="F517" s="23">
        <f t="shared" si="8"/>
        <v>5.6445534869550501E-3</v>
      </c>
    </row>
    <row r="518" spans="1:6" x14ac:dyDescent="0.35">
      <c r="A518" s="22">
        <v>45230</v>
      </c>
      <c r="B518">
        <v>62.807000000000002</v>
      </c>
      <c r="C518">
        <v>62.807000000000002</v>
      </c>
      <c r="D518">
        <v>62.807000000000002</v>
      </c>
      <c r="E518">
        <v>62.807000000000002</v>
      </c>
      <c r="F518" s="23">
        <f t="shared" si="8"/>
        <v>1.4988917768246008E-3</v>
      </c>
    </row>
    <row r="519" spans="1:6" x14ac:dyDescent="0.35">
      <c r="A519" s="22">
        <v>45231</v>
      </c>
      <c r="B519">
        <v>62.719000000000001</v>
      </c>
      <c r="C519">
        <v>62.719000000000001</v>
      </c>
      <c r="D519">
        <v>62.719000000000001</v>
      </c>
      <c r="E519">
        <v>62.719000000000001</v>
      </c>
      <c r="F519" s="23">
        <f t="shared" si="8"/>
        <v>-1.4011177098094314E-3</v>
      </c>
    </row>
    <row r="520" spans="1:6" x14ac:dyDescent="0.35">
      <c r="A520" s="22">
        <v>45232</v>
      </c>
      <c r="B520">
        <v>63.095999999999997</v>
      </c>
      <c r="C520">
        <v>63.095999999999997</v>
      </c>
      <c r="D520">
        <v>63.095999999999997</v>
      </c>
      <c r="E520">
        <v>63.095999999999997</v>
      </c>
      <c r="F520" s="23">
        <f t="shared" si="8"/>
        <v>6.0109376743888668E-3</v>
      </c>
    </row>
    <row r="521" spans="1:6" x14ac:dyDescent="0.35">
      <c r="A521" s="22">
        <v>45233</v>
      </c>
      <c r="B521">
        <v>63.511000000000003</v>
      </c>
      <c r="C521">
        <v>63.511000000000003</v>
      </c>
      <c r="D521">
        <v>63.511000000000003</v>
      </c>
      <c r="E521">
        <v>63.511000000000003</v>
      </c>
      <c r="F521" s="23">
        <f t="shared" si="8"/>
        <v>6.5772790668189151E-3</v>
      </c>
    </row>
    <row r="522" spans="1:6" x14ac:dyDescent="0.35">
      <c r="A522" s="22">
        <v>45236</v>
      </c>
      <c r="B522">
        <v>64.040000000000006</v>
      </c>
      <c r="C522">
        <v>64.040000000000006</v>
      </c>
      <c r="D522">
        <v>64.040000000000006</v>
      </c>
      <c r="E522">
        <v>64.040000000000006</v>
      </c>
      <c r="F522" s="23">
        <f t="shared" si="8"/>
        <v>8.3292657964762554E-3</v>
      </c>
    </row>
    <row r="523" spans="1:6" x14ac:dyDescent="0.35">
      <c r="A523" s="22">
        <v>45237</v>
      </c>
      <c r="B523">
        <v>64.286000000000001</v>
      </c>
      <c r="C523">
        <v>64.286000000000001</v>
      </c>
      <c r="D523">
        <v>64.286000000000001</v>
      </c>
      <c r="E523">
        <v>64.286000000000001</v>
      </c>
      <c r="F523" s="23">
        <f t="shared" si="8"/>
        <v>3.8413491567769378E-3</v>
      </c>
    </row>
    <row r="524" spans="1:6" x14ac:dyDescent="0.35">
      <c r="A524" s="22">
        <v>45238</v>
      </c>
      <c r="B524">
        <v>64.486999999999995</v>
      </c>
      <c r="C524">
        <v>64.486999999999995</v>
      </c>
      <c r="D524">
        <v>64.486999999999995</v>
      </c>
      <c r="E524">
        <v>64.486999999999995</v>
      </c>
      <c r="F524" s="23">
        <f t="shared" si="8"/>
        <v>3.1266527704320287E-3</v>
      </c>
    </row>
    <row r="525" spans="1:6" x14ac:dyDescent="0.35">
      <c r="A525" s="22">
        <v>45239</v>
      </c>
      <c r="B525">
        <v>64.441999999999993</v>
      </c>
      <c r="C525">
        <v>64.441999999999993</v>
      </c>
      <c r="D525">
        <v>64.441999999999993</v>
      </c>
      <c r="E525">
        <v>64.441999999999993</v>
      </c>
      <c r="F525" s="23">
        <f t="shared" si="8"/>
        <v>-6.9781506350119731E-4</v>
      </c>
    </row>
    <row r="526" spans="1:6" x14ac:dyDescent="0.35">
      <c r="A526" s="22">
        <v>45240</v>
      </c>
      <c r="B526">
        <v>64.903000000000006</v>
      </c>
      <c r="C526">
        <v>64.903000000000006</v>
      </c>
      <c r="D526">
        <v>64.903000000000006</v>
      </c>
      <c r="E526">
        <v>64.903000000000006</v>
      </c>
      <c r="F526" s="23">
        <f t="shared" si="8"/>
        <v>7.1537196238479995E-3</v>
      </c>
    </row>
    <row r="527" spans="1:6" x14ac:dyDescent="0.35">
      <c r="A527" s="22">
        <v>45243</v>
      </c>
      <c r="B527">
        <v>65.387</v>
      </c>
      <c r="C527">
        <v>65.387</v>
      </c>
      <c r="D527">
        <v>65.387</v>
      </c>
      <c r="E527">
        <v>65.387</v>
      </c>
      <c r="F527" s="23">
        <f t="shared" si="8"/>
        <v>7.4572824060520253E-3</v>
      </c>
    </row>
    <row r="528" spans="1:6" x14ac:dyDescent="0.35">
      <c r="A528" s="22">
        <v>45245</v>
      </c>
      <c r="B528">
        <v>65.936999999999998</v>
      </c>
      <c r="C528">
        <v>65.936999999999998</v>
      </c>
      <c r="D528">
        <v>65.936999999999998</v>
      </c>
      <c r="E528">
        <v>65.936999999999998</v>
      </c>
      <c r="F528" s="23">
        <f t="shared" si="8"/>
        <v>8.4114579350635012E-3</v>
      </c>
    </row>
    <row r="529" spans="1:6" x14ac:dyDescent="0.35">
      <c r="A529" s="22">
        <v>45246</v>
      </c>
      <c r="B529">
        <v>66.078000000000003</v>
      </c>
      <c r="C529">
        <v>66.078000000000003</v>
      </c>
      <c r="D529">
        <v>66.078000000000003</v>
      </c>
      <c r="E529">
        <v>66.078000000000003</v>
      </c>
      <c r="F529" s="23">
        <f t="shared" si="8"/>
        <v>2.1384048409846573E-3</v>
      </c>
    </row>
    <row r="530" spans="1:6" x14ac:dyDescent="0.35">
      <c r="A530" s="22">
        <v>45247</v>
      </c>
      <c r="B530">
        <v>66.025000000000006</v>
      </c>
      <c r="C530">
        <v>66.025000000000006</v>
      </c>
      <c r="D530">
        <v>66.025000000000006</v>
      </c>
      <c r="E530">
        <v>66.025000000000006</v>
      </c>
      <c r="F530" s="23">
        <f t="shared" si="8"/>
        <v>-8.0208238748141997E-4</v>
      </c>
    </row>
    <row r="531" spans="1:6" x14ac:dyDescent="0.35">
      <c r="A531" s="22">
        <v>45250</v>
      </c>
      <c r="B531">
        <v>66.012</v>
      </c>
      <c r="C531">
        <v>66.012</v>
      </c>
      <c r="D531">
        <v>66.012</v>
      </c>
      <c r="E531">
        <v>66.012</v>
      </c>
      <c r="F531" s="23">
        <f t="shared" si="8"/>
        <v>-1.9689511548663731E-4</v>
      </c>
    </row>
    <row r="532" spans="1:6" x14ac:dyDescent="0.35">
      <c r="A532" s="22">
        <v>45251</v>
      </c>
      <c r="B532">
        <v>66.069999999999993</v>
      </c>
      <c r="C532">
        <v>66.069999999999993</v>
      </c>
      <c r="D532">
        <v>66.069999999999993</v>
      </c>
      <c r="E532">
        <v>66.069999999999993</v>
      </c>
      <c r="F532" s="23">
        <f t="shared" si="8"/>
        <v>8.786281282190015E-4</v>
      </c>
    </row>
    <row r="533" spans="1:6" x14ac:dyDescent="0.35">
      <c r="A533" s="22">
        <v>45252</v>
      </c>
      <c r="B533">
        <v>66.238</v>
      </c>
      <c r="C533">
        <v>66.238</v>
      </c>
      <c r="D533">
        <v>66.238</v>
      </c>
      <c r="E533">
        <v>66.238</v>
      </c>
      <c r="F533" s="23">
        <f t="shared" si="8"/>
        <v>2.5427576812472588E-3</v>
      </c>
    </row>
    <row r="534" spans="1:6" x14ac:dyDescent="0.35">
      <c r="A534" s="22">
        <v>45253</v>
      </c>
      <c r="B534">
        <v>66.361999999999995</v>
      </c>
      <c r="C534">
        <v>66.361999999999995</v>
      </c>
      <c r="D534">
        <v>66.361999999999995</v>
      </c>
      <c r="E534">
        <v>66.361999999999995</v>
      </c>
      <c r="F534" s="23">
        <f t="shared" si="8"/>
        <v>1.8720371991907247E-3</v>
      </c>
    </row>
    <row r="535" spans="1:6" x14ac:dyDescent="0.35">
      <c r="A535" s="22">
        <v>45254</v>
      </c>
      <c r="B535">
        <v>66.352000000000004</v>
      </c>
      <c r="C535">
        <v>66.352000000000004</v>
      </c>
      <c r="D535">
        <v>66.352000000000004</v>
      </c>
      <c r="E535">
        <v>66.352000000000004</v>
      </c>
      <c r="F535" s="23">
        <f t="shared" si="8"/>
        <v>-1.5068864711718913E-4</v>
      </c>
    </row>
    <row r="536" spans="1:6" x14ac:dyDescent="0.35">
      <c r="A536" s="22">
        <v>45258</v>
      </c>
      <c r="B536">
        <v>66.650999999999996</v>
      </c>
      <c r="C536">
        <v>66.650999999999996</v>
      </c>
      <c r="D536">
        <v>66.650999999999996</v>
      </c>
      <c r="E536">
        <v>66.650999999999996</v>
      </c>
      <c r="F536" s="23">
        <f t="shared" si="8"/>
        <v>4.5062695924763738E-3</v>
      </c>
    </row>
    <row r="537" spans="1:6" x14ac:dyDescent="0.35">
      <c r="A537" s="22">
        <v>45259</v>
      </c>
      <c r="B537">
        <v>66.951999999999998</v>
      </c>
      <c r="C537">
        <v>66.951999999999998</v>
      </c>
      <c r="D537">
        <v>66.951999999999998</v>
      </c>
      <c r="E537">
        <v>66.951999999999998</v>
      </c>
      <c r="F537" s="23">
        <f t="shared" si="8"/>
        <v>4.5160612743995136E-3</v>
      </c>
    </row>
    <row r="538" spans="1:6" x14ac:dyDescent="0.35">
      <c r="A538" s="22">
        <v>45260</v>
      </c>
      <c r="B538">
        <v>67.007000000000005</v>
      </c>
      <c r="C538">
        <v>67.007000000000005</v>
      </c>
      <c r="D538">
        <v>67.007000000000005</v>
      </c>
      <c r="E538">
        <v>67.007000000000005</v>
      </c>
      <c r="F538" s="23">
        <f t="shared" si="8"/>
        <v>8.214840482734918E-4</v>
      </c>
    </row>
    <row r="539" spans="1:6" x14ac:dyDescent="0.35">
      <c r="A539" s="22">
        <v>45261</v>
      </c>
      <c r="B539">
        <v>67.179000000000002</v>
      </c>
      <c r="C539">
        <v>67.179000000000002</v>
      </c>
      <c r="D539">
        <v>67.179000000000002</v>
      </c>
      <c r="E539">
        <v>67.179000000000002</v>
      </c>
      <c r="F539" s="23">
        <f t="shared" si="8"/>
        <v>2.5668959959406785E-3</v>
      </c>
    </row>
    <row r="540" spans="1:6" x14ac:dyDescent="0.35">
      <c r="A540" s="22">
        <v>45264</v>
      </c>
      <c r="B540">
        <v>67.980999999999995</v>
      </c>
      <c r="C540">
        <v>67.980999999999995</v>
      </c>
      <c r="D540">
        <v>67.980999999999995</v>
      </c>
      <c r="E540">
        <v>67.980999999999995</v>
      </c>
      <c r="F540" s="23">
        <f t="shared" si="8"/>
        <v>1.1938254514059341E-2</v>
      </c>
    </row>
    <row r="541" spans="1:6" x14ac:dyDescent="0.35">
      <c r="A541" s="22">
        <v>45266</v>
      </c>
      <c r="B541">
        <v>68.388999999999996</v>
      </c>
      <c r="C541">
        <v>68.388999999999996</v>
      </c>
      <c r="D541">
        <v>68.388999999999996</v>
      </c>
      <c r="E541">
        <v>68.388999999999996</v>
      </c>
      <c r="F541" s="23">
        <f t="shared" si="8"/>
        <v>6.0016769391447802E-3</v>
      </c>
    </row>
    <row r="542" spans="1:6" x14ac:dyDescent="0.35">
      <c r="A542" s="22">
        <v>45267</v>
      </c>
      <c r="B542">
        <v>68.991</v>
      </c>
      <c r="C542">
        <v>68.991</v>
      </c>
      <c r="D542">
        <v>68.991</v>
      </c>
      <c r="E542">
        <v>68.991</v>
      </c>
      <c r="F542" s="23">
        <f t="shared" si="8"/>
        <v>8.8025852110720122E-3</v>
      </c>
    </row>
    <row r="543" spans="1:6" x14ac:dyDescent="0.35">
      <c r="A543" s="22">
        <v>45268</v>
      </c>
      <c r="B543">
        <v>68.954999999999998</v>
      </c>
      <c r="C543">
        <v>68.954999999999998</v>
      </c>
      <c r="D543">
        <v>68.954999999999998</v>
      </c>
      <c r="E543">
        <v>68.954999999999998</v>
      </c>
      <c r="F543" s="23">
        <f t="shared" si="8"/>
        <v>-5.2180719224248614E-4</v>
      </c>
    </row>
    <row r="544" spans="1:6" x14ac:dyDescent="0.35">
      <c r="A544" s="22">
        <v>45271</v>
      </c>
      <c r="B544">
        <v>68.778000000000006</v>
      </c>
      <c r="C544">
        <v>68.778000000000006</v>
      </c>
      <c r="D544">
        <v>68.778000000000006</v>
      </c>
      <c r="E544">
        <v>68.778000000000006</v>
      </c>
      <c r="F544" s="23">
        <f t="shared" si="8"/>
        <v>-2.5668914509461606E-3</v>
      </c>
    </row>
    <row r="545" spans="1:6" x14ac:dyDescent="0.35">
      <c r="A545" s="22">
        <v>45272</v>
      </c>
      <c r="B545">
        <v>68.715999999999994</v>
      </c>
      <c r="C545">
        <v>68.715999999999994</v>
      </c>
      <c r="D545">
        <v>68.715999999999994</v>
      </c>
      <c r="E545">
        <v>68.715999999999994</v>
      </c>
      <c r="F545" s="23">
        <f t="shared" si="8"/>
        <v>-9.0145104539259382E-4</v>
      </c>
    </row>
    <row r="546" spans="1:6" x14ac:dyDescent="0.35">
      <c r="A546" s="22">
        <v>45273</v>
      </c>
      <c r="B546">
        <v>69.147000000000006</v>
      </c>
      <c r="C546">
        <v>69.147000000000006</v>
      </c>
      <c r="D546">
        <v>69.147000000000006</v>
      </c>
      <c r="E546">
        <v>69.147000000000006</v>
      </c>
      <c r="F546" s="23">
        <f t="shared" si="8"/>
        <v>6.2721927935271496E-3</v>
      </c>
    </row>
    <row r="547" spans="1:6" x14ac:dyDescent="0.35">
      <c r="A547" s="22">
        <v>45274</v>
      </c>
      <c r="B547">
        <v>69.441999999999993</v>
      </c>
      <c r="C547">
        <v>69.441999999999993</v>
      </c>
      <c r="D547">
        <v>69.441999999999993</v>
      </c>
      <c r="E547">
        <v>69.441999999999993</v>
      </c>
      <c r="F547" s="23">
        <f t="shared" si="8"/>
        <v>4.2662733018061158E-3</v>
      </c>
    </row>
    <row r="548" spans="1:6" x14ac:dyDescent="0.35">
      <c r="A548" s="22">
        <v>45275</v>
      </c>
      <c r="B548">
        <v>69.585999999999999</v>
      </c>
      <c r="C548">
        <v>69.585999999999999</v>
      </c>
      <c r="D548">
        <v>69.585999999999999</v>
      </c>
      <c r="E548">
        <v>69.585999999999999</v>
      </c>
      <c r="F548" s="23">
        <f t="shared" si="8"/>
        <v>2.0736729932894424E-3</v>
      </c>
    </row>
    <row r="549" spans="1:6" x14ac:dyDescent="0.35">
      <c r="A549" s="22">
        <v>45278</v>
      </c>
      <c r="B549">
        <v>69.614000000000004</v>
      </c>
      <c r="C549">
        <v>69.614000000000004</v>
      </c>
      <c r="D549">
        <v>69.614000000000004</v>
      </c>
      <c r="E549">
        <v>69.614000000000004</v>
      </c>
      <c r="F549" s="23">
        <f t="shared" si="8"/>
        <v>4.023797890381082E-4</v>
      </c>
    </row>
    <row r="550" spans="1:6" x14ac:dyDescent="0.35">
      <c r="A550" s="22">
        <v>45279</v>
      </c>
      <c r="B550">
        <v>69.843999999999994</v>
      </c>
      <c r="C550">
        <v>69.843999999999994</v>
      </c>
      <c r="D550">
        <v>69.843999999999994</v>
      </c>
      <c r="E550">
        <v>69.843999999999994</v>
      </c>
      <c r="F550" s="23">
        <f t="shared" si="8"/>
        <v>3.3039331169016253E-3</v>
      </c>
    </row>
    <row r="551" spans="1:6" x14ac:dyDescent="0.35">
      <c r="A551" s="22">
        <v>45280</v>
      </c>
      <c r="B551">
        <v>68.903000000000006</v>
      </c>
      <c r="C551">
        <v>68.903000000000006</v>
      </c>
      <c r="D551">
        <v>68.903000000000006</v>
      </c>
      <c r="E551">
        <v>68.903000000000006</v>
      </c>
      <c r="F551" s="23">
        <f t="shared" si="8"/>
        <v>-1.3472882423686907E-2</v>
      </c>
    </row>
    <row r="552" spans="1:6" x14ac:dyDescent="0.35">
      <c r="A552" s="22">
        <v>45281</v>
      </c>
      <c r="B552">
        <v>69.277000000000001</v>
      </c>
      <c r="C552">
        <v>69.277000000000001</v>
      </c>
      <c r="D552">
        <v>69.277000000000001</v>
      </c>
      <c r="E552">
        <v>69.277000000000001</v>
      </c>
      <c r="F552" s="23">
        <f t="shared" si="8"/>
        <v>5.4279204098514611E-3</v>
      </c>
    </row>
    <row r="553" spans="1:6" x14ac:dyDescent="0.35">
      <c r="A553" s="22">
        <v>45282</v>
      </c>
      <c r="B553">
        <v>69.605000000000004</v>
      </c>
      <c r="C553">
        <v>69.605000000000004</v>
      </c>
      <c r="D553">
        <v>69.605000000000004</v>
      </c>
      <c r="E553">
        <v>69.605000000000004</v>
      </c>
      <c r="F553" s="23">
        <f t="shared" si="8"/>
        <v>4.7346161063556869E-3</v>
      </c>
    </row>
    <row r="554" spans="1:6" x14ac:dyDescent="0.35">
      <c r="A554" s="22">
        <v>45286</v>
      </c>
      <c r="B554">
        <v>69.834999999999994</v>
      </c>
      <c r="C554">
        <v>69.834999999999994</v>
      </c>
      <c r="D554">
        <v>69.834999999999994</v>
      </c>
      <c r="E554">
        <v>69.834999999999994</v>
      </c>
      <c r="F554" s="23">
        <f t="shared" si="8"/>
        <v>3.3043603189424576E-3</v>
      </c>
    </row>
    <row r="555" spans="1:6" x14ac:dyDescent="0.35">
      <c r="A555" s="22">
        <v>45287</v>
      </c>
      <c r="B555">
        <v>70.05</v>
      </c>
      <c r="C555">
        <v>70.05</v>
      </c>
      <c r="D555">
        <v>70.05</v>
      </c>
      <c r="E555">
        <v>70.05</v>
      </c>
      <c r="F555" s="23">
        <f t="shared" si="8"/>
        <v>3.0786854729004574E-3</v>
      </c>
    </row>
    <row r="556" spans="1:6" x14ac:dyDescent="0.35">
      <c r="A556" s="22">
        <v>45288</v>
      </c>
      <c r="B556">
        <v>70.352000000000004</v>
      </c>
      <c r="C556">
        <v>70.352000000000004</v>
      </c>
      <c r="D556">
        <v>70.352000000000004</v>
      </c>
      <c r="E556">
        <v>70.352000000000004</v>
      </c>
      <c r="F556" s="23">
        <f t="shared" si="8"/>
        <v>4.3112062812277908E-3</v>
      </c>
    </row>
    <row r="557" spans="1:6" x14ac:dyDescent="0.35">
      <c r="A557" s="22">
        <v>45289</v>
      </c>
      <c r="B557">
        <v>70.242999999999995</v>
      </c>
      <c r="C557">
        <v>70.242999999999995</v>
      </c>
      <c r="D557">
        <v>70.242999999999995</v>
      </c>
      <c r="E557">
        <v>70.242999999999995</v>
      </c>
      <c r="F557" s="23">
        <f t="shared" si="8"/>
        <v>-1.5493518307938489E-3</v>
      </c>
    </row>
    <row r="558" spans="1:6" x14ac:dyDescent="0.35">
      <c r="A558" s="22">
        <v>45292</v>
      </c>
      <c r="B558">
        <v>70.462000000000003</v>
      </c>
      <c r="C558">
        <v>70.462000000000003</v>
      </c>
      <c r="D558">
        <v>70.462000000000003</v>
      </c>
      <c r="E558">
        <v>70.462000000000003</v>
      </c>
      <c r="F558" s="23">
        <f t="shared" si="8"/>
        <v>3.1177483877398221E-3</v>
      </c>
    </row>
    <row r="559" spans="1:6" x14ac:dyDescent="0.35">
      <c r="A559" s="22">
        <v>45293</v>
      </c>
      <c r="B559">
        <v>70.328000000000003</v>
      </c>
      <c r="C559">
        <v>70.328000000000003</v>
      </c>
      <c r="D559">
        <v>70.328000000000003</v>
      </c>
      <c r="E559">
        <v>70.328000000000003</v>
      </c>
      <c r="F559" s="23">
        <f t="shared" si="8"/>
        <v>-1.9017342681161525E-3</v>
      </c>
    </row>
    <row r="560" spans="1:6" x14ac:dyDescent="0.35">
      <c r="A560" s="22">
        <v>45294</v>
      </c>
      <c r="B560">
        <v>70.225999999999999</v>
      </c>
      <c r="C560">
        <v>70.225999999999999</v>
      </c>
      <c r="D560">
        <v>70.225999999999999</v>
      </c>
      <c r="E560">
        <v>70.225999999999999</v>
      </c>
      <c r="F560" s="23">
        <f t="shared" si="8"/>
        <v>-1.4503469457400162E-3</v>
      </c>
    </row>
    <row r="561" spans="1:6" x14ac:dyDescent="0.35">
      <c r="A561" s="22">
        <v>45295</v>
      </c>
      <c r="B561">
        <v>70.456999999999994</v>
      </c>
      <c r="C561">
        <v>70.456999999999994</v>
      </c>
      <c r="D561">
        <v>70.456999999999994</v>
      </c>
      <c r="E561">
        <v>70.456999999999994</v>
      </c>
      <c r="F561" s="23">
        <f t="shared" si="8"/>
        <v>3.2893800017086911E-3</v>
      </c>
    </row>
    <row r="562" spans="1:6" x14ac:dyDescent="0.35">
      <c r="A562" s="22">
        <v>45296</v>
      </c>
      <c r="B562">
        <v>70.489999999999995</v>
      </c>
      <c r="C562">
        <v>70.489999999999995</v>
      </c>
      <c r="D562">
        <v>70.489999999999995</v>
      </c>
      <c r="E562">
        <v>70.489999999999995</v>
      </c>
      <c r="F562" s="23">
        <f t="shared" si="8"/>
        <v>4.683707793406085E-4</v>
      </c>
    </row>
    <row r="563" spans="1:6" x14ac:dyDescent="0.35">
      <c r="A563" s="22">
        <v>45299</v>
      </c>
      <c r="B563">
        <v>70.341999999999999</v>
      </c>
      <c r="C563">
        <v>70.341999999999999</v>
      </c>
      <c r="D563">
        <v>70.341999999999999</v>
      </c>
      <c r="E563">
        <v>70.341999999999999</v>
      </c>
      <c r="F563" s="23">
        <f t="shared" si="8"/>
        <v>-2.099588594126772E-3</v>
      </c>
    </row>
    <row r="564" spans="1:6" x14ac:dyDescent="0.35">
      <c r="A564" s="22">
        <v>45300</v>
      </c>
      <c r="B564">
        <v>70.552999999999997</v>
      </c>
      <c r="C564">
        <v>70.552999999999997</v>
      </c>
      <c r="D564">
        <v>70.552999999999997</v>
      </c>
      <c r="E564">
        <v>70.552999999999997</v>
      </c>
      <c r="F564" s="23">
        <f t="shared" si="8"/>
        <v>2.9996303772994587E-3</v>
      </c>
    </row>
    <row r="565" spans="1:6" x14ac:dyDescent="0.35">
      <c r="A565" s="22">
        <v>45301</v>
      </c>
      <c r="B565">
        <v>70.789000000000001</v>
      </c>
      <c r="C565">
        <v>70.789000000000001</v>
      </c>
      <c r="D565">
        <v>70.789000000000001</v>
      </c>
      <c r="E565">
        <v>70.789000000000001</v>
      </c>
      <c r="F565" s="23">
        <f t="shared" si="8"/>
        <v>3.3450030473545309E-3</v>
      </c>
    </row>
    <row r="566" spans="1:6" x14ac:dyDescent="0.35">
      <c r="A566" s="22">
        <v>45302</v>
      </c>
      <c r="B566">
        <v>71.037000000000006</v>
      </c>
      <c r="C566">
        <v>71.037000000000006</v>
      </c>
      <c r="D566">
        <v>71.037000000000006</v>
      </c>
      <c r="E566">
        <v>71.037000000000006</v>
      </c>
      <c r="F566" s="23">
        <f t="shared" si="8"/>
        <v>3.5033691675260938E-3</v>
      </c>
    </row>
    <row r="567" spans="1:6" x14ac:dyDescent="0.35">
      <c r="A567" s="22">
        <v>45303</v>
      </c>
      <c r="B567">
        <v>71.278999999999996</v>
      </c>
      <c r="C567">
        <v>71.278999999999996</v>
      </c>
      <c r="D567">
        <v>71.278999999999996</v>
      </c>
      <c r="E567">
        <v>71.278999999999996</v>
      </c>
      <c r="F567" s="23">
        <f t="shared" si="8"/>
        <v>3.4066753945125807E-3</v>
      </c>
    </row>
    <row r="568" spans="1:6" x14ac:dyDescent="0.35">
      <c r="A568" s="22">
        <v>45306</v>
      </c>
      <c r="B568">
        <v>71.858000000000004</v>
      </c>
      <c r="C568">
        <v>71.858000000000004</v>
      </c>
      <c r="D568">
        <v>71.858000000000004</v>
      </c>
      <c r="E568">
        <v>71.858000000000004</v>
      </c>
      <c r="F568" s="23">
        <f t="shared" si="8"/>
        <v>8.1230095820649523E-3</v>
      </c>
    </row>
    <row r="569" spans="1:6" x14ac:dyDescent="0.35">
      <c r="A569" s="22">
        <v>45307</v>
      </c>
      <c r="B569">
        <v>71.622</v>
      </c>
      <c r="C569">
        <v>71.622</v>
      </c>
      <c r="D569">
        <v>71.622</v>
      </c>
      <c r="E569">
        <v>71.622</v>
      </c>
      <c r="F569" s="23">
        <f t="shared" si="8"/>
        <v>-3.2842550585878288E-3</v>
      </c>
    </row>
    <row r="570" spans="1:6" x14ac:dyDescent="0.35">
      <c r="A570" s="22">
        <v>45308</v>
      </c>
      <c r="B570">
        <v>70.528999999999996</v>
      </c>
      <c r="C570">
        <v>70.528999999999996</v>
      </c>
      <c r="D570">
        <v>70.528999999999996</v>
      </c>
      <c r="E570">
        <v>70.528999999999996</v>
      </c>
      <c r="F570" s="23">
        <f t="shared" si="8"/>
        <v>-1.5260674094552002E-2</v>
      </c>
    </row>
    <row r="571" spans="1:6" x14ac:dyDescent="0.35">
      <c r="A571" s="22">
        <v>45309</v>
      </c>
      <c r="B571">
        <v>70.346999999999994</v>
      </c>
      <c r="C571">
        <v>70.346999999999994</v>
      </c>
      <c r="D571">
        <v>70.346999999999994</v>
      </c>
      <c r="E571">
        <v>70.346999999999994</v>
      </c>
      <c r="F571" s="23">
        <f t="shared" si="8"/>
        <v>-2.5804988019113013E-3</v>
      </c>
    </row>
    <row r="572" spans="1:6" x14ac:dyDescent="0.35">
      <c r="A572" s="22">
        <v>45310</v>
      </c>
      <c r="B572">
        <v>71.314999999999998</v>
      </c>
      <c r="C572">
        <v>71.314999999999998</v>
      </c>
      <c r="D572">
        <v>71.314999999999998</v>
      </c>
      <c r="E572">
        <v>71.314999999999998</v>
      </c>
      <c r="F572" s="23">
        <f t="shared" si="8"/>
        <v>1.3760359361451143E-2</v>
      </c>
    </row>
    <row r="573" spans="1:6" x14ac:dyDescent="0.35">
      <c r="A573" s="22">
        <v>45314</v>
      </c>
      <c r="B573">
        <v>70.465999999999994</v>
      </c>
      <c r="C573">
        <v>70.465999999999994</v>
      </c>
      <c r="D573">
        <v>70.465999999999994</v>
      </c>
      <c r="E573">
        <v>70.465999999999994</v>
      </c>
      <c r="F573" s="23">
        <f t="shared" si="8"/>
        <v>-1.1904928836850645E-2</v>
      </c>
    </row>
    <row r="574" spans="1:6" x14ac:dyDescent="0.35">
      <c r="A574" s="22">
        <v>45315</v>
      </c>
      <c r="B574">
        <v>71.391000000000005</v>
      </c>
      <c r="C574">
        <v>71.391000000000005</v>
      </c>
      <c r="D574">
        <v>71.391000000000005</v>
      </c>
      <c r="E574">
        <v>71.391000000000005</v>
      </c>
      <c r="F574" s="23">
        <f t="shared" si="8"/>
        <v>1.3126898078506109E-2</v>
      </c>
    </row>
    <row r="575" spans="1:6" x14ac:dyDescent="0.35">
      <c r="A575" s="22">
        <v>45316</v>
      </c>
      <c r="B575">
        <v>71.206000000000003</v>
      </c>
      <c r="C575">
        <v>71.206000000000003</v>
      </c>
      <c r="D575">
        <v>71.206000000000003</v>
      </c>
      <c r="E575">
        <v>71.206000000000003</v>
      </c>
      <c r="F575" s="23">
        <f t="shared" si="8"/>
        <v>-2.5913630569679969E-3</v>
      </c>
    </row>
    <row r="576" spans="1:6" x14ac:dyDescent="0.35">
      <c r="A576" s="22">
        <v>45320</v>
      </c>
      <c r="B576">
        <v>72.17</v>
      </c>
      <c r="C576">
        <v>72.17</v>
      </c>
      <c r="D576">
        <v>72.17</v>
      </c>
      <c r="E576">
        <v>72.17</v>
      </c>
      <c r="F576" s="23">
        <f t="shared" si="8"/>
        <v>1.3538184984411407E-2</v>
      </c>
    </row>
    <row r="577" spans="1:6" x14ac:dyDescent="0.35">
      <c r="A577" s="22">
        <v>45321</v>
      </c>
      <c r="B577">
        <v>71.710999999999999</v>
      </c>
      <c r="C577">
        <v>71.710999999999999</v>
      </c>
      <c r="D577">
        <v>71.710999999999999</v>
      </c>
      <c r="E577">
        <v>71.710999999999999</v>
      </c>
      <c r="F577" s="23">
        <f t="shared" si="8"/>
        <v>-6.3599833725925337E-3</v>
      </c>
    </row>
    <row r="578" spans="1:6" x14ac:dyDescent="0.35">
      <c r="A578" s="22">
        <v>45322</v>
      </c>
      <c r="B578">
        <v>71.974999999999994</v>
      </c>
      <c r="C578">
        <v>71.974999999999994</v>
      </c>
      <c r="D578">
        <v>71.974999999999994</v>
      </c>
      <c r="E578">
        <v>71.974999999999994</v>
      </c>
      <c r="F578" s="23">
        <f t="shared" si="8"/>
        <v>3.6814435721157952E-3</v>
      </c>
    </row>
    <row r="579" spans="1:6" x14ac:dyDescent="0.35">
      <c r="A579" s="22">
        <v>45323</v>
      </c>
      <c r="B579">
        <v>72.534999999999997</v>
      </c>
      <c r="C579">
        <v>72.534999999999997</v>
      </c>
      <c r="D579">
        <v>72.534999999999997</v>
      </c>
      <c r="E579">
        <v>72.534999999999997</v>
      </c>
      <c r="F579" s="23">
        <f t="shared" ref="F579:F642" si="9">(B579-B578)/B578</f>
        <v>7.7804793331018038E-3</v>
      </c>
    </row>
    <row r="580" spans="1:6" x14ac:dyDescent="0.35">
      <c r="A580" s="22">
        <v>45324</v>
      </c>
      <c r="B580">
        <v>73.756</v>
      </c>
      <c r="C580">
        <v>73.756</v>
      </c>
      <c r="D580">
        <v>73.756</v>
      </c>
      <c r="E580">
        <v>73.756</v>
      </c>
      <c r="F580" s="23">
        <f t="shared" si="9"/>
        <v>1.6833252912387173E-2</v>
      </c>
    </row>
    <row r="581" spans="1:6" x14ac:dyDescent="0.35">
      <c r="A581" s="22">
        <v>45327</v>
      </c>
      <c r="B581">
        <v>73.694999999999993</v>
      </c>
      <c r="C581">
        <v>73.694999999999993</v>
      </c>
      <c r="D581">
        <v>73.694999999999993</v>
      </c>
      <c r="E581">
        <v>73.694999999999993</v>
      </c>
      <c r="F581" s="23">
        <f t="shared" si="9"/>
        <v>-8.2705135853363863E-4</v>
      </c>
    </row>
    <row r="582" spans="1:6" x14ac:dyDescent="0.35">
      <c r="A582" s="22">
        <v>45328</v>
      </c>
      <c r="B582">
        <v>74.081999999999994</v>
      </c>
      <c r="C582">
        <v>74.081999999999994</v>
      </c>
      <c r="D582">
        <v>74.081999999999994</v>
      </c>
      <c r="E582">
        <v>74.081999999999994</v>
      </c>
      <c r="F582" s="23">
        <f t="shared" si="9"/>
        <v>5.2513739059637764E-3</v>
      </c>
    </row>
    <row r="583" spans="1:6" x14ac:dyDescent="0.35">
      <c r="A583" s="22">
        <v>45329</v>
      </c>
      <c r="B583">
        <v>74.328999999999994</v>
      </c>
      <c r="C583">
        <v>74.328999999999994</v>
      </c>
      <c r="D583">
        <v>74.328999999999994</v>
      </c>
      <c r="E583">
        <v>74.328999999999994</v>
      </c>
      <c r="F583" s="23">
        <f t="shared" si="9"/>
        <v>3.3341432466726046E-3</v>
      </c>
    </row>
    <row r="584" spans="1:6" x14ac:dyDescent="0.35">
      <c r="A584" s="22">
        <v>45330</v>
      </c>
      <c r="B584">
        <v>74.195999999999998</v>
      </c>
      <c r="C584">
        <v>74.195999999999998</v>
      </c>
      <c r="D584">
        <v>74.195999999999998</v>
      </c>
      <c r="E584">
        <v>74.195999999999998</v>
      </c>
      <c r="F584" s="23">
        <f t="shared" si="9"/>
        <v>-1.7893419795772252E-3</v>
      </c>
    </row>
    <row r="585" spans="1:6" x14ac:dyDescent="0.35">
      <c r="A585" s="22">
        <v>45331</v>
      </c>
      <c r="B585">
        <v>74.28</v>
      </c>
      <c r="C585">
        <v>74.28</v>
      </c>
      <c r="D585">
        <v>74.28</v>
      </c>
      <c r="E585">
        <v>74.28</v>
      </c>
      <c r="F585" s="23">
        <f t="shared" si="9"/>
        <v>1.1321365033155856E-3</v>
      </c>
    </row>
    <row r="586" spans="1:6" x14ac:dyDescent="0.35">
      <c r="A586" s="22">
        <v>45334</v>
      </c>
      <c r="B586">
        <v>73.474999999999994</v>
      </c>
      <c r="C586">
        <v>73.474999999999994</v>
      </c>
      <c r="D586">
        <v>73.474999999999994</v>
      </c>
      <c r="E586">
        <v>73.474999999999994</v>
      </c>
      <c r="F586" s="23">
        <f t="shared" si="9"/>
        <v>-1.0837372105546672E-2</v>
      </c>
    </row>
    <row r="587" spans="1:6" x14ac:dyDescent="0.35">
      <c r="A587" s="22">
        <v>45335</v>
      </c>
      <c r="B587">
        <v>73.75</v>
      </c>
      <c r="C587">
        <v>73.75</v>
      </c>
      <c r="D587">
        <v>73.75</v>
      </c>
      <c r="E587">
        <v>73.75</v>
      </c>
      <c r="F587" s="23">
        <f t="shared" si="9"/>
        <v>3.7427696495407376E-3</v>
      </c>
    </row>
    <row r="588" spans="1:6" x14ac:dyDescent="0.35">
      <c r="A588" s="22">
        <v>45336</v>
      </c>
      <c r="B588">
        <v>74.364999999999995</v>
      </c>
      <c r="C588">
        <v>74.364999999999995</v>
      </c>
      <c r="D588">
        <v>74.364999999999995</v>
      </c>
      <c r="E588">
        <v>74.364999999999995</v>
      </c>
      <c r="F588" s="23">
        <f t="shared" si="9"/>
        <v>8.3389830508473883E-3</v>
      </c>
    </row>
    <row r="589" spans="1:6" x14ac:dyDescent="0.35">
      <c r="A589" s="22">
        <v>45337</v>
      </c>
      <c r="B589">
        <v>74.713999999999999</v>
      </c>
      <c r="C589">
        <v>74.713999999999999</v>
      </c>
      <c r="D589">
        <v>74.713999999999999</v>
      </c>
      <c r="E589">
        <v>74.713999999999999</v>
      </c>
      <c r="F589" s="23">
        <f t="shared" si="9"/>
        <v>4.6930679755261715E-3</v>
      </c>
    </row>
    <row r="590" spans="1:6" x14ac:dyDescent="0.35">
      <c r="A590" s="22">
        <v>45338</v>
      </c>
      <c r="B590">
        <v>74.8</v>
      </c>
      <c r="C590">
        <v>74.8</v>
      </c>
      <c r="D590">
        <v>74.8</v>
      </c>
      <c r="E590">
        <v>74.8</v>
      </c>
      <c r="F590" s="23">
        <f t="shared" si="9"/>
        <v>1.151056026982875E-3</v>
      </c>
    </row>
    <row r="591" spans="1:6" x14ac:dyDescent="0.35">
      <c r="A591" s="22">
        <v>45341</v>
      </c>
      <c r="B591">
        <v>74.853999999999999</v>
      </c>
      <c r="C591">
        <v>74.853999999999999</v>
      </c>
      <c r="D591">
        <v>74.853999999999999</v>
      </c>
      <c r="E591">
        <v>74.853999999999999</v>
      </c>
      <c r="F591" s="23">
        <f t="shared" si="9"/>
        <v>7.2192513368986701E-4</v>
      </c>
    </row>
    <row r="592" spans="1:6" x14ac:dyDescent="0.35">
      <c r="A592" s="22">
        <v>45342</v>
      </c>
      <c r="B592">
        <v>75.024000000000001</v>
      </c>
      <c r="C592">
        <v>75.024000000000001</v>
      </c>
      <c r="D592">
        <v>75.024000000000001</v>
      </c>
      <c r="E592">
        <v>75.024000000000001</v>
      </c>
      <c r="F592" s="23">
        <f t="shared" si="9"/>
        <v>2.2710877174232733E-3</v>
      </c>
    </row>
    <row r="593" spans="1:6" x14ac:dyDescent="0.35">
      <c r="A593" s="22">
        <v>45343</v>
      </c>
      <c r="B593">
        <v>74.397000000000006</v>
      </c>
      <c r="C593">
        <v>74.397000000000006</v>
      </c>
      <c r="D593">
        <v>74.397000000000006</v>
      </c>
      <c r="E593">
        <v>74.397000000000006</v>
      </c>
      <c r="F593" s="23">
        <f t="shared" si="9"/>
        <v>-8.3573256557900842E-3</v>
      </c>
    </row>
    <row r="594" spans="1:6" x14ac:dyDescent="0.35">
      <c r="A594" s="22">
        <v>45344</v>
      </c>
      <c r="B594">
        <v>75.141999999999996</v>
      </c>
      <c r="C594">
        <v>75.141999999999996</v>
      </c>
      <c r="D594">
        <v>75.141999999999996</v>
      </c>
      <c r="E594">
        <v>75.141999999999996</v>
      </c>
      <c r="F594" s="23">
        <f t="shared" si="9"/>
        <v>1.001384464427316E-2</v>
      </c>
    </row>
    <row r="595" spans="1:6" x14ac:dyDescent="0.35">
      <c r="A595" s="22">
        <v>45345</v>
      </c>
      <c r="B595">
        <v>75.126000000000005</v>
      </c>
      <c r="C595">
        <v>75.126000000000005</v>
      </c>
      <c r="D595">
        <v>75.126000000000005</v>
      </c>
      <c r="E595">
        <v>75.126000000000005</v>
      </c>
      <c r="F595" s="23">
        <f t="shared" si="9"/>
        <v>-2.1293018551530614E-4</v>
      </c>
    </row>
    <row r="596" spans="1:6" x14ac:dyDescent="0.35">
      <c r="A596" s="22">
        <v>45348</v>
      </c>
      <c r="B596">
        <v>74.867999999999995</v>
      </c>
      <c r="C596">
        <v>74.867999999999995</v>
      </c>
      <c r="D596">
        <v>74.867999999999995</v>
      </c>
      <c r="E596">
        <v>74.867999999999995</v>
      </c>
      <c r="F596" s="23">
        <f t="shared" si="9"/>
        <v>-3.4342304927722726E-3</v>
      </c>
    </row>
    <row r="597" spans="1:6" x14ac:dyDescent="0.35">
      <c r="A597" s="22">
        <v>45349</v>
      </c>
      <c r="B597">
        <v>75.031999999999996</v>
      </c>
      <c r="C597">
        <v>75.031999999999996</v>
      </c>
      <c r="D597">
        <v>75.031999999999996</v>
      </c>
      <c r="E597">
        <v>75.031999999999996</v>
      </c>
      <c r="F597" s="23">
        <f t="shared" si="9"/>
        <v>2.1905219853609217E-3</v>
      </c>
    </row>
    <row r="598" spans="1:6" x14ac:dyDescent="0.35">
      <c r="A598" s="22">
        <v>45350</v>
      </c>
      <c r="B598">
        <v>74.135999999999996</v>
      </c>
      <c r="C598">
        <v>74.135999999999996</v>
      </c>
      <c r="D598">
        <v>74.135999999999996</v>
      </c>
      <c r="E598">
        <v>74.135999999999996</v>
      </c>
      <c r="F598" s="23">
        <f t="shared" si="9"/>
        <v>-1.1941571596119001E-2</v>
      </c>
    </row>
    <row r="599" spans="1:6" x14ac:dyDescent="0.35">
      <c r="A599" s="22">
        <v>45351</v>
      </c>
      <c r="B599">
        <v>74.790000000000006</v>
      </c>
      <c r="C599">
        <v>74.790000000000006</v>
      </c>
      <c r="D599">
        <v>74.790000000000006</v>
      </c>
      <c r="E599">
        <v>74.790000000000006</v>
      </c>
      <c r="F599" s="23">
        <f t="shared" si="9"/>
        <v>8.8216251213986546E-3</v>
      </c>
    </row>
    <row r="600" spans="1:6" x14ac:dyDescent="0.35">
      <c r="A600" s="22">
        <v>45352</v>
      </c>
      <c r="B600">
        <v>75.430999999999997</v>
      </c>
      <c r="C600">
        <v>75.430999999999997</v>
      </c>
      <c r="D600">
        <v>75.430999999999997</v>
      </c>
      <c r="E600">
        <v>75.430999999999997</v>
      </c>
      <c r="F600" s="23">
        <f t="shared" si="9"/>
        <v>8.5706645273431088E-3</v>
      </c>
    </row>
    <row r="601" spans="1:6" x14ac:dyDescent="0.35">
      <c r="A601" s="22">
        <v>45355</v>
      </c>
      <c r="B601">
        <v>75.646000000000001</v>
      </c>
      <c r="C601">
        <v>75.646000000000001</v>
      </c>
      <c r="D601">
        <v>75.646000000000001</v>
      </c>
      <c r="E601">
        <v>75.646000000000001</v>
      </c>
      <c r="F601" s="23">
        <f t="shared" si="9"/>
        <v>2.8502870172741105E-3</v>
      </c>
    </row>
    <row r="602" spans="1:6" x14ac:dyDescent="0.35">
      <c r="A602" s="22">
        <v>45356</v>
      </c>
      <c r="B602">
        <v>75.289000000000001</v>
      </c>
      <c r="C602">
        <v>75.289000000000001</v>
      </c>
      <c r="D602">
        <v>75.289000000000001</v>
      </c>
      <c r="E602">
        <v>75.289000000000001</v>
      </c>
      <c r="F602" s="23">
        <f t="shared" si="9"/>
        <v>-4.7193506596515259E-3</v>
      </c>
    </row>
    <row r="603" spans="1:6" x14ac:dyDescent="0.35">
      <c r="A603" s="22">
        <v>45357</v>
      </c>
      <c r="B603">
        <v>75.325999999999993</v>
      </c>
      <c r="C603">
        <v>75.325999999999993</v>
      </c>
      <c r="D603">
        <v>75.325999999999993</v>
      </c>
      <c r="E603">
        <v>75.325999999999993</v>
      </c>
      <c r="F603" s="23">
        <f t="shared" si="9"/>
        <v>4.9143965253877625E-4</v>
      </c>
    </row>
    <row r="604" spans="1:6" x14ac:dyDescent="0.35">
      <c r="A604" s="22">
        <v>45358</v>
      </c>
      <c r="B604">
        <v>75.466999999999999</v>
      </c>
      <c r="C604">
        <v>75.466999999999999</v>
      </c>
      <c r="D604">
        <v>75.466999999999999</v>
      </c>
      <c r="E604">
        <v>75.466999999999999</v>
      </c>
      <c r="F604" s="23">
        <f t="shared" si="9"/>
        <v>1.8718636327430815E-3</v>
      </c>
    </row>
    <row r="605" spans="1:6" x14ac:dyDescent="0.35">
      <c r="A605" s="22">
        <v>45362</v>
      </c>
      <c r="B605">
        <v>74.637</v>
      </c>
      <c r="C605">
        <v>74.637</v>
      </c>
      <c r="D605">
        <v>74.637</v>
      </c>
      <c r="E605">
        <v>74.637</v>
      </c>
      <c r="F605" s="23">
        <f t="shared" si="9"/>
        <v>-1.0998184636993631E-2</v>
      </c>
    </row>
    <row r="606" spans="1:6" x14ac:dyDescent="0.35">
      <c r="A606" s="22">
        <v>45363</v>
      </c>
      <c r="B606">
        <v>74.843999999999994</v>
      </c>
      <c r="C606">
        <v>74.843999999999994</v>
      </c>
      <c r="D606">
        <v>74.843999999999994</v>
      </c>
      <c r="E606">
        <v>74.843999999999994</v>
      </c>
      <c r="F606" s="23">
        <f t="shared" si="9"/>
        <v>2.7734233691063901E-3</v>
      </c>
    </row>
    <row r="607" spans="1:6" x14ac:dyDescent="0.35">
      <c r="A607" s="22">
        <v>45364</v>
      </c>
      <c r="B607">
        <v>73.647999999999996</v>
      </c>
      <c r="C607">
        <v>73.647999999999996</v>
      </c>
      <c r="D607">
        <v>73.647999999999996</v>
      </c>
      <c r="E607">
        <v>73.647999999999996</v>
      </c>
      <c r="F607" s="23">
        <f t="shared" si="9"/>
        <v>-1.5979904868793731E-2</v>
      </c>
    </row>
    <row r="608" spans="1:6" x14ac:dyDescent="0.35">
      <c r="A608" s="22">
        <v>45365</v>
      </c>
      <c r="B608">
        <v>74.09</v>
      </c>
      <c r="C608">
        <v>74.09</v>
      </c>
      <c r="D608">
        <v>74.09</v>
      </c>
      <c r="E608">
        <v>74.09</v>
      </c>
      <c r="F608" s="23">
        <f t="shared" si="9"/>
        <v>6.0015207473387913E-3</v>
      </c>
    </row>
    <row r="609" spans="1:6" x14ac:dyDescent="0.35">
      <c r="A609" s="22">
        <v>45366</v>
      </c>
      <c r="B609">
        <v>73.608999999999995</v>
      </c>
      <c r="C609">
        <v>73.608999999999995</v>
      </c>
      <c r="D609">
        <v>73.608999999999995</v>
      </c>
      <c r="E609">
        <v>73.608999999999995</v>
      </c>
      <c r="F609" s="23">
        <f t="shared" si="9"/>
        <v>-6.4921041975976347E-3</v>
      </c>
    </row>
    <row r="610" spans="1:6" x14ac:dyDescent="0.35">
      <c r="A610" s="22">
        <v>45369</v>
      </c>
      <c r="B610">
        <v>73.847999999999999</v>
      </c>
      <c r="C610">
        <v>73.847999999999999</v>
      </c>
      <c r="D610">
        <v>73.847999999999999</v>
      </c>
      <c r="E610">
        <v>73.847999999999999</v>
      </c>
      <c r="F610" s="23">
        <f t="shared" si="9"/>
        <v>3.2468855710579459E-3</v>
      </c>
    </row>
    <row r="611" spans="1:6" x14ac:dyDescent="0.35">
      <c r="A611" s="22">
        <v>45370</v>
      </c>
      <c r="B611">
        <v>73.453000000000003</v>
      </c>
      <c r="C611">
        <v>73.453000000000003</v>
      </c>
      <c r="D611">
        <v>73.453000000000003</v>
      </c>
      <c r="E611">
        <v>73.453000000000003</v>
      </c>
      <c r="F611" s="23">
        <f t="shared" si="9"/>
        <v>-5.3488246127179617E-3</v>
      </c>
    </row>
    <row r="612" spans="1:6" x14ac:dyDescent="0.35">
      <c r="A612" s="22">
        <v>45371</v>
      </c>
      <c r="B612">
        <v>73.790000000000006</v>
      </c>
      <c r="C612">
        <v>73.790000000000006</v>
      </c>
      <c r="D612">
        <v>73.790000000000006</v>
      </c>
      <c r="E612">
        <v>73.790000000000006</v>
      </c>
      <c r="F612" s="23">
        <f t="shared" si="9"/>
        <v>4.5879678161545928E-3</v>
      </c>
    </row>
    <row r="613" spans="1:6" x14ac:dyDescent="0.35">
      <c r="A613" s="22">
        <v>45372</v>
      </c>
      <c r="B613">
        <v>74.474000000000004</v>
      </c>
      <c r="C613">
        <v>74.474000000000004</v>
      </c>
      <c r="D613">
        <v>74.474000000000004</v>
      </c>
      <c r="E613">
        <v>74.474000000000004</v>
      </c>
      <c r="F613" s="23">
        <f t="shared" si="9"/>
        <v>9.2695487193386293E-3</v>
      </c>
    </row>
    <row r="614" spans="1:6" x14ac:dyDescent="0.35">
      <c r="A614" s="22">
        <v>45373</v>
      </c>
      <c r="B614">
        <v>74.897999999999996</v>
      </c>
      <c r="C614">
        <v>74.897999999999996</v>
      </c>
      <c r="D614">
        <v>74.897999999999996</v>
      </c>
      <c r="E614">
        <v>74.897999999999996</v>
      </c>
      <c r="F614" s="23">
        <f t="shared" si="9"/>
        <v>5.6932620780405559E-3</v>
      </c>
    </row>
    <row r="615" spans="1:6" x14ac:dyDescent="0.35">
      <c r="A615" s="22">
        <v>45377</v>
      </c>
      <c r="B615">
        <v>74.593999999999994</v>
      </c>
      <c r="C615">
        <v>74.593999999999994</v>
      </c>
      <c r="D615">
        <v>74.593999999999994</v>
      </c>
      <c r="E615">
        <v>74.593999999999994</v>
      </c>
      <c r="F615" s="23">
        <f t="shared" si="9"/>
        <v>-4.0588533739218946E-3</v>
      </c>
    </row>
    <row r="616" spans="1:6" x14ac:dyDescent="0.35">
      <c r="A616" s="22">
        <v>45378</v>
      </c>
      <c r="B616">
        <v>74.462000000000003</v>
      </c>
      <c r="C616">
        <v>74.462000000000003</v>
      </c>
      <c r="D616">
        <v>74.462000000000003</v>
      </c>
      <c r="E616">
        <v>74.462000000000003</v>
      </c>
      <c r="F616" s="23">
        <f t="shared" si="9"/>
        <v>-1.7695793227336086E-3</v>
      </c>
    </row>
    <row r="617" spans="1:6" x14ac:dyDescent="0.35">
      <c r="A617" s="22">
        <v>45379</v>
      </c>
      <c r="B617">
        <v>74.866</v>
      </c>
      <c r="C617">
        <v>74.866</v>
      </c>
      <c r="D617">
        <v>74.866</v>
      </c>
      <c r="E617">
        <v>74.866</v>
      </c>
      <c r="F617" s="23">
        <f t="shared" si="9"/>
        <v>5.4255862050441349E-3</v>
      </c>
    </row>
    <row r="618" spans="1:6" x14ac:dyDescent="0.35">
      <c r="A618" s="22">
        <v>45382</v>
      </c>
      <c r="B618">
        <v>74.867999999999995</v>
      </c>
      <c r="C618">
        <v>74.867999999999995</v>
      </c>
      <c r="D618">
        <v>74.867999999999995</v>
      </c>
      <c r="E618">
        <v>74.867999999999995</v>
      </c>
      <c r="F618" s="23">
        <f t="shared" si="9"/>
        <v>2.6714396388151349E-5</v>
      </c>
    </row>
    <row r="619" spans="1:6" x14ac:dyDescent="0.35">
      <c r="A619" s="22">
        <v>45383</v>
      </c>
      <c r="B619">
        <v>75.733000000000004</v>
      </c>
      <c r="C619">
        <v>75.733000000000004</v>
      </c>
      <c r="D619">
        <v>75.733000000000004</v>
      </c>
      <c r="E619">
        <v>75.733000000000004</v>
      </c>
      <c r="F619" s="23">
        <f t="shared" si="9"/>
        <v>1.1553667788641465E-2</v>
      </c>
    </row>
    <row r="620" spans="1:6" x14ac:dyDescent="0.35">
      <c r="A620" s="22">
        <v>45384</v>
      </c>
      <c r="B620">
        <v>75.667000000000002</v>
      </c>
      <c r="C620">
        <v>75.667000000000002</v>
      </c>
      <c r="D620">
        <v>75.667000000000002</v>
      </c>
      <c r="E620">
        <v>75.667000000000002</v>
      </c>
      <c r="F620" s="23">
        <f t="shared" si="9"/>
        <v>-8.7148270899082962E-4</v>
      </c>
    </row>
    <row r="621" spans="1:6" x14ac:dyDescent="0.35">
      <c r="A621" s="22">
        <v>45385</v>
      </c>
      <c r="B621">
        <v>75.748000000000005</v>
      </c>
      <c r="C621">
        <v>75.748000000000005</v>
      </c>
      <c r="D621">
        <v>75.748000000000005</v>
      </c>
      <c r="E621">
        <v>75.748000000000005</v>
      </c>
      <c r="F621" s="23">
        <f t="shared" si="9"/>
        <v>1.0704798657275043E-3</v>
      </c>
    </row>
    <row r="622" spans="1:6" x14ac:dyDescent="0.35">
      <c r="A622" s="22">
        <v>45386</v>
      </c>
      <c r="B622">
        <v>75.787000000000006</v>
      </c>
      <c r="C622">
        <v>75.787000000000006</v>
      </c>
      <c r="D622">
        <v>75.787000000000006</v>
      </c>
      <c r="E622">
        <v>75.787000000000006</v>
      </c>
      <c r="F622" s="23">
        <f t="shared" si="9"/>
        <v>5.1486507894599827E-4</v>
      </c>
    </row>
    <row r="623" spans="1:6" x14ac:dyDescent="0.35">
      <c r="A623" s="22">
        <v>45387</v>
      </c>
      <c r="B623">
        <v>76.328000000000003</v>
      </c>
      <c r="C623">
        <v>76.328000000000003</v>
      </c>
      <c r="D623">
        <v>76.328000000000003</v>
      </c>
      <c r="E623">
        <v>76.328000000000003</v>
      </c>
      <c r="F623" s="23">
        <f t="shared" si="9"/>
        <v>7.1384274347842868E-3</v>
      </c>
    </row>
    <row r="624" spans="1:6" x14ac:dyDescent="0.35">
      <c r="A624" s="22">
        <v>45390</v>
      </c>
      <c r="B624">
        <v>76.728999999999999</v>
      </c>
      <c r="C624">
        <v>76.728999999999999</v>
      </c>
      <c r="D624">
        <v>76.728999999999999</v>
      </c>
      <c r="E624">
        <v>76.728999999999999</v>
      </c>
      <c r="F624" s="23">
        <f t="shared" si="9"/>
        <v>5.2536421758725008E-3</v>
      </c>
    </row>
    <row r="625" spans="1:6" x14ac:dyDescent="0.35">
      <c r="A625" s="22">
        <v>45391</v>
      </c>
      <c r="B625">
        <v>76.975999999999999</v>
      </c>
      <c r="C625">
        <v>76.975999999999999</v>
      </c>
      <c r="D625">
        <v>76.975999999999999</v>
      </c>
      <c r="E625">
        <v>76.975999999999999</v>
      </c>
      <c r="F625" s="23">
        <f t="shared" si="9"/>
        <v>3.2191218444134538E-3</v>
      </c>
    </row>
    <row r="626" spans="1:6" x14ac:dyDescent="0.35">
      <c r="A626" s="22">
        <v>45392</v>
      </c>
      <c r="B626">
        <v>77.248000000000005</v>
      </c>
      <c r="C626">
        <v>77.248000000000005</v>
      </c>
      <c r="D626">
        <v>77.248000000000005</v>
      </c>
      <c r="E626">
        <v>77.248000000000005</v>
      </c>
      <c r="F626" s="23">
        <f t="shared" si="9"/>
        <v>3.533568904593712E-3</v>
      </c>
    </row>
    <row r="627" spans="1:6" x14ac:dyDescent="0.35">
      <c r="A627" s="22">
        <v>45394</v>
      </c>
      <c r="B627">
        <v>76.706999999999994</v>
      </c>
      <c r="C627">
        <v>76.706999999999994</v>
      </c>
      <c r="D627">
        <v>76.706999999999994</v>
      </c>
      <c r="E627">
        <v>76.706999999999994</v>
      </c>
      <c r="F627" s="23">
        <f t="shared" si="9"/>
        <v>-7.0034175642089249E-3</v>
      </c>
    </row>
    <row r="628" spans="1:6" x14ac:dyDescent="0.35">
      <c r="A628" s="22">
        <v>45397</v>
      </c>
      <c r="B628">
        <v>75.83</v>
      </c>
      <c r="C628">
        <v>75.83</v>
      </c>
      <c r="D628">
        <v>75.83</v>
      </c>
      <c r="E628">
        <v>75.83</v>
      </c>
      <c r="F628" s="23">
        <f t="shared" si="9"/>
        <v>-1.1433115621781524E-2</v>
      </c>
    </row>
    <row r="629" spans="1:6" x14ac:dyDescent="0.35">
      <c r="A629" s="22">
        <v>45398</v>
      </c>
      <c r="B629">
        <v>75.790999999999997</v>
      </c>
      <c r="C629">
        <v>75.790999999999997</v>
      </c>
      <c r="D629">
        <v>75.790999999999997</v>
      </c>
      <c r="E629">
        <v>75.790999999999997</v>
      </c>
      <c r="F629" s="23">
        <f t="shared" si="9"/>
        <v>-5.1430832124490936E-4</v>
      </c>
    </row>
    <row r="630" spans="1:6" x14ac:dyDescent="0.35">
      <c r="A630" s="22">
        <v>45400</v>
      </c>
      <c r="B630">
        <v>75.328999999999994</v>
      </c>
      <c r="C630">
        <v>75.328999999999994</v>
      </c>
      <c r="D630">
        <v>75.328999999999994</v>
      </c>
      <c r="E630">
        <v>75.328999999999994</v>
      </c>
      <c r="F630" s="23">
        <f t="shared" si="9"/>
        <v>-6.0957105724954589E-3</v>
      </c>
    </row>
    <row r="631" spans="1:6" x14ac:dyDescent="0.35">
      <c r="A631" s="22">
        <v>45401</v>
      </c>
      <c r="B631">
        <v>75.400000000000006</v>
      </c>
      <c r="C631">
        <v>75.400000000000006</v>
      </c>
      <c r="D631">
        <v>75.400000000000006</v>
      </c>
      <c r="E631">
        <v>75.400000000000006</v>
      </c>
      <c r="F631" s="23">
        <f t="shared" si="9"/>
        <v>9.4253209255415807E-4</v>
      </c>
    </row>
    <row r="632" spans="1:6" x14ac:dyDescent="0.35">
      <c r="A632" s="22">
        <v>45404</v>
      </c>
      <c r="B632">
        <v>76.063999999999993</v>
      </c>
      <c r="C632">
        <v>76.063999999999993</v>
      </c>
      <c r="D632">
        <v>76.063999999999993</v>
      </c>
      <c r="E632">
        <v>76.063999999999993</v>
      </c>
      <c r="F632" s="23">
        <f t="shared" si="9"/>
        <v>8.8063660477451892E-3</v>
      </c>
    </row>
    <row r="633" spans="1:6" x14ac:dyDescent="0.35">
      <c r="A633" s="22">
        <v>45405</v>
      </c>
      <c r="B633">
        <v>76.588999999999999</v>
      </c>
      <c r="C633">
        <v>76.588999999999999</v>
      </c>
      <c r="D633">
        <v>76.588999999999999</v>
      </c>
      <c r="E633">
        <v>76.588999999999999</v>
      </c>
      <c r="F633" s="23">
        <f t="shared" si="9"/>
        <v>6.9020824568784937E-3</v>
      </c>
    </row>
    <row r="634" spans="1:6" x14ac:dyDescent="0.35">
      <c r="A634" s="22">
        <v>45406</v>
      </c>
      <c r="B634">
        <v>76.864999999999995</v>
      </c>
      <c r="C634">
        <v>76.864999999999995</v>
      </c>
      <c r="D634">
        <v>76.864999999999995</v>
      </c>
      <c r="E634">
        <v>76.864999999999995</v>
      </c>
      <c r="F634" s="23">
        <f t="shared" si="9"/>
        <v>3.6036506547937205E-3</v>
      </c>
    </row>
    <row r="635" spans="1:6" x14ac:dyDescent="0.35">
      <c r="A635" s="22">
        <v>45407</v>
      </c>
      <c r="B635">
        <v>76.989000000000004</v>
      </c>
      <c r="C635">
        <v>76.989000000000004</v>
      </c>
      <c r="D635">
        <v>76.989000000000004</v>
      </c>
      <c r="E635">
        <v>76.989000000000004</v>
      </c>
      <c r="F635" s="23">
        <f t="shared" si="9"/>
        <v>1.6132179795747016E-3</v>
      </c>
    </row>
    <row r="636" spans="1:6" x14ac:dyDescent="0.35">
      <c r="A636" s="22">
        <v>45408</v>
      </c>
      <c r="B636">
        <v>77.418000000000006</v>
      </c>
      <c r="C636">
        <v>77.418000000000006</v>
      </c>
      <c r="D636">
        <v>77.418000000000006</v>
      </c>
      <c r="E636">
        <v>77.418000000000006</v>
      </c>
      <c r="F636" s="23">
        <f t="shared" si="9"/>
        <v>5.5722246035148143E-3</v>
      </c>
    </row>
    <row r="637" spans="1:6" x14ac:dyDescent="0.35">
      <c r="A637" s="22">
        <v>45411</v>
      </c>
      <c r="B637">
        <v>77.311000000000007</v>
      </c>
      <c r="C637">
        <v>77.311000000000007</v>
      </c>
      <c r="D637">
        <v>77.311000000000007</v>
      </c>
      <c r="E637">
        <v>77.311000000000007</v>
      </c>
      <c r="F637" s="23">
        <f t="shared" si="9"/>
        <v>-1.3821075202149282E-3</v>
      </c>
    </row>
    <row r="638" spans="1:6" x14ac:dyDescent="0.35">
      <c r="A638" s="22">
        <v>45412</v>
      </c>
      <c r="B638">
        <v>76.963999999999999</v>
      </c>
      <c r="C638">
        <v>76.963999999999999</v>
      </c>
      <c r="D638">
        <v>76.963999999999999</v>
      </c>
      <c r="E638">
        <v>76.963999999999999</v>
      </c>
      <c r="F638" s="23">
        <f t="shared" si="9"/>
        <v>-4.4883651744254812E-3</v>
      </c>
    </row>
    <row r="639" spans="1:6" x14ac:dyDescent="0.35">
      <c r="A639" s="22">
        <v>45414</v>
      </c>
      <c r="B639">
        <v>77.536000000000001</v>
      </c>
      <c r="C639">
        <v>77.536000000000001</v>
      </c>
      <c r="D639">
        <v>77.536000000000001</v>
      </c>
      <c r="E639">
        <v>77.536000000000001</v>
      </c>
      <c r="F639" s="23">
        <f t="shared" si="9"/>
        <v>7.4320461514474651E-3</v>
      </c>
    </row>
    <row r="640" spans="1:6" x14ac:dyDescent="0.35">
      <c r="A640" s="22">
        <v>45415</v>
      </c>
      <c r="B640">
        <v>77.658000000000001</v>
      </c>
      <c r="C640">
        <v>77.658000000000001</v>
      </c>
      <c r="D640">
        <v>77.658000000000001</v>
      </c>
      <c r="E640">
        <v>77.658000000000001</v>
      </c>
      <c r="F640" s="23">
        <f t="shared" si="9"/>
        <v>1.5734626496079227E-3</v>
      </c>
    </row>
    <row r="641" spans="1:6" x14ac:dyDescent="0.35">
      <c r="A641" s="22">
        <v>45418</v>
      </c>
      <c r="B641">
        <v>77.762</v>
      </c>
      <c r="C641">
        <v>77.762</v>
      </c>
      <c r="D641">
        <v>77.762</v>
      </c>
      <c r="E641">
        <v>77.762</v>
      </c>
      <c r="F641" s="23">
        <f t="shared" si="9"/>
        <v>1.3392052332019779E-3</v>
      </c>
    </row>
    <row r="642" spans="1:6" x14ac:dyDescent="0.35">
      <c r="A642" s="22">
        <v>45419</v>
      </c>
      <c r="B642">
        <v>77.259</v>
      </c>
      <c r="C642">
        <v>77.259</v>
      </c>
      <c r="D642">
        <v>77.259</v>
      </c>
      <c r="E642">
        <v>77.259</v>
      </c>
      <c r="F642" s="23">
        <f t="shared" si="9"/>
        <v>-6.4684550294488328E-3</v>
      </c>
    </row>
    <row r="643" spans="1:6" x14ac:dyDescent="0.35">
      <c r="A643" s="22">
        <v>45420</v>
      </c>
      <c r="B643">
        <v>77.45</v>
      </c>
      <c r="C643">
        <v>77.45</v>
      </c>
      <c r="D643">
        <v>77.45</v>
      </c>
      <c r="E643">
        <v>77.45</v>
      </c>
      <c r="F643" s="23">
        <f t="shared" ref="F643:F706" si="10">(B643-B642)/B642</f>
        <v>2.4722038856314797E-3</v>
      </c>
    </row>
    <row r="644" spans="1:6" x14ac:dyDescent="0.35">
      <c r="A644" s="22">
        <v>45421</v>
      </c>
      <c r="B644">
        <v>76.412999999999997</v>
      </c>
      <c r="C644">
        <v>76.412999999999997</v>
      </c>
      <c r="D644">
        <v>76.412999999999997</v>
      </c>
      <c r="E644">
        <v>76.412999999999997</v>
      </c>
      <c r="F644" s="23">
        <f t="shared" si="10"/>
        <v>-1.3389283408650822E-2</v>
      </c>
    </row>
    <row r="645" spans="1:6" x14ac:dyDescent="0.35">
      <c r="A645" s="22">
        <v>45422</v>
      </c>
      <c r="B645">
        <v>76.8</v>
      </c>
      <c r="C645">
        <v>76.8</v>
      </c>
      <c r="D645">
        <v>76.8</v>
      </c>
      <c r="E645">
        <v>76.8</v>
      </c>
      <c r="F645" s="23">
        <f t="shared" si="10"/>
        <v>5.0645832515409739E-3</v>
      </c>
    </row>
    <row r="646" spans="1:6" x14ac:dyDescent="0.35">
      <c r="A646" s="22">
        <v>45425</v>
      </c>
      <c r="B646">
        <v>76.995999999999995</v>
      </c>
      <c r="C646">
        <v>76.995999999999995</v>
      </c>
      <c r="D646">
        <v>76.995999999999995</v>
      </c>
      <c r="E646">
        <v>76.995999999999995</v>
      </c>
      <c r="F646" s="23">
        <f t="shared" si="10"/>
        <v>2.5520833333333068E-3</v>
      </c>
    </row>
    <row r="647" spans="1:6" x14ac:dyDescent="0.35">
      <c r="A647" s="22">
        <v>45426</v>
      </c>
      <c r="B647">
        <v>77.278000000000006</v>
      </c>
      <c r="C647">
        <v>77.278000000000006</v>
      </c>
      <c r="D647">
        <v>77.278000000000006</v>
      </c>
      <c r="E647">
        <v>77.278000000000006</v>
      </c>
      <c r="F647" s="23">
        <f t="shared" si="10"/>
        <v>3.6625279235286338E-3</v>
      </c>
    </row>
    <row r="648" spans="1:6" x14ac:dyDescent="0.35">
      <c r="A648" s="22">
        <v>45427</v>
      </c>
      <c r="B648">
        <v>77.697999999999993</v>
      </c>
      <c r="C648">
        <v>77.697999999999993</v>
      </c>
      <c r="D648">
        <v>77.697999999999993</v>
      </c>
      <c r="E648">
        <v>77.697999999999993</v>
      </c>
      <c r="F648" s="23">
        <f t="shared" si="10"/>
        <v>5.4349232640594665E-3</v>
      </c>
    </row>
    <row r="649" spans="1:6" x14ac:dyDescent="0.35">
      <c r="A649" s="22">
        <v>45428</v>
      </c>
      <c r="B649">
        <v>77.826999999999998</v>
      </c>
      <c r="C649">
        <v>77.826999999999998</v>
      </c>
      <c r="D649">
        <v>77.826999999999998</v>
      </c>
      <c r="E649">
        <v>77.826999999999998</v>
      </c>
      <c r="F649" s="23">
        <f t="shared" si="10"/>
        <v>1.6602743957374051E-3</v>
      </c>
    </row>
    <row r="650" spans="1:6" x14ac:dyDescent="0.35">
      <c r="A650" s="22">
        <v>45429</v>
      </c>
      <c r="B650">
        <v>78.117000000000004</v>
      </c>
      <c r="C650">
        <v>78.117000000000004</v>
      </c>
      <c r="D650">
        <v>78.117000000000004</v>
      </c>
      <c r="E650">
        <v>78.117000000000004</v>
      </c>
      <c r="F650" s="23">
        <f t="shared" si="10"/>
        <v>3.7262132678891162E-3</v>
      </c>
    </row>
    <row r="651" spans="1:6" x14ac:dyDescent="0.35">
      <c r="A651" s="22">
        <v>45433</v>
      </c>
      <c r="B651">
        <v>78.588999999999999</v>
      </c>
      <c r="C651">
        <v>78.588999999999999</v>
      </c>
      <c r="D651">
        <v>78.588999999999999</v>
      </c>
      <c r="E651">
        <v>78.588999999999999</v>
      </c>
      <c r="F651" s="23">
        <f t="shared" si="10"/>
        <v>6.0422187231971812E-3</v>
      </c>
    </row>
    <row r="652" spans="1:6" x14ac:dyDescent="0.35">
      <c r="A652" s="22">
        <v>45434</v>
      </c>
      <c r="B652">
        <v>78.608000000000004</v>
      </c>
      <c r="C652">
        <v>78.608000000000004</v>
      </c>
      <c r="D652">
        <v>78.608000000000004</v>
      </c>
      <c r="E652">
        <v>78.608000000000004</v>
      </c>
      <c r="F652" s="23">
        <f t="shared" si="10"/>
        <v>2.417641145708109E-4</v>
      </c>
    </row>
    <row r="653" spans="1:6" x14ac:dyDescent="0.35">
      <c r="A653" s="22">
        <v>45435</v>
      </c>
      <c r="B653">
        <v>78.908000000000001</v>
      </c>
      <c r="C653">
        <v>78.908000000000001</v>
      </c>
      <c r="D653">
        <v>78.908000000000001</v>
      </c>
      <c r="E653">
        <v>78.908000000000001</v>
      </c>
      <c r="F653" s="23">
        <f t="shared" si="10"/>
        <v>3.8164054549154939E-3</v>
      </c>
    </row>
    <row r="654" spans="1:6" x14ac:dyDescent="0.35">
      <c r="A654" s="22">
        <v>45436</v>
      </c>
      <c r="B654">
        <v>78.974999999999994</v>
      </c>
      <c r="C654">
        <v>78.974999999999994</v>
      </c>
      <c r="D654">
        <v>78.974999999999994</v>
      </c>
      <c r="E654">
        <v>78.974999999999994</v>
      </c>
      <c r="F654" s="23">
        <f t="shared" si="10"/>
        <v>8.4909007958626579E-4</v>
      </c>
    </row>
    <row r="655" spans="1:6" x14ac:dyDescent="0.35">
      <c r="A655" s="22">
        <v>45439</v>
      </c>
      <c r="B655">
        <v>78.933000000000007</v>
      </c>
      <c r="C655">
        <v>78.933000000000007</v>
      </c>
      <c r="D655">
        <v>78.933000000000007</v>
      </c>
      <c r="E655">
        <v>78.933000000000007</v>
      </c>
      <c r="F655" s="23">
        <f t="shared" si="10"/>
        <v>-5.3181386514703877E-4</v>
      </c>
    </row>
    <row r="656" spans="1:6" x14ac:dyDescent="0.35">
      <c r="A656" s="22">
        <v>45440</v>
      </c>
      <c r="B656">
        <v>78.656999999999996</v>
      </c>
      <c r="C656">
        <v>78.656999999999996</v>
      </c>
      <c r="D656">
        <v>78.656999999999996</v>
      </c>
      <c r="E656">
        <v>78.656999999999996</v>
      </c>
      <c r="F656" s="23">
        <f t="shared" si="10"/>
        <v>-3.4966363878227158E-3</v>
      </c>
    </row>
    <row r="657" spans="1:6" x14ac:dyDescent="0.35">
      <c r="A657" s="22">
        <v>45441</v>
      </c>
      <c r="B657">
        <v>78.382000000000005</v>
      </c>
      <c r="C657">
        <v>78.382000000000005</v>
      </c>
      <c r="D657">
        <v>78.382000000000005</v>
      </c>
      <c r="E657">
        <v>78.382000000000005</v>
      </c>
      <c r="F657" s="23">
        <f t="shared" si="10"/>
        <v>-3.4961923287182514E-3</v>
      </c>
    </row>
    <row r="658" spans="1:6" x14ac:dyDescent="0.35">
      <c r="A658" s="22">
        <v>45442</v>
      </c>
      <c r="B658">
        <v>77.725999999999999</v>
      </c>
      <c r="C658">
        <v>77.725999999999999</v>
      </c>
      <c r="D658">
        <v>77.725999999999999</v>
      </c>
      <c r="E658">
        <v>77.725999999999999</v>
      </c>
      <c r="F658" s="23">
        <f t="shared" si="10"/>
        <v>-8.3692684544921774E-3</v>
      </c>
    </row>
    <row r="659" spans="1:6" x14ac:dyDescent="0.35">
      <c r="A659" s="22">
        <v>45443</v>
      </c>
      <c r="B659">
        <v>77.77</v>
      </c>
      <c r="C659">
        <v>77.77</v>
      </c>
      <c r="D659">
        <v>77.77</v>
      </c>
      <c r="E659">
        <v>77.77</v>
      </c>
      <c r="F659" s="23">
        <f t="shared" si="10"/>
        <v>5.6609114067360895E-4</v>
      </c>
    </row>
    <row r="660" spans="1:6" x14ac:dyDescent="0.35">
      <c r="A660" s="22">
        <v>45446</v>
      </c>
      <c r="B660">
        <v>79.356999999999999</v>
      </c>
      <c r="C660">
        <v>79.356999999999999</v>
      </c>
      <c r="D660">
        <v>79.356999999999999</v>
      </c>
      <c r="E660">
        <v>79.356999999999999</v>
      </c>
      <c r="F660" s="23">
        <f t="shared" si="10"/>
        <v>2.040632634692045E-2</v>
      </c>
    </row>
    <row r="661" spans="1:6" x14ac:dyDescent="0.35">
      <c r="A661" s="22">
        <v>45447</v>
      </c>
      <c r="B661">
        <v>76.034000000000006</v>
      </c>
      <c r="C661">
        <v>76.034000000000006</v>
      </c>
      <c r="D661">
        <v>76.034000000000006</v>
      </c>
      <c r="E661">
        <v>76.034000000000006</v>
      </c>
      <c r="F661" s="23">
        <f t="shared" si="10"/>
        <v>-4.1874062779590882E-2</v>
      </c>
    </row>
    <row r="662" spans="1:6" x14ac:dyDescent="0.35">
      <c r="A662" s="22">
        <v>45448</v>
      </c>
      <c r="B662">
        <v>78.09</v>
      </c>
      <c r="C662">
        <v>78.09</v>
      </c>
      <c r="D662">
        <v>78.09</v>
      </c>
      <c r="E662">
        <v>78.09</v>
      </c>
      <c r="F662" s="23">
        <f t="shared" si="10"/>
        <v>2.7040534497724665E-2</v>
      </c>
    </row>
    <row r="663" spans="1:6" x14ac:dyDescent="0.35">
      <c r="A663" s="22">
        <v>45449</v>
      </c>
      <c r="B663">
        <v>78.814999999999998</v>
      </c>
      <c r="C663">
        <v>78.814999999999998</v>
      </c>
      <c r="D663">
        <v>78.814999999999998</v>
      </c>
      <c r="E663">
        <v>78.814999999999998</v>
      </c>
      <c r="F663" s="23">
        <f t="shared" si="10"/>
        <v>9.2841593033678362E-3</v>
      </c>
    </row>
    <row r="664" spans="1:6" x14ac:dyDescent="0.35">
      <c r="A664" s="22">
        <v>45450</v>
      </c>
      <c r="B664">
        <v>79.765000000000001</v>
      </c>
      <c r="C664">
        <v>79.765000000000001</v>
      </c>
      <c r="D664">
        <v>79.765000000000001</v>
      </c>
      <c r="E664">
        <v>79.765000000000001</v>
      </c>
      <c r="F664" s="23">
        <f t="shared" si="10"/>
        <v>1.2053543107276569E-2</v>
      </c>
    </row>
    <row r="665" spans="1:6" x14ac:dyDescent="0.35">
      <c r="A665" s="22">
        <v>45453</v>
      </c>
      <c r="B665">
        <v>80.150000000000006</v>
      </c>
      <c r="C665">
        <v>80.150000000000006</v>
      </c>
      <c r="D665">
        <v>80.150000000000006</v>
      </c>
      <c r="E665">
        <v>80.150000000000006</v>
      </c>
      <c r="F665" s="23">
        <f t="shared" si="10"/>
        <v>4.8266783677051979E-3</v>
      </c>
    </row>
    <row r="666" spans="1:6" x14ac:dyDescent="0.35">
      <c r="A666" s="22">
        <v>45454</v>
      </c>
      <c r="B666">
        <v>80.259</v>
      </c>
      <c r="C666">
        <v>80.259</v>
      </c>
      <c r="D666">
        <v>80.259</v>
      </c>
      <c r="E666">
        <v>80.259</v>
      </c>
      <c r="F666" s="23">
        <f t="shared" si="10"/>
        <v>1.359950093574481E-3</v>
      </c>
    </row>
    <row r="667" spans="1:6" x14ac:dyDescent="0.35">
      <c r="A667" s="22">
        <v>45455</v>
      </c>
      <c r="B667">
        <v>80.745000000000005</v>
      </c>
      <c r="C667">
        <v>80.745000000000005</v>
      </c>
      <c r="D667">
        <v>80.745000000000005</v>
      </c>
      <c r="E667">
        <v>80.745000000000005</v>
      </c>
      <c r="F667" s="23">
        <f t="shared" si="10"/>
        <v>6.0553956565619332E-3</v>
      </c>
    </row>
    <row r="668" spans="1:6" x14ac:dyDescent="0.35">
      <c r="A668" s="22">
        <v>45456</v>
      </c>
      <c r="B668">
        <v>80.584000000000003</v>
      </c>
      <c r="C668">
        <v>80.584000000000003</v>
      </c>
      <c r="D668">
        <v>80.584000000000003</v>
      </c>
      <c r="E668">
        <v>80.584000000000003</v>
      </c>
      <c r="F668" s="23">
        <f t="shared" si="10"/>
        <v>-1.9939315127871864E-3</v>
      </c>
    </row>
    <row r="669" spans="1:6" x14ac:dyDescent="0.35">
      <c r="A669" s="22">
        <v>45457</v>
      </c>
      <c r="B669">
        <v>80.760000000000005</v>
      </c>
      <c r="C669">
        <v>80.760000000000005</v>
      </c>
      <c r="D669">
        <v>80.760000000000005</v>
      </c>
      <c r="E669">
        <v>80.760000000000005</v>
      </c>
      <c r="F669" s="23">
        <f t="shared" si="10"/>
        <v>2.1840563883649597E-3</v>
      </c>
    </row>
    <row r="670" spans="1:6" x14ac:dyDescent="0.35">
      <c r="A670" s="22">
        <v>45461</v>
      </c>
      <c r="B670">
        <v>80.962000000000003</v>
      </c>
      <c r="C670">
        <v>80.962000000000003</v>
      </c>
      <c r="D670">
        <v>80.962000000000003</v>
      </c>
      <c r="E670">
        <v>80.962000000000003</v>
      </c>
      <c r="F670" s="23">
        <f t="shared" si="10"/>
        <v>2.501238236750844E-3</v>
      </c>
    </row>
    <row r="671" spans="1:6" x14ac:dyDescent="0.35">
      <c r="A671" s="22">
        <v>45462</v>
      </c>
      <c r="B671">
        <v>81.007000000000005</v>
      </c>
      <c r="C671">
        <v>81.007000000000005</v>
      </c>
      <c r="D671">
        <v>81.007000000000005</v>
      </c>
      <c r="E671">
        <v>81.007000000000005</v>
      </c>
      <c r="F671" s="23">
        <f t="shared" si="10"/>
        <v>5.5581630888567105E-4</v>
      </c>
    </row>
    <row r="672" spans="1:6" x14ac:dyDescent="0.35">
      <c r="A672" s="22">
        <v>45463</v>
      </c>
      <c r="B672">
        <v>81.334999999999994</v>
      </c>
      <c r="C672">
        <v>81.334999999999994</v>
      </c>
      <c r="D672">
        <v>81.334999999999994</v>
      </c>
      <c r="E672">
        <v>81.334999999999994</v>
      </c>
      <c r="F672" s="23">
        <f t="shared" si="10"/>
        <v>4.0490327996344604E-3</v>
      </c>
    </row>
    <row r="673" spans="1:6" x14ac:dyDescent="0.35">
      <c r="A673" s="22">
        <v>45464</v>
      </c>
      <c r="B673">
        <v>81.254000000000005</v>
      </c>
      <c r="C673">
        <v>81.254000000000005</v>
      </c>
      <c r="D673">
        <v>81.254000000000005</v>
      </c>
      <c r="E673">
        <v>81.254000000000005</v>
      </c>
      <c r="F673" s="23">
        <f t="shared" si="10"/>
        <v>-9.9588123194183152E-4</v>
      </c>
    </row>
    <row r="674" spans="1:6" x14ac:dyDescent="0.35">
      <c r="A674" s="22">
        <v>45467</v>
      </c>
      <c r="B674">
        <v>81.498000000000005</v>
      </c>
      <c r="C674">
        <v>81.498000000000005</v>
      </c>
      <c r="D674">
        <v>81.498000000000005</v>
      </c>
      <c r="E674">
        <v>81.498000000000005</v>
      </c>
      <c r="F674" s="23">
        <f t="shared" si="10"/>
        <v>3.0029290865680428E-3</v>
      </c>
    </row>
    <row r="675" spans="1:6" x14ac:dyDescent="0.35">
      <c r="A675" s="22">
        <v>45468</v>
      </c>
      <c r="B675">
        <v>81.774000000000001</v>
      </c>
      <c r="C675">
        <v>81.774000000000001</v>
      </c>
      <c r="D675">
        <v>81.774000000000001</v>
      </c>
      <c r="E675">
        <v>81.774000000000001</v>
      </c>
      <c r="F675" s="23">
        <f t="shared" si="10"/>
        <v>3.3865861738937918E-3</v>
      </c>
    </row>
    <row r="676" spans="1:6" x14ac:dyDescent="0.35">
      <c r="A676" s="22">
        <v>45469</v>
      </c>
      <c r="B676">
        <v>81.769000000000005</v>
      </c>
      <c r="C676">
        <v>81.769000000000005</v>
      </c>
      <c r="D676">
        <v>81.769000000000005</v>
      </c>
      <c r="E676">
        <v>81.769000000000005</v>
      </c>
      <c r="F676" s="23">
        <f t="shared" si="10"/>
        <v>-6.1144128940683498E-5</v>
      </c>
    </row>
    <row r="677" spans="1:6" x14ac:dyDescent="0.35">
      <c r="A677" s="22">
        <v>45470</v>
      </c>
      <c r="B677">
        <v>82.055999999999997</v>
      </c>
      <c r="C677">
        <v>82.055999999999997</v>
      </c>
      <c r="D677">
        <v>82.055999999999997</v>
      </c>
      <c r="E677">
        <v>82.055999999999997</v>
      </c>
      <c r="F677" s="23">
        <f t="shared" si="10"/>
        <v>3.5098876102189328E-3</v>
      </c>
    </row>
    <row r="678" spans="1:6" x14ac:dyDescent="0.35">
      <c r="A678" s="22">
        <v>45471</v>
      </c>
      <c r="B678">
        <v>81.938000000000002</v>
      </c>
      <c r="C678">
        <v>81.938000000000002</v>
      </c>
      <c r="D678">
        <v>81.938000000000002</v>
      </c>
      <c r="E678">
        <v>81.938000000000002</v>
      </c>
      <c r="F678" s="23">
        <f t="shared" si="10"/>
        <v>-1.4380423125669665E-3</v>
      </c>
    </row>
    <row r="679" spans="1:6" x14ac:dyDescent="0.35">
      <c r="A679" s="22">
        <v>45474</v>
      </c>
      <c r="B679">
        <v>82.504999999999995</v>
      </c>
      <c r="C679">
        <v>82.504999999999995</v>
      </c>
      <c r="D679">
        <v>82.504999999999995</v>
      </c>
      <c r="E679">
        <v>82.504999999999995</v>
      </c>
      <c r="F679" s="23">
        <f t="shared" si="10"/>
        <v>6.9198662403279678E-3</v>
      </c>
    </row>
    <row r="680" spans="1:6" x14ac:dyDescent="0.35">
      <c r="A680" s="22">
        <v>45475</v>
      </c>
      <c r="B680">
        <v>82.525000000000006</v>
      </c>
      <c r="C680">
        <v>82.525000000000006</v>
      </c>
      <c r="D680">
        <v>82.525000000000006</v>
      </c>
      <c r="E680">
        <v>82.525000000000006</v>
      </c>
      <c r="F680" s="23">
        <f t="shared" si="10"/>
        <v>2.4240955093643091E-4</v>
      </c>
    </row>
    <row r="681" spans="1:6" x14ac:dyDescent="0.35">
      <c r="A681" s="22">
        <v>45476</v>
      </c>
      <c r="B681">
        <v>83.287999999999997</v>
      </c>
      <c r="C681">
        <v>83.287999999999997</v>
      </c>
      <c r="D681">
        <v>83.287999999999997</v>
      </c>
      <c r="E681">
        <v>83.287999999999997</v>
      </c>
      <c r="F681" s="23">
        <f t="shared" si="10"/>
        <v>9.2456831263252465E-3</v>
      </c>
    </row>
    <row r="682" spans="1:6" x14ac:dyDescent="0.35">
      <c r="A682" s="22">
        <v>45477</v>
      </c>
      <c r="B682">
        <v>83.819000000000003</v>
      </c>
      <c r="C682">
        <v>83.819000000000003</v>
      </c>
      <c r="D682">
        <v>83.819000000000003</v>
      </c>
      <c r="E682">
        <v>83.819000000000003</v>
      </c>
      <c r="F682" s="23">
        <f t="shared" si="10"/>
        <v>6.375468254730645E-3</v>
      </c>
    </row>
    <row r="683" spans="1:6" x14ac:dyDescent="0.35">
      <c r="A683" s="22">
        <v>45478</v>
      </c>
      <c r="B683">
        <v>83.921000000000006</v>
      </c>
      <c r="C683">
        <v>83.921000000000006</v>
      </c>
      <c r="D683">
        <v>83.921000000000006</v>
      </c>
      <c r="E683">
        <v>83.921000000000006</v>
      </c>
      <c r="F683" s="23">
        <f t="shared" si="10"/>
        <v>1.2169078609862187E-3</v>
      </c>
    </row>
    <row r="684" spans="1:6" x14ac:dyDescent="0.35">
      <c r="A684" s="22">
        <v>45481</v>
      </c>
      <c r="B684">
        <v>83.977999999999994</v>
      </c>
      <c r="C684">
        <v>83.977999999999994</v>
      </c>
      <c r="D684">
        <v>83.977999999999994</v>
      </c>
      <c r="E684">
        <v>83.977999999999994</v>
      </c>
      <c r="F684" s="23">
        <f t="shared" si="10"/>
        <v>6.7921020960174381E-4</v>
      </c>
    </row>
    <row r="685" spans="1:6" x14ac:dyDescent="0.35">
      <c r="A685" s="22">
        <v>45482</v>
      </c>
      <c r="B685">
        <v>84.364000000000004</v>
      </c>
      <c r="C685">
        <v>84.364000000000004</v>
      </c>
      <c r="D685">
        <v>84.364000000000004</v>
      </c>
      <c r="E685">
        <v>84.364000000000004</v>
      </c>
      <c r="F685" s="23">
        <f t="shared" si="10"/>
        <v>4.5964419252662592E-3</v>
      </c>
    </row>
    <row r="686" spans="1:6" x14ac:dyDescent="0.35">
      <c r="A686" s="22">
        <v>45483</v>
      </c>
      <c r="B686">
        <v>84.197000000000003</v>
      </c>
      <c r="C686">
        <v>84.197000000000003</v>
      </c>
      <c r="D686">
        <v>84.197000000000003</v>
      </c>
      <c r="E686">
        <v>84.197000000000003</v>
      </c>
      <c r="F686" s="23">
        <f t="shared" si="10"/>
        <v>-1.9795173296667011E-3</v>
      </c>
    </row>
    <row r="687" spans="1:6" x14ac:dyDescent="0.35">
      <c r="A687" s="22">
        <v>45484</v>
      </c>
      <c r="B687">
        <v>84.009</v>
      </c>
      <c r="C687">
        <v>84.009</v>
      </c>
      <c r="D687">
        <v>84.009</v>
      </c>
      <c r="E687">
        <v>84.009</v>
      </c>
      <c r="F687" s="23">
        <f t="shared" si="10"/>
        <v>-2.2328586529211537E-3</v>
      </c>
    </row>
    <row r="688" spans="1:6" x14ac:dyDescent="0.35">
      <c r="A688" s="22">
        <v>45485</v>
      </c>
      <c r="B688">
        <v>84.106999999999999</v>
      </c>
      <c r="C688">
        <v>84.106999999999999</v>
      </c>
      <c r="D688">
        <v>84.106999999999999</v>
      </c>
      <c r="E688">
        <v>84.106999999999999</v>
      </c>
      <c r="F688" s="23">
        <f t="shared" si="10"/>
        <v>1.1665416800580768E-3</v>
      </c>
    </row>
    <row r="689" spans="1:6" x14ac:dyDescent="0.35">
      <c r="A689" s="22">
        <v>45488</v>
      </c>
      <c r="B689">
        <v>84.311999999999998</v>
      </c>
      <c r="C689">
        <v>84.311999999999998</v>
      </c>
      <c r="D689">
        <v>84.311999999999998</v>
      </c>
      <c r="E689">
        <v>84.311999999999998</v>
      </c>
      <c r="F689" s="23">
        <f t="shared" si="10"/>
        <v>2.4373714435183551E-3</v>
      </c>
    </row>
    <row r="690" spans="1:6" x14ac:dyDescent="0.35">
      <c r="A690" s="22">
        <v>45489</v>
      </c>
      <c r="B690">
        <v>84.305999999999997</v>
      </c>
      <c r="C690">
        <v>84.305999999999997</v>
      </c>
      <c r="D690">
        <v>84.305999999999997</v>
      </c>
      <c r="E690">
        <v>84.305999999999997</v>
      </c>
      <c r="F690" s="23">
        <f t="shared" si="10"/>
        <v>-7.116424708226857E-5</v>
      </c>
    </row>
    <row r="691" spans="1:6" x14ac:dyDescent="0.35">
      <c r="A691" s="22">
        <v>45491</v>
      </c>
      <c r="B691">
        <v>84</v>
      </c>
      <c r="C691">
        <v>84</v>
      </c>
      <c r="D691">
        <v>84</v>
      </c>
      <c r="E691">
        <v>84</v>
      </c>
      <c r="F691" s="23">
        <f t="shared" si="10"/>
        <v>-3.6296349014304724E-3</v>
      </c>
    </row>
    <row r="692" spans="1:6" x14ac:dyDescent="0.35">
      <c r="A692" s="22">
        <v>45492</v>
      </c>
      <c r="B692">
        <v>83.262</v>
      </c>
      <c r="C692">
        <v>83.262</v>
      </c>
      <c r="D692">
        <v>83.262</v>
      </c>
      <c r="E692">
        <v>83.262</v>
      </c>
      <c r="F692" s="23">
        <f t="shared" si="10"/>
        <v>-8.7857142857142804E-3</v>
      </c>
    </row>
    <row r="693" spans="1:6" x14ac:dyDescent="0.35">
      <c r="A693" s="22">
        <v>45495</v>
      </c>
      <c r="B693">
        <v>83.783000000000001</v>
      </c>
      <c r="C693">
        <v>83.783000000000001</v>
      </c>
      <c r="D693">
        <v>83.783000000000001</v>
      </c>
      <c r="E693">
        <v>83.783000000000001</v>
      </c>
      <c r="F693" s="23">
        <f t="shared" si="10"/>
        <v>6.2573562969902331E-3</v>
      </c>
    </row>
    <row r="694" spans="1:6" x14ac:dyDescent="0.35">
      <c r="A694" s="22">
        <v>45496</v>
      </c>
      <c r="B694">
        <v>83.84</v>
      </c>
      <c r="C694">
        <v>83.84</v>
      </c>
      <c r="D694">
        <v>83.84</v>
      </c>
      <c r="E694">
        <v>83.84</v>
      </c>
      <c r="F694" s="23">
        <f t="shared" si="10"/>
        <v>6.8032894501273713E-4</v>
      </c>
    </row>
    <row r="695" spans="1:6" x14ac:dyDescent="0.35">
      <c r="A695" s="22">
        <v>45497</v>
      </c>
      <c r="B695">
        <v>83.311000000000007</v>
      </c>
      <c r="C695">
        <v>83.311000000000007</v>
      </c>
      <c r="D695">
        <v>83.311000000000007</v>
      </c>
      <c r="E695">
        <v>83.311000000000007</v>
      </c>
      <c r="F695" s="23">
        <f t="shared" si="10"/>
        <v>-6.3096374045801089E-3</v>
      </c>
    </row>
    <row r="696" spans="1:6" x14ac:dyDescent="0.35">
      <c r="A696" s="22">
        <v>45498</v>
      </c>
      <c r="B696">
        <v>82.956000000000003</v>
      </c>
      <c r="C696">
        <v>82.956000000000003</v>
      </c>
      <c r="D696">
        <v>82.956000000000003</v>
      </c>
      <c r="E696">
        <v>82.956000000000003</v>
      </c>
      <c r="F696" s="23">
        <f t="shared" si="10"/>
        <v>-4.2611419860523097E-3</v>
      </c>
    </row>
    <row r="697" spans="1:6" x14ac:dyDescent="0.35">
      <c r="A697" s="22">
        <v>45499</v>
      </c>
      <c r="B697">
        <v>84.010999999999996</v>
      </c>
      <c r="C697">
        <v>84.010999999999996</v>
      </c>
      <c r="D697">
        <v>84.010999999999996</v>
      </c>
      <c r="E697">
        <v>84.010999999999996</v>
      </c>
      <c r="F697" s="23">
        <f t="shared" si="10"/>
        <v>1.2717585225902798E-2</v>
      </c>
    </row>
    <row r="698" spans="1:6" x14ac:dyDescent="0.35">
      <c r="A698" s="22">
        <v>45502</v>
      </c>
      <c r="B698">
        <v>84.23</v>
      </c>
      <c r="C698">
        <v>84.23</v>
      </c>
      <c r="D698">
        <v>84.23</v>
      </c>
      <c r="E698">
        <v>84.23</v>
      </c>
      <c r="F698" s="23">
        <f t="shared" si="10"/>
        <v>2.6068014902811336E-3</v>
      </c>
    </row>
    <row r="699" spans="1:6" x14ac:dyDescent="0.35">
      <c r="A699" s="22">
        <v>45503</v>
      </c>
      <c r="B699">
        <v>84.454999999999998</v>
      </c>
      <c r="C699">
        <v>84.454999999999998</v>
      </c>
      <c r="D699">
        <v>84.454999999999998</v>
      </c>
      <c r="E699">
        <v>84.454999999999998</v>
      </c>
      <c r="F699" s="23">
        <f t="shared" si="10"/>
        <v>2.671257271755839E-3</v>
      </c>
    </row>
    <row r="700" spans="1:6" x14ac:dyDescent="0.35">
      <c r="A700" s="22">
        <v>45504</v>
      </c>
      <c r="B700">
        <v>84.900999999999996</v>
      </c>
      <c r="C700">
        <v>84.900999999999996</v>
      </c>
      <c r="D700">
        <v>84.900999999999996</v>
      </c>
      <c r="E700">
        <v>84.900999999999996</v>
      </c>
      <c r="F700" s="23">
        <f t="shared" si="10"/>
        <v>5.2809188325143325E-3</v>
      </c>
    </row>
    <row r="701" spans="1:6" x14ac:dyDescent="0.35">
      <c r="A701" s="22">
        <v>45505</v>
      </c>
      <c r="B701">
        <v>85.340999999999994</v>
      </c>
      <c r="C701">
        <v>85.340999999999994</v>
      </c>
      <c r="D701">
        <v>85.340999999999994</v>
      </c>
      <c r="E701">
        <v>85.340999999999994</v>
      </c>
      <c r="F701" s="23">
        <f t="shared" si="10"/>
        <v>5.1825066842557535E-3</v>
      </c>
    </row>
    <row r="702" spans="1:6" x14ac:dyDescent="0.35">
      <c r="A702" s="22">
        <v>45506</v>
      </c>
      <c r="B702">
        <v>84.447000000000003</v>
      </c>
      <c r="C702">
        <v>84.447000000000003</v>
      </c>
      <c r="D702">
        <v>84.447000000000003</v>
      </c>
      <c r="E702">
        <v>84.447000000000003</v>
      </c>
      <c r="F702" s="23">
        <f t="shared" si="10"/>
        <v>-1.047562133089595E-2</v>
      </c>
    </row>
    <row r="703" spans="1:6" x14ac:dyDescent="0.35">
      <c r="A703" s="22">
        <v>45509</v>
      </c>
      <c r="B703">
        <v>82.248000000000005</v>
      </c>
      <c r="C703">
        <v>82.248000000000005</v>
      </c>
      <c r="D703">
        <v>82.248000000000005</v>
      </c>
      <c r="E703">
        <v>82.248000000000005</v>
      </c>
      <c r="F703" s="23">
        <f t="shared" si="10"/>
        <v>-2.6040001421009602E-2</v>
      </c>
    </row>
    <row r="704" spans="1:6" x14ac:dyDescent="0.35">
      <c r="A704" s="22">
        <v>45510</v>
      </c>
      <c r="B704">
        <v>82.186000000000007</v>
      </c>
      <c r="C704">
        <v>82.186000000000007</v>
      </c>
      <c r="D704">
        <v>82.186000000000007</v>
      </c>
      <c r="E704">
        <v>82.186000000000007</v>
      </c>
      <c r="F704" s="23">
        <f t="shared" si="10"/>
        <v>-7.538177220114484E-4</v>
      </c>
    </row>
    <row r="705" spans="1:6" x14ac:dyDescent="0.35">
      <c r="A705" s="22">
        <v>45511</v>
      </c>
      <c r="B705">
        <v>83.418999999999997</v>
      </c>
      <c r="C705">
        <v>83.418999999999997</v>
      </c>
      <c r="D705">
        <v>83.418999999999997</v>
      </c>
      <c r="E705">
        <v>83.418999999999997</v>
      </c>
      <c r="F705" s="23">
        <f t="shared" si="10"/>
        <v>1.5002555179714182E-2</v>
      </c>
    </row>
    <row r="706" spans="1:6" x14ac:dyDescent="0.35">
      <c r="A706" s="22">
        <v>45512</v>
      </c>
      <c r="B706">
        <v>83.283000000000001</v>
      </c>
      <c r="C706">
        <v>83.283000000000001</v>
      </c>
      <c r="D706">
        <v>83.283000000000001</v>
      </c>
      <c r="E706">
        <v>83.283000000000001</v>
      </c>
      <c r="F706" s="23">
        <f t="shared" si="10"/>
        <v>-1.6303240269002948E-3</v>
      </c>
    </row>
    <row r="707" spans="1:6" x14ac:dyDescent="0.35">
      <c r="A707" s="22">
        <v>45513</v>
      </c>
      <c r="B707">
        <v>83.838999999999999</v>
      </c>
      <c r="C707">
        <v>83.838999999999999</v>
      </c>
      <c r="D707">
        <v>83.838999999999999</v>
      </c>
      <c r="E707">
        <v>83.838999999999999</v>
      </c>
      <c r="F707" s="23">
        <f t="shared" ref="F707:F770" si="11">(B707-B706)/B706</f>
        <v>6.6760323235233766E-3</v>
      </c>
    </row>
    <row r="708" spans="1:6" x14ac:dyDescent="0.35">
      <c r="A708" s="22">
        <v>45516</v>
      </c>
      <c r="B708">
        <v>83.716999999999999</v>
      </c>
      <c r="C708">
        <v>83.716999999999999</v>
      </c>
      <c r="D708">
        <v>83.716999999999999</v>
      </c>
      <c r="E708">
        <v>83.716999999999999</v>
      </c>
      <c r="F708" s="23">
        <f t="shared" si="11"/>
        <v>-1.4551700282684657E-3</v>
      </c>
    </row>
    <row r="709" spans="1:6" x14ac:dyDescent="0.35">
      <c r="A709" s="22">
        <v>45517</v>
      </c>
      <c r="B709">
        <v>83.102999999999994</v>
      </c>
      <c r="C709">
        <v>83.102999999999994</v>
      </c>
      <c r="D709">
        <v>83.102999999999994</v>
      </c>
      <c r="E709">
        <v>83.102999999999994</v>
      </c>
      <c r="F709" s="23">
        <f t="shared" si="11"/>
        <v>-7.3342331903914898E-3</v>
      </c>
    </row>
    <row r="710" spans="1:6" x14ac:dyDescent="0.35">
      <c r="A710" s="22">
        <v>45518</v>
      </c>
      <c r="B710">
        <v>82.998000000000005</v>
      </c>
      <c r="C710">
        <v>82.998000000000005</v>
      </c>
      <c r="D710">
        <v>82.998000000000005</v>
      </c>
      <c r="E710">
        <v>82.998000000000005</v>
      </c>
      <c r="F710" s="23">
        <f t="shared" si="11"/>
        <v>-1.2634922926968914E-3</v>
      </c>
    </row>
    <row r="711" spans="1:6" x14ac:dyDescent="0.35">
      <c r="A711" s="22">
        <v>45520</v>
      </c>
      <c r="B711">
        <v>84.381</v>
      </c>
      <c r="C711">
        <v>84.381</v>
      </c>
      <c r="D711">
        <v>84.381</v>
      </c>
      <c r="E711">
        <v>84.381</v>
      </c>
      <c r="F711" s="23">
        <f t="shared" si="11"/>
        <v>1.6663052121737819E-2</v>
      </c>
    </row>
    <row r="712" spans="1:6" x14ac:dyDescent="0.35">
      <c r="A712" s="22">
        <v>45523</v>
      </c>
      <c r="B712">
        <v>84.682000000000002</v>
      </c>
      <c r="C712">
        <v>84.682000000000002</v>
      </c>
      <c r="D712">
        <v>84.682000000000002</v>
      </c>
      <c r="E712">
        <v>84.682000000000002</v>
      </c>
      <c r="F712" s="23">
        <f t="shared" si="11"/>
        <v>3.5671537431412512E-3</v>
      </c>
    </row>
    <row r="713" spans="1:6" x14ac:dyDescent="0.35">
      <c r="A713" s="22">
        <v>45524</v>
      </c>
      <c r="B713">
        <v>85.161000000000001</v>
      </c>
      <c r="C713">
        <v>85.161000000000001</v>
      </c>
      <c r="D713">
        <v>85.161000000000001</v>
      </c>
      <c r="E713">
        <v>85.161000000000001</v>
      </c>
      <c r="F713" s="23">
        <f t="shared" si="11"/>
        <v>5.6564559174322668E-3</v>
      </c>
    </row>
    <row r="714" spans="1:6" x14ac:dyDescent="0.35">
      <c r="A714" s="22">
        <v>45525</v>
      </c>
      <c r="B714">
        <v>85.311999999999998</v>
      </c>
      <c r="C714">
        <v>85.311999999999998</v>
      </c>
      <c r="D714">
        <v>85.311999999999998</v>
      </c>
      <c r="E714">
        <v>85.311999999999998</v>
      </c>
      <c r="F714" s="23">
        <f t="shared" si="11"/>
        <v>1.7731121053063755E-3</v>
      </c>
    </row>
    <row r="715" spans="1:6" x14ac:dyDescent="0.35">
      <c r="A715" s="22">
        <v>45526</v>
      </c>
      <c r="B715">
        <v>85.278000000000006</v>
      </c>
      <c r="C715">
        <v>85.278000000000006</v>
      </c>
      <c r="D715">
        <v>85.278000000000006</v>
      </c>
      <c r="E715">
        <v>85.278000000000006</v>
      </c>
      <c r="F715" s="23">
        <f t="shared" si="11"/>
        <v>-3.9853713428347493E-4</v>
      </c>
    </row>
    <row r="716" spans="1:6" x14ac:dyDescent="0.35">
      <c r="A716" s="22">
        <v>45527</v>
      </c>
      <c r="B716">
        <v>85.412000000000006</v>
      </c>
      <c r="C716">
        <v>85.412000000000006</v>
      </c>
      <c r="D716">
        <v>85.412000000000006</v>
      </c>
      <c r="E716">
        <v>85.412000000000006</v>
      </c>
      <c r="F716" s="23">
        <f t="shared" si="11"/>
        <v>1.5713314102113129E-3</v>
      </c>
    </row>
    <row r="717" spans="1:6" x14ac:dyDescent="0.35">
      <c r="A717" s="22">
        <v>45530</v>
      </c>
      <c r="B717">
        <v>85.762</v>
      </c>
      <c r="C717">
        <v>85.762</v>
      </c>
      <c r="D717">
        <v>85.762</v>
      </c>
      <c r="E717">
        <v>85.762</v>
      </c>
      <c r="F717" s="23">
        <f t="shared" si="11"/>
        <v>4.0977848545871104E-3</v>
      </c>
    </row>
    <row r="718" spans="1:6" x14ac:dyDescent="0.35">
      <c r="A718" s="22">
        <v>45531</v>
      </c>
      <c r="B718">
        <v>85.712000000000003</v>
      </c>
      <c r="C718">
        <v>85.712000000000003</v>
      </c>
      <c r="D718">
        <v>85.712000000000003</v>
      </c>
      <c r="E718">
        <v>85.712000000000003</v>
      </c>
      <c r="F718" s="23">
        <f t="shared" si="11"/>
        <v>-5.8300879177254682E-4</v>
      </c>
    </row>
    <row r="719" spans="1:6" x14ac:dyDescent="0.35">
      <c r="A719" s="22">
        <v>45532</v>
      </c>
      <c r="B719">
        <v>85.525000000000006</v>
      </c>
      <c r="C719">
        <v>85.525000000000006</v>
      </c>
      <c r="D719">
        <v>85.525000000000006</v>
      </c>
      <c r="E719">
        <v>85.525000000000006</v>
      </c>
      <c r="F719" s="23">
        <f t="shared" si="11"/>
        <v>-2.1817248459958653E-3</v>
      </c>
    </row>
    <row r="720" spans="1:6" x14ac:dyDescent="0.35">
      <c r="A720" s="22">
        <v>45533</v>
      </c>
      <c r="B720">
        <v>85.623999999999995</v>
      </c>
      <c r="C720">
        <v>85.623999999999995</v>
      </c>
      <c r="D720">
        <v>85.623999999999995</v>
      </c>
      <c r="E720">
        <v>85.623999999999995</v>
      </c>
      <c r="F720" s="23">
        <f t="shared" si="11"/>
        <v>1.1575562700963406E-3</v>
      </c>
    </row>
    <row r="721" spans="1:6" x14ac:dyDescent="0.35">
      <c r="A721" s="22">
        <v>45534</v>
      </c>
      <c r="B721">
        <v>85.887</v>
      </c>
      <c r="C721">
        <v>85.887</v>
      </c>
      <c r="D721">
        <v>85.887</v>
      </c>
      <c r="E721">
        <v>85.887</v>
      </c>
      <c r="F721" s="23">
        <f t="shared" si="11"/>
        <v>3.0715687190507948E-3</v>
      </c>
    </row>
    <row r="722" spans="1:6" x14ac:dyDescent="0.35">
      <c r="A722" s="22">
        <v>45537</v>
      </c>
      <c r="B722">
        <v>86.387</v>
      </c>
      <c r="C722">
        <v>86.387</v>
      </c>
      <c r="D722">
        <v>86.387</v>
      </c>
      <c r="E722">
        <v>86.387</v>
      </c>
      <c r="F722" s="23">
        <f t="shared" si="11"/>
        <v>5.8216028036839106E-3</v>
      </c>
    </row>
    <row r="723" spans="1:6" x14ac:dyDescent="0.35">
      <c r="A723" s="22">
        <v>45538</v>
      </c>
      <c r="B723">
        <v>86.414000000000001</v>
      </c>
      <c r="C723">
        <v>86.414000000000001</v>
      </c>
      <c r="D723">
        <v>86.414000000000001</v>
      </c>
      <c r="E723">
        <v>86.414000000000001</v>
      </c>
      <c r="F723" s="23">
        <f t="shared" si="11"/>
        <v>3.1254702675172219E-4</v>
      </c>
    </row>
    <row r="724" spans="1:6" x14ac:dyDescent="0.35">
      <c r="A724" s="22">
        <v>45539</v>
      </c>
      <c r="B724">
        <v>86.207999999999998</v>
      </c>
      <c r="C724">
        <v>86.207999999999998</v>
      </c>
      <c r="D724">
        <v>86.207999999999998</v>
      </c>
      <c r="E724">
        <v>86.207999999999998</v>
      </c>
      <c r="F724" s="23">
        <f t="shared" si="11"/>
        <v>-2.3838729835443688E-3</v>
      </c>
    </row>
    <row r="725" spans="1:6" x14ac:dyDescent="0.35">
      <c r="A725" s="22">
        <v>45540</v>
      </c>
      <c r="B725">
        <v>86.231999999999999</v>
      </c>
      <c r="C725">
        <v>86.231999999999999</v>
      </c>
      <c r="D725">
        <v>86.231999999999999</v>
      </c>
      <c r="E725">
        <v>86.231999999999999</v>
      </c>
      <c r="F725" s="23">
        <f t="shared" si="11"/>
        <v>2.7839643652562303E-4</v>
      </c>
    </row>
    <row r="726" spans="1:6" x14ac:dyDescent="0.35">
      <c r="A726" s="22">
        <v>45541</v>
      </c>
      <c r="B726">
        <v>85.138999999999996</v>
      </c>
      <c r="C726">
        <v>85.138999999999996</v>
      </c>
      <c r="D726">
        <v>85.138999999999996</v>
      </c>
      <c r="E726">
        <v>85.138999999999996</v>
      </c>
      <c r="F726" s="23">
        <f t="shared" si="11"/>
        <v>-1.2675109008256837E-2</v>
      </c>
    </row>
    <row r="727" spans="1:6" x14ac:dyDescent="0.35">
      <c r="A727" s="22">
        <v>45544</v>
      </c>
      <c r="B727">
        <v>85.052999999999997</v>
      </c>
      <c r="C727">
        <v>85.052999999999997</v>
      </c>
      <c r="D727">
        <v>85.052999999999997</v>
      </c>
      <c r="E727">
        <v>85.052999999999997</v>
      </c>
      <c r="F727" s="23">
        <f t="shared" si="11"/>
        <v>-1.0101128742409299E-3</v>
      </c>
    </row>
    <row r="728" spans="1:6" x14ac:dyDescent="0.35">
      <c r="A728" s="22">
        <v>45545</v>
      </c>
      <c r="B728">
        <v>85.65</v>
      </c>
      <c r="C728">
        <v>85.65</v>
      </c>
      <c r="D728">
        <v>85.65</v>
      </c>
      <c r="E728">
        <v>85.65</v>
      </c>
      <c r="F728" s="23">
        <f t="shared" si="11"/>
        <v>7.0191527635710491E-3</v>
      </c>
    </row>
    <row r="729" spans="1:6" x14ac:dyDescent="0.35">
      <c r="A729" s="22">
        <v>45546</v>
      </c>
      <c r="B729">
        <v>85.703000000000003</v>
      </c>
      <c r="C729">
        <v>85.703000000000003</v>
      </c>
      <c r="D729">
        <v>85.703000000000003</v>
      </c>
      <c r="E729">
        <v>85.703000000000003</v>
      </c>
      <c r="F729" s="23">
        <f t="shared" si="11"/>
        <v>6.1879743140685656E-4</v>
      </c>
    </row>
    <row r="730" spans="1:6" x14ac:dyDescent="0.35">
      <c r="A730" s="22">
        <v>45547</v>
      </c>
      <c r="B730">
        <v>86.697999999999993</v>
      </c>
      <c r="C730">
        <v>86.697999999999993</v>
      </c>
      <c r="D730">
        <v>86.697999999999993</v>
      </c>
      <c r="E730">
        <v>86.697999999999993</v>
      </c>
      <c r="F730" s="23">
        <f t="shared" si="11"/>
        <v>1.1609861965158633E-2</v>
      </c>
    </row>
    <row r="731" spans="1:6" x14ac:dyDescent="0.35">
      <c r="A731" s="22">
        <v>45548</v>
      </c>
      <c r="B731">
        <v>86.688999999999993</v>
      </c>
      <c r="C731">
        <v>86.688999999999993</v>
      </c>
      <c r="D731">
        <v>86.688999999999993</v>
      </c>
      <c r="E731">
        <v>86.688999999999993</v>
      </c>
      <c r="F731" s="23">
        <f t="shared" si="11"/>
        <v>-1.0380862303629082E-4</v>
      </c>
    </row>
    <row r="732" spans="1:6" x14ac:dyDescent="0.35">
      <c r="A732" s="22">
        <v>45551</v>
      </c>
      <c r="B732">
        <v>87.037000000000006</v>
      </c>
      <c r="C732">
        <v>87.037000000000006</v>
      </c>
      <c r="D732">
        <v>87.037000000000006</v>
      </c>
      <c r="E732">
        <v>87.037000000000006</v>
      </c>
      <c r="F732" s="23">
        <f t="shared" si="11"/>
        <v>4.014350148231185E-3</v>
      </c>
    </row>
    <row r="733" spans="1:6" x14ac:dyDescent="0.35">
      <c r="A733" s="22">
        <v>45552</v>
      </c>
      <c r="B733">
        <v>87.081999999999994</v>
      </c>
      <c r="C733">
        <v>87.081999999999994</v>
      </c>
      <c r="D733">
        <v>87.081999999999994</v>
      </c>
      <c r="E733">
        <v>87.081999999999994</v>
      </c>
      <c r="F733" s="23">
        <f t="shared" si="11"/>
        <v>5.1702149660474842E-4</v>
      </c>
    </row>
    <row r="734" spans="1:6" x14ac:dyDescent="0.35">
      <c r="A734" s="22">
        <v>45553</v>
      </c>
      <c r="B734">
        <v>87.296999999999997</v>
      </c>
      <c r="C734">
        <v>87.296999999999997</v>
      </c>
      <c r="D734">
        <v>87.296999999999997</v>
      </c>
      <c r="E734">
        <v>87.296999999999997</v>
      </c>
      <c r="F734" s="23">
        <f t="shared" si="11"/>
        <v>2.468937323442312E-3</v>
      </c>
    </row>
    <row r="735" spans="1:6" x14ac:dyDescent="0.35">
      <c r="A735" s="22">
        <v>45554</v>
      </c>
      <c r="B735">
        <v>87.533000000000001</v>
      </c>
      <c r="C735">
        <v>87.533000000000001</v>
      </c>
      <c r="D735">
        <v>87.533000000000001</v>
      </c>
      <c r="E735">
        <v>87.533000000000001</v>
      </c>
      <c r="F735" s="23">
        <f t="shared" si="11"/>
        <v>2.7034147794311857E-3</v>
      </c>
    </row>
    <row r="736" spans="1:6" x14ac:dyDescent="0.35">
      <c r="A736" s="22">
        <v>45555</v>
      </c>
      <c r="B736">
        <v>88.712000000000003</v>
      </c>
      <c r="C736">
        <v>88.712000000000003</v>
      </c>
      <c r="D736">
        <v>88.712000000000003</v>
      </c>
      <c r="E736">
        <v>88.712000000000003</v>
      </c>
      <c r="F736" s="23">
        <f t="shared" si="11"/>
        <v>1.3469205899489359E-2</v>
      </c>
    </row>
    <row r="737" spans="1:6" x14ac:dyDescent="0.35">
      <c r="A737" s="22">
        <v>45558</v>
      </c>
      <c r="B737">
        <v>88.968999999999994</v>
      </c>
      <c r="C737">
        <v>88.968999999999994</v>
      </c>
      <c r="D737">
        <v>88.968999999999994</v>
      </c>
      <c r="E737">
        <v>88.968999999999994</v>
      </c>
      <c r="F737" s="23">
        <f t="shared" si="11"/>
        <v>2.8970150599692351E-3</v>
      </c>
    </row>
    <row r="738" spans="1:6" x14ac:dyDescent="0.35">
      <c r="A738" s="22">
        <v>45559</v>
      </c>
      <c r="B738">
        <v>88.902000000000001</v>
      </c>
      <c r="C738">
        <v>88.902000000000001</v>
      </c>
      <c r="D738">
        <v>88.902000000000001</v>
      </c>
      <c r="E738">
        <v>88.902000000000001</v>
      </c>
      <c r="F738" s="23">
        <f t="shared" si="11"/>
        <v>-7.5307129449575776E-4</v>
      </c>
    </row>
    <row r="739" spans="1:6" x14ac:dyDescent="0.35">
      <c r="A739" s="22">
        <v>45560</v>
      </c>
      <c r="B739">
        <v>89.188000000000002</v>
      </c>
      <c r="C739">
        <v>89.188000000000002</v>
      </c>
      <c r="D739">
        <v>89.188000000000002</v>
      </c>
      <c r="E739">
        <v>89.188000000000002</v>
      </c>
      <c r="F739" s="23">
        <f t="shared" si="11"/>
        <v>3.2170254887404263E-3</v>
      </c>
    </row>
    <row r="740" spans="1:6" x14ac:dyDescent="0.35">
      <c r="A740" s="22">
        <v>45561</v>
      </c>
      <c r="B740">
        <v>89.599000000000004</v>
      </c>
      <c r="C740">
        <v>89.599000000000004</v>
      </c>
      <c r="D740">
        <v>89.599000000000004</v>
      </c>
      <c r="E740">
        <v>89.599000000000004</v>
      </c>
      <c r="F740" s="23">
        <f t="shared" si="11"/>
        <v>4.6082432614253186E-3</v>
      </c>
    </row>
    <row r="741" spans="1:6" x14ac:dyDescent="0.35">
      <c r="A741" s="22">
        <v>45562</v>
      </c>
      <c r="B741">
        <v>89.150999999999996</v>
      </c>
      <c r="C741">
        <v>89.150999999999996</v>
      </c>
      <c r="D741">
        <v>89.150999999999996</v>
      </c>
      <c r="E741">
        <v>89.150999999999996</v>
      </c>
      <c r="F741" s="23">
        <f t="shared" si="11"/>
        <v>-5.0000558041943264E-3</v>
      </c>
    </row>
    <row r="742" spans="1:6" x14ac:dyDescent="0.35">
      <c r="A742" s="22">
        <v>45565</v>
      </c>
      <c r="B742">
        <v>88.617000000000004</v>
      </c>
      <c r="C742">
        <v>88.617000000000004</v>
      </c>
      <c r="D742">
        <v>88.617000000000004</v>
      </c>
      <c r="E742">
        <v>88.617000000000004</v>
      </c>
      <c r="F742" s="23">
        <f t="shared" si="11"/>
        <v>-5.9898374667697709E-3</v>
      </c>
    </row>
    <row r="743" spans="1:6" x14ac:dyDescent="0.35">
      <c r="A743" s="22">
        <v>45566</v>
      </c>
      <c r="B743">
        <v>88.646000000000001</v>
      </c>
      <c r="C743">
        <v>88.646000000000001</v>
      </c>
      <c r="D743">
        <v>88.646000000000001</v>
      </c>
      <c r="E743">
        <v>88.646000000000001</v>
      </c>
      <c r="F743" s="23">
        <f t="shared" si="11"/>
        <v>3.2725097893176661E-4</v>
      </c>
    </row>
    <row r="744" spans="1:6" x14ac:dyDescent="0.35">
      <c r="A744" s="22">
        <v>45568</v>
      </c>
      <c r="B744">
        <v>87.466999999999999</v>
      </c>
      <c r="C744">
        <v>87.466999999999999</v>
      </c>
      <c r="D744">
        <v>87.466999999999999</v>
      </c>
      <c r="E744">
        <v>87.466999999999999</v>
      </c>
      <c r="F744" s="23">
        <f t="shared" si="11"/>
        <v>-1.3300092502763825E-2</v>
      </c>
    </row>
    <row r="745" spans="1:6" x14ac:dyDescent="0.35">
      <c r="A745" s="22">
        <v>45569</v>
      </c>
      <c r="B745">
        <v>87.022999999999996</v>
      </c>
      <c r="C745">
        <v>87.022999999999996</v>
      </c>
      <c r="D745">
        <v>87.022999999999996</v>
      </c>
      <c r="E745">
        <v>87.022999999999996</v>
      </c>
      <c r="F745" s="23">
        <f t="shared" si="11"/>
        <v>-5.0762001669201256E-3</v>
      </c>
    </row>
    <row r="746" spans="1:6" x14ac:dyDescent="0.35">
      <c r="A746" s="22">
        <v>45572</v>
      </c>
      <c r="B746">
        <v>85.975999999999999</v>
      </c>
      <c r="C746">
        <v>85.975999999999999</v>
      </c>
      <c r="D746">
        <v>85.975999999999999</v>
      </c>
      <c r="E746">
        <v>85.975999999999999</v>
      </c>
      <c r="F746" s="23">
        <f t="shared" si="11"/>
        <v>-1.2031302069567783E-2</v>
      </c>
    </row>
    <row r="747" spans="1:6" x14ac:dyDescent="0.35">
      <c r="A747" s="22">
        <v>45573</v>
      </c>
      <c r="B747">
        <v>86.682000000000002</v>
      </c>
      <c r="C747">
        <v>86.682000000000002</v>
      </c>
      <c r="D747">
        <v>86.682000000000002</v>
      </c>
      <c r="E747">
        <v>86.682000000000002</v>
      </c>
      <c r="F747" s="23">
        <f t="shared" si="11"/>
        <v>8.2115939331906928E-3</v>
      </c>
    </row>
    <row r="748" spans="1:6" x14ac:dyDescent="0.35">
      <c r="A748" s="22">
        <v>45574</v>
      </c>
      <c r="B748">
        <v>86.959000000000003</v>
      </c>
      <c r="C748">
        <v>86.959000000000003</v>
      </c>
      <c r="D748">
        <v>86.959000000000003</v>
      </c>
      <c r="E748">
        <v>86.959000000000003</v>
      </c>
      <c r="F748" s="23">
        <f t="shared" si="11"/>
        <v>3.1955884728086686E-3</v>
      </c>
    </row>
    <row r="749" spans="1:6" x14ac:dyDescent="0.35">
      <c r="A749" s="22">
        <v>45575</v>
      </c>
      <c r="B749">
        <v>87.429000000000002</v>
      </c>
      <c r="C749">
        <v>87.429000000000002</v>
      </c>
      <c r="D749">
        <v>87.429000000000002</v>
      </c>
      <c r="E749">
        <v>87.429000000000002</v>
      </c>
      <c r="F749" s="23">
        <f t="shared" si="11"/>
        <v>5.4048459618900729E-3</v>
      </c>
    </row>
    <row r="750" spans="1:6" x14ac:dyDescent="0.35">
      <c r="A750" s="22">
        <v>45576</v>
      </c>
      <c r="B750">
        <v>87.537999999999997</v>
      </c>
      <c r="C750">
        <v>87.537999999999997</v>
      </c>
      <c r="D750">
        <v>87.537999999999997</v>
      </c>
      <c r="E750">
        <v>87.537999999999997</v>
      </c>
      <c r="F750" s="23">
        <f t="shared" si="11"/>
        <v>1.2467259147421869E-3</v>
      </c>
    </row>
    <row r="751" spans="1:6" x14ac:dyDescent="0.35">
      <c r="A751" s="22">
        <v>45579</v>
      </c>
      <c r="B751">
        <v>87.873000000000005</v>
      </c>
      <c r="C751">
        <v>87.873000000000005</v>
      </c>
      <c r="D751">
        <v>87.873000000000005</v>
      </c>
      <c r="E751">
        <v>87.873000000000005</v>
      </c>
      <c r="F751" s="23">
        <f t="shared" si="11"/>
        <v>3.8269094564647122E-3</v>
      </c>
    </row>
    <row r="752" spans="1:6" x14ac:dyDescent="0.35">
      <c r="A752" s="22">
        <v>45580</v>
      </c>
      <c r="B752">
        <v>88.091999999999999</v>
      </c>
      <c r="C752">
        <v>88.091999999999999</v>
      </c>
      <c r="D752">
        <v>88.091999999999999</v>
      </c>
      <c r="E752">
        <v>88.091999999999999</v>
      </c>
      <c r="F752" s="23">
        <f t="shared" si="11"/>
        <v>2.4922331091460866E-3</v>
      </c>
    </row>
    <row r="753" spans="1:6" x14ac:dyDescent="0.35">
      <c r="A753" s="22">
        <v>45581</v>
      </c>
      <c r="B753">
        <v>87.757999999999996</v>
      </c>
      <c r="C753">
        <v>87.757999999999996</v>
      </c>
      <c r="D753">
        <v>87.757999999999996</v>
      </c>
      <c r="E753">
        <v>87.757999999999996</v>
      </c>
      <c r="F753" s="23">
        <f t="shared" si="11"/>
        <v>-3.7914907142533169E-3</v>
      </c>
    </row>
    <row r="754" spans="1:6" x14ac:dyDescent="0.35">
      <c r="A754" s="22">
        <v>45582</v>
      </c>
      <c r="B754">
        <v>87.242000000000004</v>
      </c>
      <c r="C754">
        <v>87.242000000000004</v>
      </c>
      <c r="D754">
        <v>87.242000000000004</v>
      </c>
      <c r="E754">
        <v>87.242000000000004</v>
      </c>
      <c r="F754" s="23">
        <f t="shared" si="11"/>
        <v>-5.8798058296678501E-3</v>
      </c>
    </row>
    <row r="755" spans="1:6" x14ac:dyDescent="0.35">
      <c r="A755" s="22">
        <v>45583</v>
      </c>
      <c r="B755">
        <v>87.668000000000006</v>
      </c>
      <c r="C755">
        <v>87.668000000000006</v>
      </c>
      <c r="D755">
        <v>87.668000000000006</v>
      </c>
      <c r="E755">
        <v>87.668000000000006</v>
      </c>
      <c r="F755" s="23">
        <f t="shared" si="11"/>
        <v>4.8829692120767737E-3</v>
      </c>
    </row>
    <row r="756" spans="1:6" x14ac:dyDescent="0.35">
      <c r="A756" s="22">
        <v>45586</v>
      </c>
      <c r="B756">
        <v>87.375</v>
      </c>
      <c r="C756">
        <v>87.375</v>
      </c>
      <c r="D756">
        <v>87.375</v>
      </c>
      <c r="E756">
        <v>87.375</v>
      </c>
      <c r="F756" s="23">
        <f t="shared" si="11"/>
        <v>-3.3421544919469627E-3</v>
      </c>
    </row>
    <row r="757" spans="1:6" x14ac:dyDescent="0.35">
      <c r="A757" s="22">
        <v>45587</v>
      </c>
      <c r="B757">
        <v>86.641000000000005</v>
      </c>
      <c r="C757">
        <v>86.641000000000005</v>
      </c>
      <c r="D757">
        <v>86.641000000000005</v>
      </c>
      <c r="E757">
        <v>86.641000000000005</v>
      </c>
      <c r="F757" s="23">
        <f t="shared" si="11"/>
        <v>-8.4005722460657479E-3</v>
      </c>
    </row>
    <row r="758" spans="1:6" x14ac:dyDescent="0.35">
      <c r="A758" s="22">
        <v>45588</v>
      </c>
      <c r="B758">
        <v>86.489000000000004</v>
      </c>
      <c r="C758">
        <v>86.489000000000004</v>
      </c>
      <c r="D758">
        <v>86.489000000000004</v>
      </c>
      <c r="E758">
        <v>86.489000000000004</v>
      </c>
      <c r="F758" s="23">
        <f t="shared" si="11"/>
        <v>-1.7543657160005196E-3</v>
      </c>
    </row>
    <row r="759" spans="1:6" x14ac:dyDescent="0.35">
      <c r="A759" s="22">
        <v>45589</v>
      </c>
      <c r="B759">
        <v>86.462000000000003</v>
      </c>
      <c r="C759">
        <v>86.462000000000003</v>
      </c>
      <c r="D759">
        <v>86.462000000000003</v>
      </c>
      <c r="E759">
        <v>86.462000000000003</v>
      </c>
      <c r="F759" s="23">
        <f t="shared" si="11"/>
        <v>-3.1217842731446797E-4</v>
      </c>
    </row>
    <row r="760" spans="1:6" x14ac:dyDescent="0.35">
      <c r="A760" s="22">
        <v>45590</v>
      </c>
      <c r="B760">
        <v>86.153000000000006</v>
      </c>
      <c r="C760">
        <v>86.153000000000006</v>
      </c>
      <c r="D760">
        <v>86.153000000000006</v>
      </c>
      <c r="E760">
        <v>86.153000000000006</v>
      </c>
      <c r="F760" s="23">
        <f t="shared" si="11"/>
        <v>-3.5738243390159548E-3</v>
      </c>
    </row>
    <row r="761" spans="1:6" x14ac:dyDescent="0.35">
      <c r="A761" s="22">
        <v>45593</v>
      </c>
      <c r="B761">
        <v>86.314999999999998</v>
      </c>
      <c r="C761">
        <v>86.314999999999998</v>
      </c>
      <c r="D761">
        <v>86.314999999999998</v>
      </c>
      <c r="E761">
        <v>86.314999999999998</v>
      </c>
      <c r="F761" s="23">
        <f t="shared" si="11"/>
        <v>1.8803756108317982E-3</v>
      </c>
    </row>
    <row r="762" spans="1:6" x14ac:dyDescent="0.35">
      <c r="A762" s="22">
        <v>45594</v>
      </c>
      <c r="B762">
        <v>86.86</v>
      </c>
      <c r="C762">
        <v>86.86</v>
      </c>
      <c r="D762">
        <v>86.86</v>
      </c>
      <c r="E762">
        <v>86.86</v>
      </c>
      <c r="F762" s="23">
        <f t="shared" si="11"/>
        <v>6.3140821409952115E-3</v>
      </c>
    </row>
    <row r="763" spans="1:6" x14ac:dyDescent="0.35">
      <c r="A763" s="22">
        <v>45595</v>
      </c>
      <c r="B763">
        <v>86.525999999999996</v>
      </c>
      <c r="C763">
        <v>86.525999999999996</v>
      </c>
      <c r="D763">
        <v>86.525999999999996</v>
      </c>
      <c r="E763">
        <v>86.525999999999996</v>
      </c>
      <c r="F763" s="23">
        <f t="shared" si="11"/>
        <v>-3.8452682477550446E-3</v>
      </c>
    </row>
    <row r="764" spans="1:6" x14ac:dyDescent="0.35">
      <c r="A764" s="22">
        <v>45596</v>
      </c>
      <c r="B764">
        <v>85.980999999999995</v>
      </c>
      <c r="C764">
        <v>85.980999999999995</v>
      </c>
      <c r="D764">
        <v>85.980999999999995</v>
      </c>
      <c r="E764">
        <v>85.980999999999995</v>
      </c>
      <c r="F764" s="23">
        <f t="shared" si="11"/>
        <v>-6.2986847883873256E-3</v>
      </c>
    </row>
    <row r="765" spans="1:6" x14ac:dyDescent="0.35">
      <c r="A765" s="22">
        <v>45600</v>
      </c>
      <c r="B765">
        <v>85.765000000000001</v>
      </c>
      <c r="C765">
        <v>85.765000000000001</v>
      </c>
      <c r="D765">
        <v>85.765000000000001</v>
      </c>
      <c r="E765">
        <v>85.765000000000001</v>
      </c>
      <c r="F765" s="23">
        <f t="shared" si="11"/>
        <v>-2.5121829241343319E-3</v>
      </c>
    </row>
    <row r="766" spans="1:6" x14ac:dyDescent="0.35">
      <c r="A766" s="22">
        <v>45601</v>
      </c>
      <c r="B766">
        <v>86.378</v>
      </c>
      <c r="C766">
        <v>86.378</v>
      </c>
      <c r="D766">
        <v>86.378</v>
      </c>
      <c r="E766">
        <v>86.378</v>
      </c>
      <c r="F766" s="23">
        <f t="shared" si="11"/>
        <v>7.1474377659884519E-3</v>
      </c>
    </row>
    <row r="767" spans="1:6" x14ac:dyDescent="0.35">
      <c r="A767" s="22">
        <v>45602</v>
      </c>
      <c r="B767">
        <v>87.084999999999994</v>
      </c>
      <c r="C767">
        <v>87.084999999999994</v>
      </c>
      <c r="D767">
        <v>87.084999999999994</v>
      </c>
      <c r="E767">
        <v>87.084999999999994</v>
      </c>
      <c r="F767" s="23">
        <f t="shared" si="11"/>
        <v>8.1849545023037536E-3</v>
      </c>
    </row>
    <row r="768" spans="1:6" x14ac:dyDescent="0.35">
      <c r="A768" s="22">
        <v>45603</v>
      </c>
      <c r="B768">
        <v>86.87</v>
      </c>
      <c r="C768">
        <v>86.87</v>
      </c>
      <c r="D768">
        <v>86.87</v>
      </c>
      <c r="E768">
        <v>86.87</v>
      </c>
      <c r="F768" s="23">
        <f t="shared" si="11"/>
        <v>-2.4688522707698134E-3</v>
      </c>
    </row>
    <row r="769" spans="1:6" x14ac:dyDescent="0.35">
      <c r="A769" s="22">
        <v>45604</v>
      </c>
      <c r="B769">
        <v>86.784999999999997</v>
      </c>
      <c r="C769">
        <v>86.784999999999997</v>
      </c>
      <c r="D769">
        <v>86.784999999999997</v>
      </c>
      <c r="E769">
        <v>86.784999999999997</v>
      </c>
      <c r="F769" s="23">
        <f t="shared" si="11"/>
        <v>-9.7847358121339869E-4</v>
      </c>
    </row>
    <row r="770" spans="1:6" x14ac:dyDescent="0.35">
      <c r="A770" s="22">
        <v>45607</v>
      </c>
      <c r="B770">
        <v>87.263999999999996</v>
      </c>
      <c r="C770">
        <v>87.263999999999996</v>
      </c>
      <c r="D770">
        <v>87.263999999999996</v>
      </c>
      <c r="E770">
        <v>87.263999999999996</v>
      </c>
      <c r="F770" s="23">
        <f t="shared" si="11"/>
        <v>5.5193869908394221E-3</v>
      </c>
    </row>
    <row r="771" spans="1:6" x14ac:dyDescent="0.35">
      <c r="A771" s="22">
        <v>45608</v>
      </c>
      <c r="B771">
        <v>86.585999999999999</v>
      </c>
      <c r="C771">
        <v>86.585999999999999</v>
      </c>
      <c r="D771">
        <v>86.585999999999999</v>
      </c>
      <c r="E771">
        <v>86.585999999999999</v>
      </c>
      <c r="F771" s="23">
        <f t="shared" ref="F771:F834" si="12">(B771-B770)/B770</f>
        <v>-7.7695269526952384E-3</v>
      </c>
    </row>
    <row r="772" spans="1:6" x14ac:dyDescent="0.35">
      <c r="A772" s="22">
        <v>45609</v>
      </c>
      <c r="B772">
        <v>85.591999999999999</v>
      </c>
      <c r="C772">
        <v>85.591999999999999</v>
      </c>
      <c r="D772">
        <v>85.591999999999999</v>
      </c>
      <c r="E772">
        <v>85.591999999999999</v>
      </c>
      <c r="F772" s="23">
        <f t="shared" si="12"/>
        <v>-1.1479915921742542E-2</v>
      </c>
    </row>
    <row r="773" spans="1:6" x14ac:dyDescent="0.35">
      <c r="A773" s="22">
        <v>45610</v>
      </c>
      <c r="B773">
        <v>85.736999999999995</v>
      </c>
      <c r="C773">
        <v>85.736999999999995</v>
      </c>
      <c r="D773">
        <v>85.736999999999995</v>
      </c>
      <c r="E773">
        <v>85.736999999999995</v>
      </c>
      <c r="F773" s="23">
        <f t="shared" si="12"/>
        <v>1.6940835592110948E-3</v>
      </c>
    </row>
    <row r="774" spans="1:6" x14ac:dyDescent="0.35">
      <c r="A774" s="22">
        <v>45614</v>
      </c>
      <c r="B774">
        <v>85.244</v>
      </c>
      <c r="C774">
        <v>85.244</v>
      </c>
      <c r="D774">
        <v>85.244</v>
      </c>
      <c r="E774">
        <v>85.244</v>
      </c>
      <c r="F774" s="23">
        <f t="shared" si="12"/>
        <v>-5.7501428788037257E-3</v>
      </c>
    </row>
    <row r="775" spans="1:6" x14ac:dyDescent="0.35">
      <c r="A775" s="22">
        <v>45615</v>
      </c>
      <c r="B775">
        <v>85.57</v>
      </c>
      <c r="C775">
        <v>85.57</v>
      </c>
      <c r="D775">
        <v>85.57</v>
      </c>
      <c r="E775">
        <v>85.57</v>
      </c>
      <c r="F775" s="23">
        <f t="shared" si="12"/>
        <v>3.8243160808971118E-3</v>
      </c>
    </row>
    <row r="776" spans="1:6" x14ac:dyDescent="0.35">
      <c r="A776" s="22">
        <v>45617</v>
      </c>
      <c r="B776">
        <v>85.23</v>
      </c>
      <c r="C776">
        <v>85.23</v>
      </c>
      <c r="D776">
        <v>85.23</v>
      </c>
      <c r="E776">
        <v>85.23</v>
      </c>
      <c r="F776" s="23">
        <f t="shared" si="12"/>
        <v>-3.9733551478320587E-3</v>
      </c>
    </row>
    <row r="777" spans="1:6" x14ac:dyDescent="0.35">
      <c r="A777" s="22">
        <v>45618</v>
      </c>
      <c r="B777">
        <v>86.22</v>
      </c>
      <c r="C777">
        <v>86.22</v>
      </c>
      <c r="D777">
        <v>86.22</v>
      </c>
      <c r="E777">
        <v>86.22</v>
      </c>
      <c r="F777" s="23">
        <f t="shared" si="12"/>
        <v>1.1615628299894343E-2</v>
      </c>
    </row>
    <row r="778" spans="1:6" x14ac:dyDescent="0.35">
      <c r="A778" s="22">
        <v>45621</v>
      </c>
      <c r="B778">
        <v>86.93</v>
      </c>
      <c r="C778">
        <v>86.93</v>
      </c>
      <c r="D778">
        <v>86.93</v>
      </c>
      <c r="E778">
        <v>86.93</v>
      </c>
      <c r="F778" s="23">
        <f t="shared" si="12"/>
        <v>8.234748318255717E-3</v>
      </c>
    </row>
    <row r="779" spans="1:6" x14ac:dyDescent="0.35">
      <c r="A779" s="22">
        <v>45622</v>
      </c>
      <c r="B779">
        <v>86.902000000000001</v>
      </c>
      <c r="C779">
        <v>86.902000000000001</v>
      </c>
      <c r="D779">
        <v>86.902000000000001</v>
      </c>
      <c r="E779">
        <v>86.902000000000001</v>
      </c>
      <c r="F779" s="23">
        <f t="shared" si="12"/>
        <v>-3.2209823996325542E-4</v>
      </c>
    </row>
    <row r="780" spans="1:6" x14ac:dyDescent="0.35">
      <c r="A780" s="22">
        <v>45623</v>
      </c>
      <c r="B780">
        <v>86.921999999999997</v>
      </c>
      <c r="C780">
        <v>86.921999999999997</v>
      </c>
      <c r="D780">
        <v>86.921999999999997</v>
      </c>
      <c r="E780">
        <v>86.921999999999997</v>
      </c>
      <c r="F780" s="23">
        <f t="shared" si="12"/>
        <v>2.3014430047635292E-4</v>
      </c>
    </row>
    <row r="781" spans="1:6" x14ac:dyDescent="0.35">
      <c r="A781" s="22">
        <v>45624</v>
      </c>
      <c r="B781">
        <v>86.402000000000001</v>
      </c>
      <c r="C781">
        <v>86.402000000000001</v>
      </c>
      <c r="D781">
        <v>86.402000000000001</v>
      </c>
      <c r="E781">
        <v>86.402000000000001</v>
      </c>
      <c r="F781" s="23">
        <f t="shared" si="12"/>
        <v>-5.9823750028760959E-3</v>
      </c>
    </row>
    <row r="782" spans="1:6" x14ac:dyDescent="0.35">
      <c r="A782" s="22">
        <v>45625</v>
      </c>
      <c r="B782">
        <v>86.763999999999996</v>
      </c>
      <c r="C782">
        <v>86.763999999999996</v>
      </c>
      <c r="D782">
        <v>86.763999999999996</v>
      </c>
      <c r="E782">
        <v>86.763999999999996</v>
      </c>
      <c r="F782" s="23">
        <f t="shared" si="12"/>
        <v>4.1897178306057126E-3</v>
      </c>
    </row>
    <row r="783" spans="1:6" x14ac:dyDescent="0.35">
      <c r="A783" s="22">
        <v>45628</v>
      </c>
      <c r="B783">
        <v>87.284000000000006</v>
      </c>
      <c r="C783">
        <v>87.284000000000006</v>
      </c>
      <c r="D783">
        <v>87.284000000000006</v>
      </c>
      <c r="E783">
        <v>87.284000000000006</v>
      </c>
      <c r="F783" s="23">
        <f t="shared" si="12"/>
        <v>5.9932690977826083E-3</v>
      </c>
    </row>
    <row r="784" spans="1:6" x14ac:dyDescent="0.35">
      <c r="A784" s="22">
        <v>45629</v>
      </c>
      <c r="B784">
        <v>87.808999999999997</v>
      </c>
      <c r="C784">
        <v>87.808999999999997</v>
      </c>
      <c r="D784">
        <v>87.808999999999997</v>
      </c>
      <c r="E784">
        <v>87.808999999999997</v>
      </c>
      <c r="F784" s="23">
        <f t="shared" si="12"/>
        <v>6.0148480821226279E-3</v>
      </c>
    </row>
    <row r="785" spans="1:6" x14ac:dyDescent="0.35">
      <c r="A785" s="22">
        <v>45630</v>
      </c>
      <c r="B785">
        <v>87.855999999999995</v>
      </c>
      <c r="C785">
        <v>87.855999999999995</v>
      </c>
      <c r="D785">
        <v>87.855999999999995</v>
      </c>
      <c r="E785">
        <v>87.855999999999995</v>
      </c>
      <c r="F785" s="23">
        <f t="shared" si="12"/>
        <v>5.352526506394225E-4</v>
      </c>
    </row>
    <row r="786" spans="1:6" x14ac:dyDescent="0.35">
      <c r="A786" s="22">
        <v>45631</v>
      </c>
      <c r="B786">
        <v>88.384</v>
      </c>
      <c r="C786">
        <v>88.384</v>
      </c>
      <c r="D786">
        <v>88.384</v>
      </c>
      <c r="E786">
        <v>88.384</v>
      </c>
      <c r="F786" s="23">
        <f t="shared" si="12"/>
        <v>6.0098342742670487E-3</v>
      </c>
    </row>
    <row r="787" spans="1:6" x14ac:dyDescent="0.35">
      <c r="A787" s="22">
        <v>45632</v>
      </c>
      <c r="B787">
        <v>88.688999999999993</v>
      </c>
      <c r="C787">
        <v>88.688999999999993</v>
      </c>
      <c r="D787">
        <v>88.688999999999993</v>
      </c>
      <c r="E787">
        <v>88.688999999999993</v>
      </c>
      <c r="F787" s="23">
        <f t="shared" si="12"/>
        <v>3.4508508327298223E-3</v>
      </c>
    </row>
    <row r="788" spans="1:6" x14ac:dyDescent="0.35">
      <c r="A788" s="22">
        <v>45635</v>
      </c>
      <c r="B788">
        <v>88.798000000000002</v>
      </c>
      <c r="C788">
        <v>88.798000000000002</v>
      </c>
      <c r="D788">
        <v>88.798000000000002</v>
      </c>
      <c r="E788">
        <v>88.798000000000002</v>
      </c>
      <c r="F788" s="23">
        <f t="shared" si="12"/>
        <v>1.2290137446584004E-3</v>
      </c>
    </row>
    <row r="789" spans="1:6" x14ac:dyDescent="0.35">
      <c r="A789" s="22">
        <v>45636</v>
      </c>
      <c r="B789">
        <v>88.974999999999994</v>
      </c>
      <c r="C789">
        <v>88.974999999999994</v>
      </c>
      <c r="D789">
        <v>88.974999999999994</v>
      </c>
      <c r="E789">
        <v>88.974999999999994</v>
      </c>
      <c r="F789" s="23">
        <f t="shared" si="12"/>
        <v>1.993288137120121E-3</v>
      </c>
    </row>
    <row r="790" spans="1:6" x14ac:dyDescent="0.35">
      <c r="A790" s="22">
        <v>45637</v>
      </c>
      <c r="B790">
        <v>89.405000000000001</v>
      </c>
      <c r="C790">
        <v>89.405000000000001</v>
      </c>
      <c r="D790">
        <v>89.405000000000001</v>
      </c>
      <c r="E790">
        <v>89.405000000000001</v>
      </c>
      <c r="F790" s="23">
        <f t="shared" si="12"/>
        <v>4.8328182073616955E-3</v>
      </c>
    </row>
    <row r="791" spans="1:6" x14ac:dyDescent="0.35">
      <c r="A791" s="22">
        <v>45638</v>
      </c>
      <c r="B791">
        <v>89.198999999999998</v>
      </c>
      <c r="C791">
        <v>89.198999999999998</v>
      </c>
      <c r="D791">
        <v>89.198999999999998</v>
      </c>
      <c r="E791">
        <v>89.198999999999998</v>
      </c>
      <c r="F791" s="23">
        <f t="shared" si="12"/>
        <v>-2.3041216934176286E-3</v>
      </c>
    </row>
    <row r="792" spans="1:6" x14ac:dyDescent="0.35">
      <c r="A792" s="22">
        <v>45639</v>
      </c>
      <c r="B792">
        <v>89.433000000000007</v>
      </c>
      <c r="C792">
        <v>89.433000000000007</v>
      </c>
      <c r="D792">
        <v>89.433000000000007</v>
      </c>
      <c r="E792">
        <v>89.433000000000007</v>
      </c>
      <c r="F792" s="23">
        <f t="shared" si="12"/>
        <v>2.6233477953789713E-3</v>
      </c>
    </row>
    <row r="793" spans="1:6" x14ac:dyDescent="0.35">
      <c r="A793" s="22">
        <v>45642</v>
      </c>
      <c r="B793">
        <v>89.644000000000005</v>
      </c>
      <c r="C793">
        <v>89.644000000000005</v>
      </c>
      <c r="D793">
        <v>89.644000000000005</v>
      </c>
      <c r="E793">
        <v>89.644000000000005</v>
      </c>
      <c r="F793" s="23">
        <f t="shared" si="12"/>
        <v>2.3593080853823367E-3</v>
      </c>
    </row>
    <row r="794" spans="1:6" x14ac:dyDescent="0.35">
      <c r="A794" s="22">
        <v>45643</v>
      </c>
      <c r="B794">
        <v>89.138999999999996</v>
      </c>
      <c r="C794">
        <v>89.138999999999996</v>
      </c>
      <c r="D794">
        <v>89.138999999999996</v>
      </c>
      <c r="E794">
        <v>89.138999999999996</v>
      </c>
      <c r="F794" s="23">
        <f t="shared" si="12"/>
        <v>-5.633394315291705E-3</v>
      </c>
    </row>
    <row r="795" spans="1:6" x14ac:dyDescent="0.35">
      <c r="A795" s="22">
        <v>45644</v>
      </c>
      <c r="B795">
        <v>88.162000000000006</v>
      </c>
      <c r="C795">
        <v>88.162000000000006</v>
      </c>
      <c r="D795">
        <v>88.162000000000006</v>
      </c>
      <c r="E795">
        <v>88.162000000000006</v>
      </c>
      <c r="F795" s="23">
        <f t="shared" si="12"/>
        <v>-1.0960410145951713E-2</v>
      </c>
    </row>
    <row r="796" spans="1:6" x14ac:dyDescent="0.35">
      <c r="A796" s="22">
        <v>45645</v>
      </c>
      <c r="B796">
        <v>87.95</v>
      </c>
      <c r="C796">
        <v>87.95</v>
      </c>
      <c r="D796">
        <v>87.95</v>
      </c>
      <c r="E796">
        <v>87.95</v>
      </c>
      <c r="F796" s="23">
        <f t="shared" si="12"/>
        <v>-2.404664141013172E-3</v>
      </c>
    </row>
    <row r="797" spans="1:6" x14ac:dyDescent="0.35">
      <c r="A797" s="22">
        <v>45646</v>
      </c>
      <c r="B797">
        <v>86.882000000000005</v>
      </c>
      <c r="C797">
        <v>86.882000000000005</v>
      </c>
      <c r="D797">
        <v>86.882000000000005</v>
      </c>
      <c r="E797">
        <v>86.882000000000005</v>
      </c>
      <c r="F797" s="23">
        <f t="shared" si="12"/>
        <v>-1.2143263217737326E-2</v>
      </c>
    </row>
    <row r="798" spans="1:6" x14ac:dyDescent="0.35">
      <c r="A798" s="22">
        <v>45649</v>
      </c>
      <c r="B798">
        <v>87.435000000000002</v>
      </c>
      <c r="C798">
        <v>87.435000000000002</v>
      </c>
      <c r="D798">
        <v>87.435000000000002</v>
      </c>
      <c r="E798">
        <v>87.435000000000002</v>
      </c>
      <c r="F798" s="23">
        <f t="shared" si="12"/>
        <v>6.3649547662346312E-3</v>
      </c>
    </row>
    <row r="799" spans="1:6" x14ac:dyDescent="0.35">
      <c r="A799" s="22">
        <v>45650</v>
      </c>
      <c r="B799">
        <v>87.438999999999993</v>
      </c>
      <c r="C799">
        <v>87.438999999999993</v>
      </c>
      <c r="D799">
        <v>87.438999999999993</v>
      </c>
      <c r="E799">
        <v>87.438999999999993</v>
      </c>
      <c r="F799" s="23">
        <f t="shared" si="12"/>
        <v>4.5748270143428579E-5</v>
      </c>
    </row>
    <row r="800" spans="1:6" x14ac:dyDescent="0.35">
      <c r="A800" s="22">
        <v>45652</v>
      </c>
      <c r="B800">
        <v>87.614999999999995</v>
      </c>
      <c r="C800">
        <v>87.614999999999995</v>
      </c>
      <c r="D800">
        <v>87.614999999999995</v>
      </c>
      <c r="E800">
        <v>87.614999999999995</v>
      </c>
      <c r="F800" s="23">
        <f t="shared" si="12"/>
        <v>2.0128318027425058E-3</v>
      </c>
    </row>
    <row r="801" spans="1:6" x14ac:dyDescent="0.35">
      <c r="A801" s="22">
        <v>45653</v>
      </c>
      <c r="B801">
        <v>87.602000000000004</v>
      </c>
      <c r="C801">
        <v>87.602000000000004</v>
      </c>
      <c r="D801">
        <v>87.602000000000004</v>
      </c>
      <c r="E801">
        <v>87.602000000000004</v>
      </c>
      <c r="F801" s="23">
        <f t="shared" si="12"/>
        <v>-1.4837641956275775E-4</v>
      </c>
    </row>
    <row r="802" spans="1:6" x14ac:dyDescent="0.35">
      <c r="A802" s="22">
        <v>45656</v>
      </c>
      <c r="B802">
        <v>87.96</v>
      </c>
      <c r="C802">
        <v>87.96</v>
      </c>
      <c r="D802">
        <v>87.96</v>
      </c>
      <c r="E802">
        <v>87.96</v>
      </c>
      <c r="F802" s="23">
        <f t="shared" si="12"/>
        <v>4.0866646880207058E-3</v>
      </c>
    </row>
    <row r="803" spans="1:6" x14ac:dyDescent="0.35">
      <c r="A803" s="22">
        <v>45657</v>
      </c>
      <c r="B803">
        <v>87.673000000000002</v>
      </c>
      <c r="C803">
        <v>87.673000000000002</v>
      </c>
      <c r="D803">
        <v>87.673000000000002</v>
      </c>
      <c r="E803">
        <v>87.673000000000002</v>
      </c>
      <c r="F803" s="23">
        <f t="shared" si="12"/>
        <v>-3.2628467485219638E-3</v>
      </c>
    </row>
    <row r="804" spans="1:6" x14ac:dyDescent="0.35">
      <c r="A804" s="22">
        <v>45658</v>
      </c>
      <c r="B804">
        <v>87.945999999999998</v>
      </c>
      <c r="C804">
        <v>87.945999999999998</v>
      </c>
      <c r="D804">
        <v>87.945999999999998</v>
      </c>
      <c r="E804">
        <v>87.945999999999998</v>
      </c>
      <c r="F804" s="23">
        <f t="shared" si="12"/>
        <v>3.1138434865921791E-3</v>
      </c>
    </row>
    <row r="805" spans="1:6" x14ac:dyDescent="0.35">
      <c r="A805" s="22">
        <v>45659</v>
      </c>
      <c r="B805">
        <v>89.010999999999996</v>
      </c>
      <c r="C805">
        <v>89.010999999999996</v>
      </c>
      <c r="D805">
        <v>89.010999999999996</v>
      </c>
      <c r="E805">
        <v>89.010999999999996</v>
      </c>
      <c r="F805" s="23">
        <f t="shared" si="12"/>
        <v>1.2109703681804718E-2</v>
      </c>
    </row>
    <row r="806" spans="1:6" x14ac:dyDescent="0.35">
      <c r="A806" s="22">
        <v>45660</v>
      </c>
      <c r="B806">
        <v>88.498999999999995</v>
      </c>
      <c r="C806">
        <v>88.498999999999995</v>
      </c>
      <c r="D806">
        <v>88.498999999999995</v>
      </c>
      <c r="E806">
        <v>88.498999999999995</v>
      </c>
      <c r="F806" s="23">
        <f t="shared" si="12"/>
        <v>-5.7520980552965414E-3</v>
      </c>
    </row>
    <row r="807" spans="1:6" x14ac:dyDescent="0.35">
      <c r="A807" s="22">
        <v>45663</v>
      </c>
      <c r="B807">
        <v>87.346000000000004</v>
      </c>
      <c r="C807">
        <v>87.346000000000004</v>
      </c>
      <c r="D807">
        <v>87.346000000000004</v>
      </c>
      <c r="E807">
        <v>87.346000000000004</v>
      </c>
      <c r="F807" s="23">
        <f t="shared" si="12"/>
        <v>-1.3028395801082403E-2</v>
      </c>
    </row>
    <row r="808" spans="1:6" x14ac:dyDescent="0.35">
      <c r="A808" s="22">
        <v>45664</v>
      </c>
      <c r="B808">
        <v>87.293999999999997</v>
      </c>
      <c r="C808">
        <v>87.293999999999997</v>
      </c>
      <c r="D808">
        <v>87.293999999999997</v>
      </c>
      <c r="E808">
        <v>87.293999999999997</v>
      </c>
      <c r="F808" s="23">
        <f t="shared" si="12"/>
        <v>-5.9533350124798743E-4</v>
      </c>
    </row>
    <row r="809" spans="1:6" x14ac:dyDescent="0.35">
      <c r="A809" s="22">
        <v>45665</v>
      </c>
      <c r="B809">
        <v>87.341999999999999</v>
      </c>
      <c r="C809">
        <v>87.341999999999999</v>
      </c>
      <c r="D809">
        <v>87.341999999999999</v>
      </c>
      <c r="E809">
        <v>87.341999999999999</v>
      </c>
      <c r="F809" s="23">
        <f t="shared" si="12"/>
        <v>5.4986597016979202E-4</v>
      </c>
    </row>
    <row r="810" spans="1:6" x14ac:dyDescent="0.35">
      <c r="A810" s="22">
        <v>45666</v>
      </c>
      <c r="B810">
        <v>86.991</v>
      </c>
      <c r="C810">
        <v>86.991</v>
      </c>
      <c r="D810">
        <v>86.991</v>
      </c>
      <c r="E810">
        <v>86.991</v>
      </c>
      <c r="F810" s="23">
        <f t="shared" si="12"/>
        <v>-4.0186851686473757E-3</v>
      </c>
    </row>
    <row r="811" spans="1:6" x14ac:dyDescent="0.35">
      <c r="A811" s="22">
        <v>45667</v>
      </c>
      <c r="B811">
        <v>86.278000000000006</v>
      </c>
      <c r="C811">
        <v>86.278000000000006</v>
      </c>
      <c r="D811">
        <v>86.278000000000006</v>
      </c>
      <c r="E811">
        <v>86.278000000000006</v>
      </c>
      <c r="F811" s="23">
        <f t="shared" si="12"/>
        <v>-8.1962501868008634E-3</v>
      </c>
    </row>
    <row r="812" spans="1:6" x14ac:dyDescent="0.35">
      <c r="A812" s="22">
        <v>45670</v>
      </c>
      <c r="B812">
        <v>85.093999999999994</v>
      </c>
      <c r="C812">
        <v>85.093999999999994</v>
      </c>
      <c r="D812">
        <v>85.093999999999994</v>
      </c>
      <c r="E812">
        <v>85.093999999999994</v>
      </c>
      <c r="F812" s="23">
        <f t="shared" si="12"/>
        <v>-1.3723081202624211E-2</v>
      </c>
    </row>
    <row r="813" spans="1:6" x14ac:dyDescent="0.35">
      <c r="A813" s="22">
        <v>45671</v>
      </c>
      <c r="B813">
        <v>85.378</v>
      </c>
      <c r="C813">
        <v>85.378</v>
      </c>
      <c r="D813">
        <v>85.378</v>
      </c>
      <c r="E813">
        <v>85.378</v>
      </c>
      <c r="F813" s="23">
        <f t="shared" si="12"/>
        <v>3.3374856041554755E-3</v>
      </c>
    </row>
    <row r="814" spans="1:6" x14ac:dyDescent="0.35">
      <c r="A814" s="22">
        <v>45672</v>
      </c>
      <c r="B814">
        <v>86.019000000000005</v>
      </c>
      <c r="C814">
        <v>86.019000000000005</v>
      </c>
      <c r="D814">
        <v>86.019000000000005</v>
      </c>
      <c r="E814">
        <v>86.019000000000005</v>
      </c>
      <c r="F814" s="23">
        <f t="shared" si="12"/>
        <v>7.5077888917520364E-3</v>
      </c>
    </row>
    <row r="815" spans="1:6" x14ac:dyDescent="0.35">
      <c r="A815" s="22">
        <v>45673</v>
      </c>
      <c r="B815">
        <v>86.042000000000002</v>
      </c>
      <c r="C815">
        <v>86.042000000000002</v>
      </c>
      <c r="D815">
        <v>86.042000000000002</v>
      </c>
      <c r="E815">
        <v>86.042000000000002</v>
      </c>
      <c r="F815" s="23">
        <f t="shared" si="12"/>
        <v>2.6738278752364166E-4</v>
      </c>
    </row>
    <row r="816" spans="1:6" x14ac:dyDescent="0.35">
      <c r="A816" s="22">
        <v>45674</v>
      </c>
      <c r="B816">
        <v>85.924000000000007</v>
      </c>
      <c r="C816">
        <v>85.924000000000007</v>
      </c>
      <c r="D816">
        <v>85.924000000000007</v>
      </c>
      <c r="E816">
        <v>85.924000000000007</v>
      </c>
      <c r="F816" s="23">
        <f t="shared" si="12"/>
        <v>-1.371423258408626E-3</v>
      </c>
    </row>
    <row r="817" spans="1:6" x14ac:dyDescent="0.35">
      <c r="A817" s="22">
        <v>45677</v>
      </c>
      <c r="B817">
        <v>86.355999999999995</v>
      </c>
      <c r="C817">
        <v>86.355999999999995</v>
      </c>
      <c r="D817">
        <v>86.355999999999995</v>
      </c>
      <c r="E817">
        <v>86.355999999999995</v>
      </c>
      <c r="F817" s="23">
        <f t="shared" si="12"/>
        <v>5.0276988966992684E-3</v>
      </c>
    </row>
    <row r="818" spans="1:6" x14ac:dyDescent="0.35">
      <c r="A818" s="22">
        <v>45678</v>
      </c>
      <c r="B818">
        <v>85.724999999999994</v>
      </c>
      <c r="C818">
        <v>85.724999999999994</v>
      </c>
      <c r="D818">
        <v>85.724999999999994</v>
      </c>
      <c r="E818">
        <v>85.724999999999994</v>
      </c>
      <c r="F818" s="23">
        <f t="shared" si="12"/>
        <v>-7.3069618787345442E-3</v>
      </c>
    </row>
    <row r="819" spans="1:6" x14ac:dyDescent="0.35">
      <c r="A819" s="22">
        <v>45679</v>
      </c>
      <c r="B819">
        <v>86.3</v>
      </c>
      <c r="C819">
        <v>86.3</v>
      </c>
      <c r="D819">
        <v>86.3</v>
      </c>
      <c r="E819">
        <v>86.3</v>
      </c>
      <c r="F819" s="23">
        <f t="shared" si="12"/>
        <v>6.7074948964713083E-3</v>
      </c>
    </row>
    <row r="820" spans="1:6" x14ac:dyDescent="0.35">
      <c r="A820" s="22">
        <v>45680</v>
      </c>
      <c r="B820">
        <v>86.411000000000001</v>
      </c>
      <c r="C820">
        <v>86.411000000000001</v>
      </c>
      <c r="D820">
        <v>86.411000000000001</v>
      </c>
      <c r="E820">
        <v>86.411000000000001</v>
      </c>
      <c r="F820" s="23">
        <f t="shared" si="12"/>
        <v>1.2862108922364335E-3</v>
      </c>
    </row>
    <row r="821" spans="1:6" x14ac:dyDescent="0.35">
      <c r="A821" s="22">
        <v>45681</v>
      </c>
      <c r="B821">
        <v>86.12</v>
      </c>
      <c r="C821">
        <v>86.12</v>
      </c>
      <c r="D821">
        <v>86.12</v>
      </c>
      <c r="E821">
        <v>86.12</v>
      </c>
      <c r="F821" s="23">
        <f t="shared" si="12"/>
        <v>-3.3676268067722491E-3</v>
      </c>
    </row>
    <row r="822" spans="1:6" x14ac:dyDescent="0.35">
      <c r="A822" s="22">
        <v>45684</v>
      </c>
      <c r="B822">
        <v>85.271000000000001</v>
      </c>
      <c r="C822">
        <v>85.271000000000001</v>
      </c>
      <c r="D822">
        <v>85.271000000000001</v>
      </c>
      <c r="E822">
        <v>85.271000000000001</v>
      </c>
      <c r="F822" s="23">
        <f t="shared" si="12"/>
        <v>-9.8583372039015762E-3</v>
      </c>
    </row>
    <row r="823" spans="1:6" x14ac:dyDescent="0.35">
      <c r="A823" s="22">
        <v>45685</v>
      </c>
      <c r="B823">
        <v>85.674000000000007</v>
      </c>
      <c r="C823">
        <v>85.674000000000007</v>
      </c>
      <c r="D823">
        <v>85.674000000000007</v>
      </c>
      <c r="E823">
        <v>85.674000000000007</v>
      </c>
      <c r="F823" s="23">
        <f t="shared" si="12"/>
        <v>4.726108524586387E-3</v>
      </c>
    </row>
    <row r="824" spans="1:6" x14ac:dyDescent="0.35">
      <c r="A824" s="22">
        <v>45686</v>
      </c>
      <c r="B824">
        <v>86.323999999999998</v>
      </c>
      <c r="C824">
        <v>86.323999999999998</v>
      </c>
      <c r="D824">
        <v>86.323999999999998</v>
      </c>
      <c r="E824">
        <v>86.323999999999998</v>
      </c>
      <c r="F824" s="23">
        <f t="shared" si="12"/>
        <v>7.5868991759459282E-3</v>
      </c>
    </row>
    <row r="825" spans="1:6" x14ac:dyDescent="0.35">
      <c r="A825" s="22">
        <v>45687</v>
      </c>
      <c r="B825">
        <v>86.454999999999998</v>
      </c>
      <c r="C825">
        <v>86.454999999999998</v>
      </c>
      <c r="D825">
        <v>86.454999999999998</v>
      </c>
      <c r="E825">
        <v>86.454999999999998</v>
      </c>
      <c r="F825" s="23">
        <f t="shared" si="12"/>
        <v>1.5175385755989092E-3</v>
      </c>
    </row>
    <row r="826" spans="1:6" x14ac:dyDescent="0.35">
      <c r="A826" s="22">
        <v>45688</v>
      </c>
      <c r="B826">
        <v>87.435000000000002</v>
      </c>
      <c r="C826">
        <v>87.435000000000002</v>
      </c>
      <c r="D826">
        <v>87.435000000000002</v>
      </c>
      <c r="E826">
        <v>87.435000000000002</v>
      </c>
      <c r="F826" s="23">
        <f t="shared" si="12"/>
        <v>1.1335376785611058E-2</v>
      </c>
    </row>
    <row r="827" spans="1:6" x14ac:dyDescent="0.35">
      <c r="A827" s="22">
        <v>45691</v>
      </c>
      <c r="B827">
        <v>87.379000000000005</v>
      </c>
      <c r="C827">
        <v>87.379000000000005</v>
      </c>
      <c r="D827">
        <v>87.379000000000005</v>
      </c>
      <c r="E827">
        <v>87.379000000000005</v>
      </c>
      <c r="F827" s="23">
        <f t="shared" si="12"/>
        <v>-6.4047578200946288E-4</v>
      </c>
    </row>
    <row r="828" spans="1:6" x14ac:dyDescent="0.35">
      <c r="A828" s="22">
        <v>45692</v>
      </c>
      <c r="B828">
        <v>87.992000000000004</v>
      </c>
      <c r="C828">
        <v>87.992000000000004</v>
      </c>
      <c r="D828">
        <v>87.992000000000004</v>
      </c>
      <c r="E828">
        <v>87.992000000000004</v>
      </c>
      <c r="F828" s="23">
        <f t="shared" si="12"/>
        <v>7.0154156032914035E-3</v>
      </c>
    </row>
    <row r="829" spans="1:6" x14ac:dyDescent="0.35">
      <c r="A829" s="22">
        <v>45693</v>
      </c>
      <c r="B829">
        <v>87.715000000000003</v>
      </c>
      <c r="C829">
        <v>87.715000000000003</v>
      </c>
      <c r="D829">
        <v>87.715000000000003</v>
      </c>
      <c r="E829">
        <v>87.715000000000003</v>
      </c>
      <c r="F829" s="23">
        <f t="shared" si="12"/>
        <v>-3.1480134557687178E-3</v>
      </c>
    </row>
    <row r="830" spans="1:6" x14ac:dyDescent="0.35">
      <c r="A830" s="22">
        <v>45694</v>
      </c>
      <c r="B830">
        <v>87.744</v>
      </c>
      <c r="C830">
        <v>87.744</v>
      </c>
      <c r="D830">
        <v>87.744</v>
      </c>
      <c r="E830">
        <v>87.744</v>
      </c>
      <c r="F830" s="23">
        <f t="shared" si="12"/>
        <v>3.3061620019376802E-4</v>
      </c>
    </row>
    <row r="831" spans="1:6" x14ac:dyDescent="0.35">
      <c r="A831" s="22">
        <v>45695</v>
      </c>
      <c r="B831">
        <v>87.236000000000004</v>
      </c>
      <c r="C831">
        <v>87.236000000000004</v>
      </c>
      <c r="D831">
        <v>87.236000000000004</v>
      </c>
      <c r="E831">
        <v>87.236000000000004</v>
      </c>
      <c r="F831" s="23">
        <f t="shared" si="12"/>
        <v>-5.7895696571844861E-3</v>
      </c>
    </row>
    <row r="832" spans="1:6" x14ac:dyDescent="0.35">
      <c r="A832" s="22">
        <v>45698</v>
      </c>
      <c r="B832">
        <v>86.867999999999995</v>
      </c>
      <c r="C832">
        <v>86.867999999999995</v>
      </c>
      <c r="D832">
        <v>86.867999999999995</v>
      </c>
      <c r="E832">
        <v>86.867999999999995</v>
      </c>
      <c r="F832" s="23">
        <f t="shared" si="12"/>
        <v>-4.2184419276446554E-3</v>
      </c>
    </row>
    <row r="833" spans="1:6" x14ac:dyDescent="0.35">
      <c r="A833" s="22">
        <v>45699</v>
      </c>
      <c r="B833">
        <v>85.930999999999997</v>
      </c>
      <c r="C833">
        <v>85.930999999999997</v>
      </c>
      <c r="D833">
        <v>85.930999999999997</v>
      </c>
      <c r="E833">
        <v>85.930999999999997</v>
      </c>
      <c r="F833" s="23">
        <f t="shared" si="12"/>
        <v>-1.0786480637288733E-2</v>
      </c>
    </row>
    <row r="834" spans="1:6" x14ac:dyDescent="0.35">
      <c r="A834" s="22">
        <v>45700</v>
      </c>
      <c r="B834">
        <v>85.957999999999998</v>
      </c>
      <c r="C834">
        <v>85.957999999999998</v>
      </c>
      <c r="D834">
        <v>85.957999999999998</v>
      </c>
      <c r="E834">
        <v>85.957999999999998</v>
      </c>
      <c r="F834" s="23">
        <f t="shared" si="12"/>
        <v>3.1420558354960406E-4</v>
      </c>
    </row>
    <row r="835" spans="1:6" x14ac:dyDescent="0.35">
      <c r="A835" s="22">
        <v>45701</v>
      </c>
      <c r="B835">
        <v>86.197999999999993</v>
      </c>
      <c r="C835">
        <v>86.197999999999993</v>
      </c>
      <c r="D835">
        <v>86.197999999999993</v>
      </c>
      <c r="E835">
        <v>86.197999999999993</v>
      </c>
      <c r="F835" s="23">
        <f t="shared" ref="F835:F898" si="13">(B835-B834)/B834</f>
        <v>2.7920612392097872E-3</v>
      </c>
    </row>
    <row r="836" spans="1:6" x14ac:dyDescent="0.35">
      <c r="A836" s="22">
        <v>45702</v>
      </c>
      <c r="B836">
        <v>85.811000000000007</v>
      </c>
      <c r="C836">
        <v>85.811000000000007</v>
      </c>
      <c r="D836">
        <v>85.811000000000007</v>
      </c>
      <c r="E836">
        <v>85.811000000000007</v>
      </c>
      <c r="F836" s="23">
        <f t="shared" si="13"/>
        <v>-4.4896633332558332E-3</v>
      </c>
    </row>
    <row r="837" spans="1:6" x14ac:dyDescent="0.35">
      <c r="A837" s="22">
        <v>45705</v>
      </c>
      <c r="B837">
        <v>85.971999999999994</v>
      </c>
      <c r="C837">
        <v>85.971999999999994</v>
      </c>
      <c r="D837">
        <v>85.971999999999994</v>
      </c>
      <c r="E837">
        <v>85.971999999999994</v>
      </c>
      <c r="F837" s="23">
        <f t="shared" si="13"/>
        <v>1.8762163359008419E-3</v>
      </c>
    </row>
    <row r="838" spans="1:6" x14ac:dyDescent="0.35">
      <c r="A838" s="22">
        <v>45706</v>
      </c>
      <c r="B838">
        <v>85.893000000000001</v>
      </c>
      <c r="C838">
        <v>85.893000000000001</v>
      </c>
      <c r="D838">
        <v>85.893000000000001</v>
      </c>
      <c r="E838">
        <v>85.893000000000001</v>
      </c>
      <c r="F838" s="23">
        <f t="shared" si="13"/>
        <v>-9.1890382915360265E-4</v>
      </c>
    </row>
    <row r="839" spans="1:6" x14ac:dyDescent="0.35">
      <c r="A839" s="22">
        <v>45707</v>
      </c>
      <c r="B839">
        <v>85.751999999999995</v>
      </c>
      <c r="C839">
        <v>85.751999999999995</v>
      </c>
      <c r="D839">
        <v>85.751999999999995</v>
      </c>
      <c r="E839">
        <v>85.751999999999995</v>
      </c>
      <c r="F839" s="23">
        <f t="shared" si="13"/>
        <v>-1.6415773113059894E-3</v>
      </c>
    </row>
    <row r="840" spans="1:6" x14ac:dyDescent="0.35">
      <c r="A840" s="22">
        <v>45708</v>
      </c>
      <c r="B840">
        <v>85.927000000000007</v>
      </c>
      <c r="C840">
        <v>85.927000000000007</v>
      </c>
      <c r="D840">
        <v>85.927000000000007</v>
      </c>
      <c r="E840">
        <v>85.927000000000007</v>
      </c>
      <c r="F840" s="23">
        <f t="shared" si="13"/>
        <v>2.040768728426292E-3</v>
      </c>
    </row>
    <row r="841" spans="1:6" x14ac:dyDescent="0.35">
      <c r="A841" s="22">
        <v>45709</v>
      </c>
      <c r="B841">
        <v>85.156999999999996</v>
      </c>
      <c r="C841">
        <v>85.156999999999996</v>
      </c>
      <c r="D841">
        <v>85.156999999999996</v>
      </c>
      <c r="E841">
        <v>85.156999999999996</v>
      </c>
      <c r="F841" s="23">
        <f t="shared" si="13"/>
        <v>-8.9610948828658075E-3</v>
      </c>
    </row>
    <row r="842" spans="1:6" x14ac:dyDescent="0.35">
      <c r="A842" s="22">
        <v>45712</v>
      </c>
      <c r="B842">
        <v>84.563000000000002</v>
      </c>
      <c r="C842">
        <v>84.563000000000002</v>
      </c>
      <c r="D842">
        <v>84.563000000000002</v>
      </c>
      <c r="E842">
        <v>84.563000000000002</v>
      </c>
      <c r="F842" s="23">
        <f t="shared" si="13"/>
        <v>-6.9753514097489824E-3</v>
      </c>
    </row>
    <row r="843" spans="1:6" x14ac:dyDescent="0.35">
      <c r="A843" s="22">
        <v>45713</v>
      </c>
      <c r="B843">
        <v>84.293000000000006</v>
      </c>
      <c r="C843">
        <v>84.293000000000006</v>
      </c>
      <c r="D843">
        <v>84.293000000000006</v>
      </c>
      <c r="E843">
        <v>84.293000000000006</v>
      </c>
      <c r="F843" s="23">
        <f t="shared" si="13"/>
        <v>-3.1928857774676397E-3</v>
      </c>
    </row>
    <row r="844" spans="1:6" x14ac:dyDescent="0.35">
      <c r="A844" s="22">
        <v>45715</v>
      </c>
      <c r="B844">
        <v>84.197000000000003</v>
      </c>
      <c r="C844">
        <v>84.197000000000003</v>
      </c>
      <c r="D844">
        <v>84.197000000000003</v>
      </c>
      <c r="E844">
        <v>84.197000000000003</v>
      </c>
      <c r="F844" s="23">
        <f t="shared" si="13"/>
        <v>-1.1388846048901288E-3</v>
      </c>
    </row>
    <row r="845" spans="1:6" x14ac:dyDescent="0.35">
      <c r="A845" s="22">
        <v>45716</v>
      </c>
      <c r="B845">
        <v>83.491</v>
      </c>
      <c r="C845">
        <v>83.491</v>
      </c>
      <c r="D845">
        <v>83.491</v>
      </c>
      <c r="E845">
        <v>83.491</v>
      </c>
      <c r="F845" s="23">
        <f t="shared" si="13"/>
        <v>-8.3850968561825605E-3</v>
      </c>
    </row>
    <row r="846" spans="1:6" x14ac:dyDescent="0.35">
      <c r="A846" s="22">
        <v>45719</v>
      </c>
      <c r="B846">
        <v>82.891000000000005</v>
      </c>
      <c r="C846">
        <v>82.891000000000005</v>
      </c>
      <c r="D846">
        <v>82.891000000000005</v>
      </c>
      <c r="E846">
        <v>82.891000000000005</v>
      </c>
      <c r="F846" s="23">
        <f t="shared" si="13"/>
        <v>-7.1864033249092038E-3</v>
      </c>
    </row>
    <row r="847" spans="1:6" x14ac:dyDescent="0.35">
      <c r="A847" s="22">
        <v>45720</v>
      </c>
      <c r="B847">
        <v>82.683999999999997</v>
      </c>
      <c r="C847">
        <v>82.683999999999997</v>
      </c>
      <c r="D847">
        <v>82.683999999999997</v>
      </c>
      <c r="E847">
        <v>82.683999999999997</v>
      </c>
      <c r="F847" s="23">
        <f t="shared" si="13"/>
        <v>-2.4972554318322595E-3</v>
      </c>
    </row>
    <row r="848" spans="1:6" x14ac:dyDescent="0.35">
      <c r="A848" s="22">
        <v>45721</v>
      </c>
      <c r="B848">
        <v>83.734999999999999</v>
      </c>
      <c r="C848">
        <v>83.734999999999999</v>
      </c>
      <c r="D848">
        <v>83.734999999999999</v>
      </c>
      <c r="E848">
        <v>83.734999999999999</v>
      </c>
      <c r="F848" s="23">
        <f t="shared" si="13"/>
        <v>1.2711044458420032E-2</v>
      </c>
    </row>
    <row r="849" spans="1:6" x14ac:dyDescent="0.35">
      <c r="A849" s="22">
        <v>45722</v>
      </c>
      <c r="B849">
        <v>83.867000000000004</v>
      </c>
      <c r="C849">
        <v>83.867000000000004</v>
      </c>
      <c r="D849">
        <v>83.867000000000004</v>
      </c>
      <c r="E849">
        <v>83.867000000000004</v>
      </c>
      <c r="F849" s="23">
        <f t="shared" si="13"/>
        <v>1.5764017435959277E-3</v>
      </c>
    </row>
    <row r="850" spans="1:6" x14ac:dyDescent="0.35">
      <c r="A850" s="22">
        <v>45726</v>
      </c>
      <c r="B850">
        <v>83.337000000000003</v>
      </c>
      <c r="C850">
        <v>83.337000000000003</v>
      </c>
      <c r="D850">
        <v>83.337000000000003</v>
      </c>
      <c r="E850">
        <v>83.337000000000003</v>
      </c>
      <c r="F850" s="23">
        <f t="shared" si="13"/>
        <v>-6.3195297315988544E-3</v>
      </c>
    </row>
    <row r="851" spans="1:6" x14ac:dyDescent="0.35">
      <c r="A851" s="22">
        <v>45727</v>
      </c>
      <c r="B851">
        <v>83.26</v>
      </c>
      <c r="C851">
        <v>83.26</v>
      </c>
      <c r="D851">
        <v>83.26</v>
      </c>
      <c r="E851">
        <v>83.26</v>
      </c>
      <c r="F851" s="23">
        <f t="shared" si="13"/>
        <v>-9.2395934578876342E-4</v>
      </c>
    </row>
    <row r="852" spans="1:6" x14ac:dyDescent="0.35">
      <c r="A852" s="22">
        <v>45728</v>
      </c>
      <c r="B852">
        <v>83.558000000000007</v>
      </c>
      <c r="C852">
        <v>83.558000000000007</v>
      </c>
      <c r="D852">
        <v>83.558000000000007</v>
      </c>
      <c r="E852">
        <v>83.558000000000007</v>
      </c>
      <c r="F852" s="23">
        <f t="shared" si="13"/>
        <v>3.5791496516935119E-3</v>
      </c>
    </row>
    <row r="853" spans="1:6" x14ac:dyDescent="0.35">
      <c r="A853" s="22">
        <v>45729</v>
      </c>
      <c r="B853">
        <v>83.049000000000007</v>
      </c>
      <c r="C853">
        <v>83.049000000000007</v>
      </c>
      <c r="D853">
        <v>83.049000000000007</v>
      </c>
      <c r="E853">
        <v>83.049000000000007</v>
      </c>
      <c r="F853" s="23">
        <f t="shared" si="13"/>
        <v>-6.0915771081165217E-3</v>
      </c>
    </row>
    <row r="854" spans="1:6" x14ac:dyDescent="0.35">
      <c r="A854" s="22">
        <v>45733</v>
      </c>
      <c r="B854">
        <v>83.778999999999996</v>
      </c>
      <c r="C854">
        <v>83.778999999999996</v>
      </c>
      <c r="D854">
        <v>83.778999999999996</v>
      </c>
      <c r="E854">
        <v>83.778999999999996</v>
      </c>
      <c r="F854" s="23">
        <f t="shared" si="13"/>
        <v>8.7899914508301081E-3</v>
      </c>
    </row>
    <row r="855" spans="1:6" x14ac:dyDescent="0.35">
      <c r="A855" s="22">
        <v>45734</v>
      </c>
      <c r="B855">
        <v>84.296000000000006</v>
      </c>
      <c r="C855">
        <v>84.296000000000006</v>
      </c>
      <c r="D855">
        <v>84.296000000000006</v>
      </c>
      <c r="E855">
        <v>84.296000000000006</v>
      </c>
      <c r="F855" s="23">
        <f t="shared" si="13"/>
        <v>6.1709975053415552E-3</v>
      </c>
    </row>
    <row r="856" spans="1:6" x14ac:dyDescent="0.35">
      <c r="A856" s="22">
        <v>45735</v>
      </c>
      <c r="B856">
        <v>84.768000000000001</v>
      </c>
      <c r="C856">
        <v>84.768000000000001</v>
      </c>
      <c r="D856">
        <v>84.768000000000001</v>
      </c>
      <c r="E856">
        <v>84.768000000000001</v>
      </c>
      <c r="F856" s="23">
        <f t="shared" si="13"/>
        <v>5.5993166935559713E-3</v>
      </c>
    </row>
    <row r="857" spans="1:6" x14ac:dyDescent="0.35">
      <c r="A857" s="22">
        <v>45736</v>
      </c>
      <c r="B857">
        <v>85.228999999999999</v>
      </c>
      <c r="C857">
        <v>85.228999999999999</v>
      </c>
      <c r="D857">
        <v>85.228999999999999</v>
      </c>
      <c r="E857">
        <v>85.228999999999999</v>
      </c>
      <c r="F857" s="23">
        <f t="shared" si="13"/>
        <v>5.4383729709324095E-3</v>
      </c>
    </row>
    <row r="858" spans="1:6" x14ac:dyDescent="0.35">
      <c r="A858" s="22">
        <v>45737</v>
      </c>
      <c r="B858">
        <v>85.847999999999999</v>
      </c>
      <c r="C858">
        <v>85.847999999999999</v>
      </c>
      <c r="D858">
        <v>85.847999999999999</v>
      </c>
      <c r="E858">
        <v>85.847999999999999</v>
      </c>
      <c r="F858" s="23">
        <f t="shared" si="13"/>
        <v>7.2627861408675427E-3</v>
      </c>
    </row>
    <row r="859" spans="1:6" x14ac:dyDescent="0.35">
      <c r="A859" s="22">
        <v>45740</v>
      </c>
      <c r="B859">
        <v>86.93</v>
      </c>
      <c r="C859">
        <v>86.93</v>
      </c>
      <c r="D859">
        <v>86.93</v>
      </c>
      <c r="E859">
        <v>86.93</v>
      </c>
      <c r="F859" s="23">
        <f t="shared" si="13"/>
        <v>1.2603671605628645E-2</v>
      </c>
    </row>
    <row r="860" spans="1:6" x14ac:dyDescent="0.35">
      <c r="A860" s="22">
        <v>45741</v>
      </c>
      <c r="B860">
        <v>86.938000000000002</v>
      </c>
      <c r="C860">
        <v>86.938000000000002</v>
      </c>
      <c r="D860">
        <v>86.938000000000002</v>
      </c>
      <c r="E860">
        <v>86.938000000000002</v>
      </c>
      <c r="F860" s="23">
        <f t="shared" si="13"/>
        <v>9.2028068560860067E-5</v>
      </c>
    </row>
    <row r="861" spans="1:6" x14ac:dyDescent="0.35">
      <c r="A861" s="22">
        <v>45742</v>
      </c>
      <c r="B861">
        <v>86.385999999999996</v>
      </c>
      <c r="C861">
        <v>86.385999999999996</v>
      </c>
      <c r="D861">
        <v>86.385999999999996</v>
      </c>
      <c r="E861">
        <v>86.385999999999996</v>
      </c>
      <c r="F861" s="23">
        <f t="shared" si="13"/>
        <v>-6.3493524120638465E-3</v>
      </c>
    </row>
    <row r="862" spans="1:6" x14ac:dyDescent="0.35">
      <c r="A862" s="22">
        <v>45743</v>
      </c>
      <c r="B862">
        <v>86.447000000000003</v>
      </c>
      <c r="C862">
        <v>86.447000000000003</v>
      </c>
      <c r="D862">
        <v>86.447000000000003</v>
      </c>
      <c r="E862">
        <v>86.447000000000003</v>
      </c>
      <c r="F862" s="23">
        <f t="shared" si="13"/>
        <v>7.0613293820766157E-4</v>
      </c>
    </row>
    <row r="863" spans="1:6" x14ac:dyDescent="0.35">
      <c r="A863" s="22">
        <v>45744</v>
      </c>
      <c r="B863">
        <v>85.837000000000003</v>
      </c>
      <c r="C863">
        <v>85.837000000000003</v>
      </c>
      <c r="D863">
        <v>85.837000000000003</v>
      </c>
      <c r="E863">
        <v>85.837000000000003</v>
      </c>
      <c r="F863" s="23">
        <f t="shared" si="13"/>
        <v>-7.0563466632734438E-3</v>
      </c>
    </row>
    <row r="864" spans="1:6" x14ac:dyDescent="0.35">
      <c r="A864" s="22">
        <v>45747</v>
      </c>
      <c r="B864">
        <v>85.8</v>
      </c>
      <c r="C864">
        <v>85.843000000000004</v>
      </c>
      <c r="D864">
        <v>85.843000000000004</v>
      </c>
      <c r="E864">
        <v>85.8</v>
      </c>
      <c r="F864" s="23">
        <f t="shared" si="13"/>
        <v>-4.3104954739804673E-4</v>
      </c>
    </row>
    <row r="865" spans="1:6" x14ac:dyDescent="0.35">
      <c r="A865" s="22">
        <v>45748</v>
      </c>
      <c r="B865">
        <v>84.963999999999999</v>
      </c>
      <c r="C865">
        <v>84.963999999999999</v>
      </c>
      <c r="D865">
        <v>84.963999999999999</v>
      </c>
      <c r="E865">
        <v>84.963999999999999</v>
      </c>
      <c r="F865" s="23">
        <f t="shared" si="13"/>
        <v>-9.7435897435897267E-3</v>
      </c>
    </row>
    <row r="866" spans="1:6" x14ac:dyDescent="0.35">
      <c r="A866" s="22">
        <v>45749</v>
      </c>
      <c r="B866">
        <v>85.116</v>
      </c>
      <c r="C866">
        <v>85.116</v>
      </c>
      <c r="D866">
        <v>85.116</v>
      </c>
      <c r="E866">
        <v>85.116</v>
      </c>
      <c r="F866" s="23">
        <f t="shared" si="13"/>
        <v>1.7889929852643593E-3</v>
      </c>
    </row>
    <row r="867" spans="1:6" x14ac:dyDescent="0.35">
      <c r="A867" s="22">
        <v>45750</v>
      </c>
      <c r="B867">
        <v>84.584999999999994</v>
      </c>
      <c r="C867">
        <v>84.584999999999994</v>
      </c>
      <c r="D867">
        <v>84.584999999999994</v>
      </c>
      <c r="E867">
        <v>84.584999999999994</v>
      </c>
      <c r="F867" s="23">
        <f t="shared" si="13"/>
        <v>-6.238545044410051E-3</v>
      </c>
    </row>
    <row r="868" spans="1:6" x14ac:dyDescent="0.35">
      <c r="A868" s="22">
        <v>45751</v>
      </c>
      <c r="B868">
        <v>83.617000000000004</v>
      </c>
      <c r="C868">
        <v>83.617000000000004</v>
      </c>
      <c r="D868">
        <v>83.617000000000004</v>
      </c>
      <c r="E868">
        <v>83.617000000000004</v>
      </c>
      <c r="F868" s="23">
        <f t="shared" si="13"/>
        <v>-1.1444109475675231E-2</v>
      </c>
    </row>
    <row r="869" spans="1:6" x14ac:dyDescent="0.35">
      <c r="A869" s="22">
        <v>45754</v>
      </c>
      <c r="B869">
        <v>82.058999999999997</v>
      </c>
      <c r="C869">
        <v>82.058999999999997</v>
      </c>
      <c r="D869">
        <v>82.058999999999997</v>
      </c>
      <c r="E869">
        <v>82.058999999999997</v>
      </c>
      <c r="F869" s="23">
        <f t="shared" si="13"/>
        <v>-1.8632574715667947E-2</v>
      </c>
    </row>
    <row r="870" spans="1:6" x14ac:dyDescent="0.35">
      <c r="A870" s="22">
        <v>45755</v>
      </c>
      <c r="B870">
        <v>82.620999999999995</v>
      </c>
      <c r="C870">
        <v>82.620999999999995</v>
      </c>
      <c r="D870">
        <v>82.620999999999995</v>
      </c>
      <c r="E870">
        <v>82.620999999999995</v>
      </c>
      <c r="F870" s="23">
        <f t="shared" si="13"/>
        <v>6.8487307912599186E-3</v>
      </c>
    </row>
    <row r="871" spans="1:6" x14ac:dyDescent="0.35">
      <c r="A871" s="22">
        <v>45756</v>
      </c>
      <c r="B871">
        <v>83.590999999999994</v>
      </c>
      <c r="C871">
        <v>83.590999999999994</v>
      </c>
      <c r="D871">
        <v>83.590999999999994</v>
      </c>
      <c r="E871">
        <v>83.590999999999994</v>
      </c>
      <c r="F871" s="23">
        <f t="shared" si="13"/>
        <v>1.1740356567942761E-2</v>
      </c>
    </row>
    <row r="872" spans="1:6" x14ac:dyDescent="0.35">
      <c r="A872" s="22">
        <v>45758</v>
      </c>
      <c r="B872">
        <v>84.399000000000001</v>
      </c>
      <c r="C872">
        <v>84.399000000000001</v>
      </c>
      <c r="D872">
        <v>84.399000000000001</v>
      </c>
      <c r="E872">
        <v>84.399000000000001</v>
      </c>
      <c r="F872" s="23">
        <f t="shared" si="13"/>
        <v>9.6661123805195179E-3</v>
      </c>
    </row>
    <row r="873" spans="1:6" x14ac:dyDescent="0.35">
      <c r="A873" s="22">
        <v>45762</v>
      </c>
      <c r="B873">
        <v>85.409000000000006</v>
      </c>
      <c r="C873">
        <v>85.409000000000006</v>
      </c>
      <c r="D873">
        <v>85.409000000000006</v>
      </c>
      <c r="E873">
        <v>85.409000000000006</v>
      </c>
      <c r="F873" s="23">
        <f t="shared" si="13"/>
        <v>1.1966966433251638E-2</v>
      </c>
    </row>
    <row r="874" spans="1:6" x14ac:dyDescent="0.35">
      <c r="A874" s="22">
        <v>45763</v>
      </c>
      <c r="B874">
        <v>85.245999999999995</v>
      </c>
      <c r="C874">
        <v>85.245999999999995</v>
      </c>
      <c r="D874">
        <v>85.245999999999995</v>
      </c>
      <c r="E874">
        <v>85.245999999999995</v>
      </c>
      <c r="F874" s="23">
        <f t="shared" si="13"/>
        <v>-1.9084639792060661E-3</v>
      </c>
    </row>
    <row r="875" spans="1:6" x14ac:dyDescent="0.35">
      <c r="A875" s="22">
        <v>45764</v>
      </c>
      <c r="B875">
        <v>85.984999999999999</v>
      </c>
      <c r="C875">
        <v>85.984999999999999</v>
      </c>
      <c r="D875">
        <v>85.984999999999999</v>
      </c>
      <c r="E875">
        <v>85.984999999999999</v>
      </c>
      <c r="F875" s="23">
        <f t="shared" si="13"/>
        <v>8.669028458813368E-3</v>
      </c>
    </row>
    <row r="876" spans="1:6" x14ac:dyDescent="0.35">
      <c r="A876" s="22">
        <v>45768</v>
      </c>
      <c r="B876">
        <v>86.602999999999994</v>
      </c>
      <c r="C876">
        <v>86.602999999999994</v>
      </c>
      <c r="D876">
        <v>86.602999999999994</v>
      </c>
      <c r="E876">
        <v>86.602999999999994</v>
      </c>
      <c r="F876" s="23">
        <f t="shared" si="13"/>
        <v>7.1873001104843289E-3</v>
      </c>
    </row>
    <row r="877" spans="1:6" x14ac:dyDescent="0.35">
      <c r="A877" s="22">
        <v>45769</v>
      </c>
      <c r="B877">
        <v>87.12</v>
      </c>
      <c r="C877">
        <v>87.12</v>
      </c>
      <c r="D877">
        <v>87.12</v>
      </c>
      <c r="E877">
        <v>87.12</v>
      </c>
      <c r="F877" s="23">
        <f t="shared" si="13"/>
        <v>5.9697701003430612E-3</v>
      </c>
    </row>
    <row r="878" spans="1:6" x14ac:dyDescent="0.35">
      <c r="A878" s="22">
        <v>45770</v>
      </c>
      <c r="B878">
        <v>87.751999999999995</v>
      </c>
      <c r="C878">
        <v>87.751999999999995</v>
      </c>
      <c r="D878">
        <v>87.751999999999995</v>
      </c>
      <c r="E878">
        <v>87.751999999999995</v>
      </c>
      <c r="F878" s="23">
        <f t="shared" si="13"/>
        <v>7.2543617998162392E-3</v>
      </c>
    </row>
    <row r="879" spans="1:6" x14ac:dyDescent="0.35">
      <c r="A879" s="22">
        <v>45771</v>
      </c>
      <c r="B879">
        <v>87.863</v>
      </c>
      <c r="C879">
        <v>87.863</v>
      </c>
      <c r="D879">
        <v>87.863</v>
      </c>
      <c r="E879">
        <v>87.863</v>
      </c>
      <c r="F879" s="23">
        <f t="shared" si="13"/>
        <v>1.2649284346795994E-3</v>
      </c>
    </row>
    <row r="880" spans="1:6" x14ac:dyDescent="0.35">
      <c r="A880" s="22">
        <v>45772</v>
      </c>
      <c r="B880">
        <v>87.293000000000006</v>
      </c>
      <c r="C880">
        <v>87.293000000000006</v>
      </c>
      <c r="D880">
        <v>87.293000000000006</v>
      </c>
      <c r="E880">
        <v>87.293000000000006</v>
      </c>
      <c r="F880" s="23">
        <f t="shared" si="13"/>
        <v>-6.4873723865562661E-3</v>
      </c>
    </row>
    <row r="881" spans="1:6" x14ac:dyDescent="0.35">
      <c r="A881" s="22">
        <v>45775</v>
      </c>
      <c r="B881">
        <v>87.811000000000007</v>
      </c>
      <c r="C881">
        <v>87.811000000000007</v>
      </c>
      <c r="D881">
        <v>87.811000000000007</v>
      </c>
      <c r="E881">
        <v>87.811000000000007</v>
      </c>
      <c r="F881" s="23">
        <f t="shared" si="13"/>
        <v>5.9340382390340651E-3</v>
      </c>
    </row>
    <row r="882" spans="1:6" x14ac:dyDescent="0.35">
      <c r="A882" s="22">
        <v>45776</v>
      </c>
      <c r="B882">
        <v>87.52</v>
      </c>
      <c r="C882">
        <v>87.52</v>
      </c>
      <c r="D882">
        <v>87.52</v>
      </c>
      <c r="E882">
        <v>87.52</v>
      </c>
      <c r="F882" s="23">
        <f t="shared" si="13"/>
        <v>-3.3139356117116419E-3</v>
      </c>
    </row>
    <row r="883" spans="1:6" x14ac:dyDescent="0.35">
      <c r="A883" s="22">
        <v>45777</v>
      </c>
      <c r="B883">
        <v>87.412000000000006</v>
      </c>
      <c r="C883">
        <v>87.412000000000006</v>
      </c>
      <c r="D883">
        <v>87.412000000000006</v>
      </c>
      <c r="E883">
        <v>87.412000000000006</v>
      </c>
      <c r="F883" s="23">
        <f t="shared" si="13"/>
        <v>-1.2340036563070142E-3</v>
      </c>
    </row>
    <row r="884" spans="1:6" x14ac:dyDescent="0.35">
      <c r="A884" s="22">
        <v>45779</v>
      </c>
      <c r="B884">
        <v>87.984999999999999</v>
      </c>
      <c r="C884">
        <v>87.984999999999999</v>
      </c>
      <c r="D884">
        <v>87.984999999999999</v>
      </c>
      <c r="E884">
        <v>87.984999999999999</v>
      </c>
      <c r="F884" s="23">
        <f t="shared" si="13"/>
        <v>6.5551640507023438E-3</v>
      </c>
    </row>
    <row r="885" spans="1:6" x14ac:dyDescent="0.35">
      <c r="A885" s="22">
        <v>45782</v>
      </c>
      <c r="B885">
        <v>88.061999999999998</v>
      </c>
      <c r="C885">
        <v>88.061999999999998</v>
      </c>
      <c r="D885">
        <v>88.061999999999998</v>
      </c>
      <c r="E885">
        <v>88.061999999999998</v>
      </c>
      <c r="F885" s="23">
        <f t="shared" si="13"/>
        <v>8.751491731544943E-4</v>
      </c>
    </row>
    <row r="886" spans="1:6" x14ac:dyDescent="0.35">
      <c r="A886" s="22">
        <v>45783</v>
      </c>
      <c r="B886">
        <v>87.784999999999997</v>
      </c>
      <c r="C886">
        <v>87.784999999999997</v>
      </c>
      <c r="D886">
        <v>87.784999999999997</v>
      </c>
      <c r="E886">
        <v>87.784999999999997</v>
      </c>
      <c r="F886" s="23">
        <f t="shared" si="13"/>
        <v>-3.1455111171674621E-3</v>
      </c>
    </row>
    <row r="887" spans="1:6" x14ac:dyDescent="0.35">
      <c r="A887" s="22">
        <v>45784</v>
      </c>
      <c r="B887">
        <v>88.045000000000002</v>
      </c>
      <c r="C887">
        <v>88.045000000000002</v>
      </c>
      <c r="D887">
        <v>88.045000000000002</v>
      </c>
      <c r="E887">
        <v>88.045000000000002</v>
      </c>
      <c r="F887" s="23">
        <f t="shared" si="13"/>
        <v>2.9617816255625121E-3</v>
      </c>
    </row>
    <row r="888" spans="1:6" x14ac:dyDescent="0.35">
      <c r="A888" s="22">
        <v>45785</v>
      </c>
      <c r="B888">
        <v>87.831000000000003</v>
      </c>
      <c r="C888">
        <v>87.831000000000003</v>
      </c>
      <c r="D888">
        <v>87.831000000000003</v>
      </c>
      <c r="E888">
        <v>87.831000000000003</v>
      </c>
      <c r="F888" s="23">
        <f t="shared" si="13"/>
        <v>-2.4305752740075943E-3</v>
      </c>
    </row>
    <row r="889" spans="1:6" x14ac:dyDescent="0.35">
      <c r="A889" s="22">
        <v>45786</v>
      </c>
      <c r="B889">
        <v>86.864999999999995</v>
      </c>
      <c r="C889">
        <v>86.864999999999995</v>
      </c>
      <c r="D889">
        <v>86.864999999999995</v>
      </c>
      <c r="E889">
        <v>86.864999999999995</v>
      </c>
      <c r="F889" s="23">
        <f t="shared" si="13"/>
        <v>-1.0998394644260091E-2</v>
      </c>
    </row>
    <row r="890" spans="1:6" x14ac:dyDescent="0.35">
      <c r="A890" s="22">
        <v>45789</v>
      </c>
      <c r="B890">
        <v>89.537000000000006</v>
      </c>
      <c r="C890">
        <v>89.537000000000006</v>
      </c>
      <c r="D890">
        <v>89.537000000000006</v>
      </c>
      <c r="E890">
        <v>89.537000000000006</v>
      </c>
      <c r="F890" s="23">
        <f t="shared" si="13"/>
        <v>3.0760375294998116E-2</v>
      </c>
    </row>
    <row r="891" spans="1:6" x14ac:dyDescent="0.35">
      <c r="A891" s="22">
        <v>45790</v>
      </c>
      <c r="B891">
        <v>88.873999999999995</v>
      </c>
      <c r="C891">
        <v>88.873999999999995</v>
      </c>
      <c r="D891">
        <v>88.873999999999995</v>
      </c>
      <c r="E891">
        <v>88.873999999999995</v>
      </c>
      <c r="F891" s="23">
        <f t="shared" si="13"/>
        <v>-7.4047600433341625E-3</v>
      </c>
    </row>
    <row r="892" spans="1:6" x14ac:dyDescent="0.35">
      <c r="A892" s="22">
        <v>45791</v>
      </c>
      <c r="B892">
        <v>89.218000000000004</v>
      </c>
      <c r="C892">
        <v>89.218000000000004</v>
      </c>
      <c r="D892">
        <v>89.218000000000004</v>
      </c>
      <c r="E892">
        <v>89.218000000000004</v>
      </c>
      <c r="F892" s="23">
        <f t="shared" si="13"/>
        <v>3.8706483335959707E-3</v>
      </c>
    </row>
    <row r="893" spans="1:6" x14ac:dyDescent="0.35">
      <c r="A893" s="22">
        <v>45792</v>
      </c>
      <c r="B893">
        <v>89.995999999999995</v>
      </c>
      <c r="C893">
        <v>89.995999999999995</v>
      </c>
      <c r="D893">
        <v>89.995999999999995</v>
      </c>
      <c r="E893">
        <v>89.995999999999995</v>
      </c>
      <c r="F893" s="23">
        <f t="shared" si="13"/>
        <v>8.7202134098499362E-3</v>
      </c>
    </row>
    <row r="894" spans="1:6" x14ac:dyDescent="0.35">
      <c r="A894" s="22">
        <v>45793</v>
      </c>
      <c r="B894">
        <v>90.29</v>
      </c>
      <c r="C894">
        <v>90.29</v>
      </c>
      <c r="D894">
        <v>90.29</v>
      </c>
      <c r="E894">
        <v>90.29</v>
      </c>
      <c r="F894" s="23">
        <f t="shared" si="13"/>
        <v>3.2668118583049376E-3</v>
      </c>
    </row>
    <row r="895" spans="1:6" x14ac:dyDescent="0.35">
      <c r="A895" s="22">
        <v>45796</v>
      </c>
      <c r="B895">
        <v>90.697999999999993</v>
      </c>
      <c r="C895">
        <v>90.697999999999993</v>
      </c>
      <c r="D895">
        <v>90.697999999999993</v>
      </c>
      <c r="E895">
        <v>90.697999999999993</v>
      </c>
      <c r="F895" s="23">
        <f t="shared" si="13"/>
        <v>4.5187728430611035E-3</v>
      </c>
    </row>
    <row r="896" spans="1:6" x14ac:dyDescent="0.35">
      <c r="A896" s="22">
        <v>45797</v>
      </c>
      <c r="B896">
        <v>89.683999999999997</v>
      </c>
      <c r="C896">
        <v>89.683999999999997</v>
      </c>
      <c r="D896">
        <v>89.683999999999997</v>
      </c>
      <c r="E896">
        <v>89.683999999999997</v>
      </c>
      <c r="F896" s="23">
        <f t="shared" si="13"/>
        <v>-1.1179959866810689E-2</v>
      </c>
    </row>
    <row r="897" spans="1:6" x14ac:dyDescent="0.35">
      <c r="A897" s="22">
        <v>45798</v>
      </c>
      <c r="B897">
        <v>89.866</v>
      </c>
      <c r="C897">
        <v>89.866</v>
      </c>
      <c r="D897">
        <v>89.866</v>
      </c>
      <c r="E897">
        <v>89.866</v>
      </c>
      <c r="F897" s="23">
        <f t="shared" si="13"/>
        <v>2.0293474867312138E-3</v>
      </c>
    </row>
    <row r="898" spans="1:6" x14ac:dyDescent="0.35">
      <c r="A898" s="22">
        <v>45799</v>
      </c>
      <c r="B898">
        <v>89.483000000000004</v>
      </c>
      <c r="C898">
        <v>89.483000000000004</v>
      </c>
      <c r="D898">
        <v>89.483000000000004</v>
      </c>
      <c r="E898">
        <v>89.483000000000004</v>
      </c>
      <c r="F898" s="23">
        <f t="shared" si="13"/>
        <v>-4.2619010526783827E-3</v>
      </c>
    </row>
    <row r="899" spans="1:6" x14ac:dyDescent="0.35">
      <c r="A899" s="22">
        <v>45800</v>
      </c>
      <c r="B899">
        <v>90.063999999999993</v>
      </c>
      <c r="C899">
        <v>90.063999999999993</v>
      </c>
      <c r="D899">
        <v>90.063999999999993</v>
      </c>
      <c r="E899">
        <v>90.063999999999993</v>
      </c>
      <c r="F899" s="23">
        <f t="shared" ref="F899:F962" si="14">(B899-B898)/B898</f>
        <v>6.4928533911467971E-3</v>
      </c>
    </row>
    <row r="900" spans="1:6" x14ac:dyDescent="0.35">
      <c r="A900" s="22">
        <v>45803</v>
      </c>
      <c r="B900">
        <v>90.349000000000004</v>
      </c>
      <c r="C900">
        <v>90.349000000000004</v>
      </c>
      <c r="D900">
        <v>90.349000000000004</v>
      </c>
      <c r="E900">
        <v>90.063999999999993</v>
      </c>
      <c r="F900" s="23">
        <f t="shared" si="14"/>
        <v>3.1644164149939023E-3</v>
      </c>
    </row>
    <row r="901" spans="1:6" x14ac:dyDescent="0.35">
      <c r="A901" s="22">
        <v>45804</v>
      </c>
      <c r="B901">
        <v>90.132999999999996</v>
      </c>
      <c r="C901">
        <v>90.132999999999996</v>
      </c>
      <c r="D901">
        <v>90.132999999999996</v>
      </c>
      <c r="E901">
        <v>90.132999999999996</v>
      </c>
      <c r="F901" s="23">
        <f t="shared" si="14"/>
        <v>-2.3907292831133512E-3</v>
      </c>
    </row>
    <row r="902" spans="1:6" x14ac:dyDescent="0.35">
      <c r="A902" s="22">
        <v>45805</v>
      </c>
      <c r="B902">
        <v>89.844999999999999</v>
      </c>
      <c r="C902">
        <v>89.844999999999999</v>
      </c>
      <c r="D902">
        <v>89.844999999999999</v>
      </c>
      <c r="E902">
        <v>89.844999999999999</v>
      </c>
      <c r="F902" s="23">
        <f t="shared" si="14"/>
        <v>-3.1952780890461508E-3</v>
      </c>
    </row>
    <row r="903" spans="1:6" x14ac:dyDescent="0.35">
      <c r="A903" s="22">
        <v>45806</v>
      </c>
      <c r="B903">
        <v>89.918000000000006</v>
      </c>
      <c r="C903">
        <v>89.918000000000006</v>
      </c>
      <c r="D903">
        <v>89.918000000000006</v>
      </c>
      <c r="E903">
        <v>89.918000000000006</v>
      </c>
      <c r="F903" s="23">
        <f t="shared" si="14"/>
        <v>8.1251043463751468E-4</v>
      </c>
    </row>
    <row r="904" spans="1:6" x14ac:dyDescent="0.35">
      <c r="A904" s="22">
        <v>45807</v>
      </c>
      <c r="B904">
        <v>89.784000000000006</v>
      </c>
      <c r="C904">
        <v>89.784000000000006</v>
      </c>
      <c r="D904">
        <v>89.784000000000006</v>
      </c>
      <c r="E904">
        <v>89.784000000000006</v>
      </c>
      <c r="F904" s="23">
        <f t="shared" si="14"/>
        <v>-1.4902466691874856E-3</v>
      </c>
    </row>
    <row r="905" spans="1:6" x14ac:dyDescent="0.35">
      <c r="A905" s="22">
        <v>45810</v>
      </c>
      <c r="B905">
        <v>89.981999999999999</v>
      </c>
      <c r="C905">
        <v>89.981999999999999</v>
      </c>
      <c r="D905">
        <v>89.981999999999999</v>
      </c>
      <c r="E905">
        <v>89.981999999999999</v>
      </c>
      <c r="F905" s="23">
        <f t="shared" si="14"/>
        <v>2.2052927024858913E-3</v>
      </c>
    </row>
    <row r="906" spans="1:6" x14ac:dyDescent="0.35">
      <c r="A906" s="22">
        <v>45811</v>
      </c>
      <c r="B906">
        <v>89.47</v>
      </c>
      <c r="C906">
        <v>89.47</v>
      </c>
      <c r="D906">
        <v>89.47</v>
      </c>
      <c r="E906">
        <v>89.47</v>
      </c>
      <c r="F906" s="23">
        <f t="shared" si="14"/>
        <v>-5.6900268942677475E-3</v>
      </c>
    </row>
    <row r="907" spans="1:6" x14ac:dyDescent="0.35">
      <c r="A907" s="22">
        <v>45812</v>
      </c>
      <c r="B907">
        <v>89.893000000000001</v>
      </c>
      <c r="C907">
        <v>89.893000000000001</v>
      </c>
      <c r="D907">
        <v>89.893000000000001</v>
      </c>
      <c r="E907">
        <v>89.893000000000001</v>
      </c>
      <c r="F907" s="23">
        <f t="shared" si="14"/>
        <v>4.7278417346596829E-3</v>
      </c>
    </row>
    <row r="908" spans="1:6" x14ac:dyDescent="0.35">
      <c r="A908" s="22">
        <v>45813</v>
      </c>
      <c r="B908">
        <v>90.221000000000004</v>
      </c>
      <c r="C908">
        <v>90.221000000000004</v>
      </c>
      <c r="D908">
        <v>90.221000000000004</v>
      </c>
      <c r="E908">
        <v>90.221000000000004</v>
      </c>
      <c r="F908" s="23">
        <f t="shared" si="14"/>
        <v>3.6487824413469674E-3</v>
      </c>
    </row>
    <row r="909" spans="1:6" x14ac:dyDescent="0.35">
      <c r="A909" s="22">
        <v>45814</v>
      </c>
      <c r="B909">
        <v>91.403999999999996</v>
      </c>
      <c r="C909">
        <v>91.403999999999996</v>
      </c>
      <c r="D909">
        <v>91.403999999999996</v>
      </c>
      <c r="E909">
        <v>91.403999999999996</v>
      </c>
      <c r="F909" s="23">
        <f t="shared" si="14"/>
        <v>1.3112246594473489E-2</v>
      </c>
    </row>
    <row r="910" spans="1:6" x14ac:dyDescent="0.35">
      <c r="A910" s="22">
        <v>45817</v>
      </c>
      <c r="B910">
        <v>91.856999999999999</v>
      </c>
      <c r="C910">
        <v>91.856999999999999</v>
      </c>
      <c r="D910">
        <v>91.856999999999999</v>
      </c>
      <c r="E910">
        <v>91.856999999999999</v>
      </c>
      <c r="F910" s="23">
        <f t="shared" si="14"/>
        <v>4.9560194302219049E-3</v>
      </c>
    </row>
    <row r="911" spans="1:6" x14ac:dyDescent="0.35">
      <c r="A911" s="22">
        <v>45818</v>
      </c>
      <c r="B911">
        <v>91.997</v>
      </c>
      <c r="C911">
        <v>91.997</v>
      </c>
      <c r="D911">
        <v>91.997</v>
      </c>
      <c r="E911">
        <v>91.997</v>
      </c>
      <c r="F911" s="23">
        <f t="shared" si="14"/>
        <v>1.5241081245849588E-3</v>
      </c>
    </row>
    <row r="912" spans="1:6" x14ac:dyDescent="0.35">
      <c r="A912" s="22">
        <v>45819</v>
      </c>
      <c r="B912">
        <v>91.802999999999997</v>
      </c>
      <c r="C912">
        <v>91.802999999999997</v>
      </c>
      <c r="D912">
        <v>91.802999999999997</v>
      </c>
      <c r="E912">
        <v>91.802999999999997</v>
      </c>
      <c r="F912" s="23">
        <f t="shared" si="14"/>
        <v>-2.1087644162309923E-3</v>
      </c>
    </row>
    <row r="913" spans="1:6" x14ac:dyDescent="0.35">
      <c r="A913" s="22">
        <v>45820</v>
      </c>
      <c r="B913">
        <v>91.058999999999997</v>
      </c>
      <c r="C913">
        <v>91.058999999999997</v>
      </c>
      <c r="D913">
        <v>91.058999999999997</v>
      </c>
      <c r="E913">
        <v>91.058999999999997</v>
      </c>
      <c r="F913" s="23">
        <f t="shared" si="14"/>
        <v>-8.1043103166563157E-3</v>
      </c>
    </row>
    <row r="914" spans="1:6" x14ac:dyDescent="0.35">
      <c r="A914" s="22">
        <v>45821</v>
      </c>
      <c r="B914">
        <v>90.673000000000002</v>
      </c>
      <c r="C914">
        <v>90.673000000000002</v>
      </c>
      <c r="D914">
        <v>90.673000000000002</v>
      </c>
      <c r="E914">
        <v>90.673000000000002</v>
      </c>
      <c r="F914" s="23">
        <f t="shared" si="14"/>
        <v>-4.2390098727198375E-3</v>
      </c>
    </row>
    <row r="915" spans="1:6" x14ac:dyDescent="0.35">
      <c r="A915" s="22">
        <v>45824</v>
      </c>
      <c r="B915">
        <v>91.296999999999997</v>
      </c>
      <c r="C915">
        <v>91.296999999999997</v>
      </c>
      <c r="D915">
        <v>91.296999999999997</v>
      </c>
      <c r="E915">
        <v>91.296999999999997</v>
      </c>
      <c r="F915" s="23">
        <f t="shared" si="14"/>
        <v>6.8818722221608989E-3</v>
      </c>
    </row>
    <row r="916" spans="1:6" x14ac:dyDescent="0.35">
      <c r="A916" s="22">
        <v>45825</v>
      </c>
      <c r="B916">
        <v>91.043000000000006</v>
      </c>
      <c r="C916">
        <v>91.043000000000006</v>
      </c>
      <c r="D916">
        <v>91.043000000000006</v>
      </c>
      <c r="E916">
        <v>91.043000000000006</v>
      </c>
      <c r="F916" s="23">
        <f t="shared" si="14"/>
        <v>-2.7821286570203917E-3</v>
      </c>
    </row>
    <row r="917" spans="1:6" x14ac:dyDescent="0.35">
      <c r="A917" s="22">
        <v>45826</v>
      </c>
      <c r="B917">
        <v>90.994</v>
      </c>
      <c r="C917">
        <v>90.994</v>
      </c>
      <c r="D917">
        <v>90.994</v>
      </c>
      <c r="E917">
        <v>90.994</v>
      </c>
      <c r="F917" s="23">
        <f t="shared" si="14"/>
        <v>-5.3820722076388728E-4</v>
      </c>
    </row>
    <row r="918" spans="1:6" x14ac:dyDescent="0.35">
      <c r="A918" s="22">
        <v>45827</v>
      </c>
      <c r="B918">
        <v>90.855000000000004</v>
      </c>
      <c r="C918">
        <v>90.855000000000004</v>
      </c>
      <c r="D918">
        <v>90.855000000000004</v>
      </c>
      <c r="E918">
        <v>90.855000000000004</v>
      </c>
      <c r="F918" s="23">
        <f t="shared" si="14"/>
        <v>-1.5275732465876409E-3</v>
      </c>
    </row>
    <row r="919" spans="1:6" x14ac:dyDescent="0.35">
      <c r="A919" s="22">
        <v>45828</v>
      </c>
      <c r="B919">
        <v>91.429000000000002</v>
      </c>
      <c r="C919">
        <v>91.429000000000002</v>
      </c>
      <c r="D919">
        <v>91.429000000000002</v>
      </c>
      <c r="E919">
        <v>91.429000000000002</v>
      </c>
      <c r="F919" s="23">
        <f t="shared" si="14"/>
        <v>6.3177590666446317E-3</v>
      </c>
    </row>
    <row r="920" spans="1:6" x14ac:dyDescent="0.35">
      <c r="A920" s="22">
        <v>45831</v>
      </c>
      <c r="B920">
        <v>91.209000000000003</v>
      </c>
      <c r="C920">
        <v>91.209000000000003</v>
      </c>
      <c r="D920">
        <v>91.209000000000003</v>
      </c>
      <c r="E920">
        <v>91.209000000000003</v>
      </c>
      <c r="F920" s="23">
        <f t="shared" si="14"/>
        <v>-2.4062387207559838E-3</v>
      </c>
    </row>
    <row r="921" spans="1:6" x14ac:dyDescent="0.35">
      <c r="A921" s="22">
        <v>45832</v>
      </c>
      <c r="B921">
        <v>91.483999999999995</v>
      </c>
      <c r="C921">
        <v>91.483999999999995</v>
      </c>
      <c r="D921">
        <v>91.483999999999995</v>
      </c>
      <c r="E921">
        <v>91.483999999999995</v>
      </c>
      <c r="F921" s="23">
        <f t="shared" si="14"/>
        <v>3.0150533390344313E-3</v>
      </c>
    </row>
    <row r="922" spans="1:6" x14ac:dyDescent="0.35">
      <c r="A922" s="22">
        <v>45833</v>
      </c>
      <c r="B922">
        <v>91.978999999999999</v>
      </c>
      <c r="C922">
        <v>91.978999999999999</v>
      </c>
      <c r="D922">
        <v>91.978999999999999</v>
      </c>
      <c r="E922">
        <v>91.978999999999999</v>
      </c>
      <c r="F922" s="23">
        <f t="shared" si="14"/>
        <v>5.4107822132832472E-3</v>
      </c>
    </row>
    <row r="923" spans="1:6" x14ac:dyDescent="0.35">
      <c r="A923" s="22">
        <v>45834</v>
      </c>
      <c r="B923">
        <v>92.671000000000006</v>
      </c>
      <c r="C923">
        <v>92.671000000000006</v>
      </c>
      <c r="D923">
        <v>92.671000000000006</v>
      </c>
      <c r="E923">
        <v>92.671000000000006</v>
      </c>
      <c r="F923" s="23">
        <f t="shared" si="14"/>
        <v>7.5234564411442535E-3</v>
      </c>
    </row>
    <row r="924" spans="1:6" x14ac:dyDescent="0.35">
      <c r="A924" s="22">
        <v>45835</v>
      </c>
      <c r="B924">
        <v>93.165999999999997</v>
      </c>
      <c r="C924">
        <v>93.165999999999997</v>
      </c>
      <c r="D924">
        <v>93.165999999999997</v>
      </c>
      <c r="E924">
        <v>93.165999999999997</v>
      </c>
      <c r="F924" s="23">
        <f t="shared" si="14"/>
        <v>5.3414768374139728E-3</v>
      </c>
    </row>
    <row r="925" spans="1:6" x14ac:dyDescent="0.35">
      <c r="A925" s="22">
        <v>45838</v>
      </c>
      <c r="B925">
        <v>92.903000000000006</v>
      </c>
      <c r="C925">
        <v>92.903000000000006</v>
      </c>
      <c r="D925">
        <v>92.903000000000006</v>
      </c>
      <c r="E925">
        <v>92.903000000000006</v>
      </c>
      <c r="F925" s="23">
        <f t="shared" si="14"/>
        <v>-2.8229182319729411E-3</v>
      </c>
    </row>
    <row r="926" spans="1:6" x14ac:dyDescent="0.35">
      <c r="A926" s="22">
        <v>45839</v>
      </c>
      <c r="B926">
        <v>92.679000000000002</v>
      </c>
      <c r="C926">
        <v>92.679000000000002</v>
      </c>
      <c r="D926">
        <v>92.679000000000002</v>
      </c>
      <c r="E926">
        <v>92.679000000000002</v>
      </c>
      <c r="F926" s="23">
        <f t="shared" si="14"/>
        <v>-2.4111169714649016E-3</v>
      </c>
    </row>
    <row r="927" spans="1:6" x14ac:dyDescent="0.35">
      <c r="A927" s="22">
        <v>45840</v>
      </c>
      <c r="B927">
        <v>92.539000000000001</v>
      </c>
      <c r="C927">
        <v>92.539000000000001</v>
      </c>
      <c r="D927">
        <v>92.539000000000001</v>
      </c>
      <c r="E927">
        <v>92.539000000000001</v>
      </c>
      <c r="F927" s="23">
        <f t="shared" si="14"/>
        <v>-1.5105903171160734E-3</v>
      </c>
    </row>
    <row r="928" spans="1:6" x14ac:dyDescent="0.35">
      <c r="A928" s="22">
        <v>45841</v>
      </c>
      <c r="B928">
        <v>92.454999999999998</v>
      </c>
      <c r="C928">
        <v>92.454999999999998</v>
      </c>
      <c r="D928">
        <v>92.454999999999998</v>
      </c>
      <c r="E928">
        <v>92.454999999999998</v>
      </c>
      <c r="F928" s="23">
        <f t="shared" si="14"/>
        <v>-9.0772539145660949E-4</v>
      </c>
    </row>
    <row r="929" spans="1:6" x14ac:dyDescent="0.35">
      <c r="A929" s="22">
        <v>45842</v>
      </c>
      <c r="B929">
        <v>92.611999999999995</v>
      </c>
      <c r="C929">
        <v>92.611999999999995</v>
      </c>
      <c r="D929">
        <v>92.611999999999995</v>
      </c>
      <c r="E929">
        <v>92.611999999999995</v>
      </c>
      <c r="F929" s="23">
        <f t="shared" si="14"/>
        <v>1.6981234113892865E-3</v>
      </c>
    </row>
    <row r="930" spans="1:6" x14ac:dyDescent="0.35">
      <c r="A930" s="22">
        <v>45845</v>
      </c>
      <c r="B930">
        <v>92.653999999999996</v>
      </c>
      <c r="C930">
        <v>92.653999999999996</v>
      </c>
      <c r="D930">
        <v>92.653999999999996</v>
      </c>
      <c r="E930">
        <v>92.653999999999996</v>
      </c>
      <c r="F930" s="23">
        <f t="shared" si="14"/>
        <v>4.5350494536346901E-4</v>
      </c>
    </row>
    <row r="931" spans="1:6" x14ac:dyDescent="0.35">
      <c r="A931" s="22">
        <v>45846</v>
      </c>
      <c r="B931">
        <v>92.483999999999995</v>
      </c>
      <c r="C931">
        <v>92.483999999999995</v>
      </c>
      <c r="D931">
        <v>92.483999999999995</v>
      </c>
      <c r="E931">
        <v>92.483999999999995</v>
      </c>
      <c r="F931" s="23">
        <f t="shared" si="14"/>
        <v>-1.8347831718004805E-3</v>
      </c>
    </row>
    <row r="932" spans="1:6" x14ac:dyDescent="0.35">
      <c r="A932" s="22">
        <v>45847</v>
      </c>
      <c r="B932">
        <v>92.744</v>
      </c>
      <c r="C932">
        <v>92.744</v>
      </c>
      <c r="D932">
        <v>92.744</v>
      </c>
      <c r="E932">
        <v>92.744</v>
      </c>
      <c r="F932" s="23">
        <f t="shared" si="14"/>
        <v>2.8112970892262999E-3</v>
      </c>
    </row>
    <row r="933" spans="1:6" x14ac:dyDescent="0.35">
      <c r="A933" s="22">
        <v>45848</v>
      </c>
      <c r="B933">
        <v>92.430999999999997</v>
      </c>
      <c r="C933">
        <v>92.430999999999997</v>
      </c>
      <c r="D933">
        <v>92.430999999999997</v>
      </c>
      <c r="E933">
        <v>92.430999999999997</v>
      </c>
      <c r="F933" s="23">
        <f t="shared" si="14"/>
        <v>-3.3748813939446475E-3</v>
      </c>
    </row>
    <row r="934" spans="1:6" x14ac:dyDescent="0.35">
      <c r="A934" s="22">
        <v>45849</v>
      </c>
      <c r="B934">
        <v>92.102000000000004</v>
      </c>
      <c r="C934">
        <v>92.102000000000004</v>
      </c>
      <c r="D934">
        <v>92.102000000000004</v>
      </c>
      <c r="E934">
        <v>92.102000000000004</v>
      </c>
      <c r="F934" s="23">
        <f t="shared" si="14"/>
        <v>-3.559411885622719E-3</v>
      </c>
    </row>
    <row r="935" spans="1:6" x14ac:dyDescent="0.35">
      <c r="A935" s="22">
        <v>45852</v>
      </c>
      <c r="B935">
        <v>92.316000000000003</v>
      </c>
      <c r="C935">
        <v>92.316000000000003</v>
      </c>
      <c r="D935">
        <v>92.316000000000003</v>
      </c>
      <c r="E935">
        <v>92.316000000000003</v>
      </c>
      <c r="F935" s="23">
        <f t="shared" si="14"/>
        <v>2.3235108901000917E-3</v>
      </c>
    </row>
    <row r="936" spans="1:6" x14ac:dyDescent="0.35">
      <c r="A936" s="22">
        <v>45853</v>
      </c>
      <c r="B936">
        <v>92.418999999999997</v>
      </c>
      <c r="C936">
        <v>92.418999999999997</v>
      </c>
      <c r="D936">
        <v>92.418999999999997</v>
      </c>
      <c r="E936">
        <v>92.418999999999997</v>
      </c>
      <c r="F936" s="23">
        <f t="shared" si="14"/>
        <v>1.1157329173707095E-3</v>
      </c>
    </row>
    <row r="937" spans="1:6" x14ac:dyDescent="0.35">
      <c r="A937" s="22">
        <v>45854</v>
      </c>
      <c r="B937">
        <v>92.409000000000006</v>
      </c>
      <c r="C937">
        <v>92.409000000000006</v>
      </c>
      <c r="D937">
        <v>92.409000000000006</v>
      </c>
      <c r="E937">
        <v>92.409000000000006</v>
      </c>
      <c r="F937" s="23">
        <f t="shared" si="14"/>
        <v>-1.0820285871942896E-4</v>
      </c>
    </row>
    <row r="938" spans="1:6" x14ac:dyDescent="0.35">
      <c r="A938" s="22">
        <v>45855</v>
      </c>
      <c r="B938">
        <v>92.334000000000003</v>
      </c>
      <c r="C938">
        <v>92.334000000000003</v>
      </c>
      <c r="D938">
        <v>92.334000000000003</v>
      </c>
      <c r="E938">
        <v>92.334000000000003</v>
      </c>
      <c r="F938" s="23">
        <f t="shared" si="14"/>
        <v>-8.1160925883845558E-4</v>
      </c>
    </row>
    <row r="939" spans="1:6" x14ac:dyDescent="0.35">
      <c r="A939" s="22">
        <v>45856</v>
      </c>
      <c r="B939">
        <v>91.942999999999998</v>
      </c>
      <c r="C939">
        <v>91.942999999999998</v>
      </c>
      <c r="D939">
        <v>91.942999999999998</v>
      </c>
      <c r="E939">
        <v>91.942999999999998</v>
      </c>
      <c r="F939" s="23">
        <f t="shared" si="14"/>
        <v>-4.2346264647909254E-3</v>
      </c>
    </row>
    <row r="940" spans="1:6" x14ac:dyDescent="0.35">
      <c r="A940" s="22">
        <v>45859</v>
      </c>
      <c r="B940">
        <v>92.534999999999997</v>
      </c>
      <c r="C940">
        <v>92.534999999999997</v>
      </c>
      <c r="D940">
        <v>92.534999999999997</v>
      </c>
      <c r="E940">
        <v>92.534999999999997</v>
      </c>
      <c r="F940" s="23">
        <f t="shared" si="14"/>
        <v>6.4387718477752383E-3</v>
      </c>
    </row>
    <row r="941" spans="1:6" x14ac:dyDescent="0.35">
      <c r="A941" s="22">
        <v>45860</v>
      </c>
      <c r="B941">
        <v>92.474999999999994</v>
      </c>
      <c r="C941">
        <v>92.474999999999994</v>
      </c>
      <c r="D941">
        <v>92.474999999999994</v>
      </c>
      <c r="E941">
        <v>92.474999999999994</v>
      </c>
      <c r="F941" s="23">
        <f t="shared" si="14"/>
        <v>-6.4840330685688959E-4</v>
      </c>
    </row>
    <row r="942" spans="1:6" x14ac:dyDescent="0.35">
      <c r="A942" s="22">
        <v>45861</v>
      </c>
      <c r="B942">
        <v>92.813000000000002</v>
      </c>
      <c r="C942">
        <v>92.813000000000002</v>
      </c>
      <c r="D942">
        <v>92.813000000000002</v>
      </c>
      <c r="E942">
        <v>92.813000000000002</v>
      </c>
      <c r="F942" s="23">
        <f t="shared" si="14"/>
        <v>3.6550419032171733E-3</v>
      </c>
    </row>
    <row r="943" spans="1:6" x14ac:dyDescent="0.35">
      <c r="A943" s="22">
        <v>45862</v>
      </c>
      <c r="B943">
        <v>92.507000000000005</v>
      </c>
      <c r="C943">
        <v>92.507000000000005</v>
      </c>
      <c r="D943">
        <v>92.507000000000005</v>
      </c>
      <c r="E943">
        <v>92.507000000000005</v>
      </c>
      <c r="F943" s="23">
        <f t="shared" si="14"/>
        <v>-3.2969519356124397E-3</v>
      </c>
    </row>
    <row r="944" spans="1:6" x14ac:dyDescent="0.35">
      <c r="A944" s="22">
        <v>45863</v>
      </c>
      <c r="B944">
        <v>92.055999999999997</v>
      </c>
      <c r="C944">
        <v>92.055999999999997</v>
      </c>
      <c r="D944">
        <v>92.055999999999997</v>
      </c>
      <c r="E944">
        <v>92.055999999999997</v>
      </c>
      <c r="F944" s="23">
        <f t="shared" si="14"/>
        <v>-4.8753067335445708E-3</v>
      </c>
    </row>
    <row r="945" spans="1:6" x14ac:dyDescent="0.35">
      <c r="A945" s="22">
        <v>45866</v>
      </c>
      <c r="B945">
        <v>91.582999999999998</v>
      </c>
      <c r="C945">
        <v>91.582999999999998</v>
      </c>
      <c r="D945">
        <v>91.582999999999998</v>
      </c>
      <c r="E945">
        <v>91.582999999999998</v>
      </c>
      <c r="F945" s="23">
        <f t="shared" si="14"/>
        <v>-5.1381767619709633E-3</v>
      </c>
    </row>
    <row r="946" spans="1:6" x14ac:dyDescent="0.35">
      <c r="A946" s="22">
        <v>45867</v>
      </c>
      <c r="B946">
        <v>91.891999999999996</v>
      </c>
      <c r="C946">
        <v>91.891999999999996</v>
      </c>
      <c r="D946">
        <v>91.891999999999996</v>
      </c>
      <c r="E946">
        <v>91.891999999999996</v>
      </c>
      <c r="F946" s="23">
        <f t="shared" si="14"/>
        <v>3.3739886223425474E-3</v>
      </c>
    </row>
    <row r="947" spans="1:6" x14ac:dyDescent="0.35">
      <c r="A947" s="22">
        <v>45868</v>
      </c>
      <c r="B947">
        <v>91.911000000000001</v>
      </c>
      <c r="C947">
        <v>91.911000000000001</v>
      </c>
      <c r="D947">
        <v>91.911000000000001</v>
      </c>
      <c r="E947">
        <v>91.911000000000001</v>
      </c>
      <c r="F947" s="23">
        <f t="shared" si="14"/>
        <v>2.0676446263010335E-4</v>
      </c>
    </row>
    <row r="948" spans="1:6" x14ac:dyDescent="0.35">
      <c r="A948" s="22">
        <v>45869</v>
      </c>
      <c r="B948">
        <v>92.16</v>
      </c>
      <c r="C948">
        <v>92.16</v>
      </c>
      <c r="D948">
        <v>92.16</v>
      </c>
      <c r="E948">
        <v>92.16</v>
      </c>
      <c r="F948" s="23">
        <f t="shared" si="14"/>
        <v>2.7091425400658812E-3</v>
      </c>
    </row>
    <row r="949" spans="1:6" x14ac:dyDescent="0.35">
      <c r="A949" s="22">
        <v>45870</v>
      </c>
      <c r="B949">
        <v>91.33</v>
      </c>
      <c r="C949">
        <v>91.33</v>
      </c>
      <c r="D949">
        <v>91.33</v>
      </c>
      <c r="E949">
        <v>91.33</v>
      </c>
      <c r="F949" s="23">
        <f t="shared" si="14"/>
        <v>-9.0060763888888708E-3</v>
      </c>
    </row>
    <row r="950" spans="1:6" x14ac:dyDescent="0.35">
      <c r="A950" s="22">
        <v>45873</v>
      </c>
      <c r="B950">
        <v>91.674999999999997</v>
      </c>
      <c r="C950">
        <v>91.674999999999997</v>
      </c>
      <c r="D950">
        <v>91.674999999999997</v>
      </c>
      <c r="E950">
        <v>91.674999999999997</v>
      </c>
      <c r="F950" s="23">
        <f t="shared" si="14"/>
        <v>3.7775101281068528E-3</v>
      </c>
    </row>
    <row r="951" spans="1:6" x14ac:dyDescent="0.35">
      <c r="A951" s="22">
        <v>45874</v>
      </c>
      <c r="B951">
        <v>91.513000000000005</v>
      </c>
      <c r="C951">
        <v>91.513000000000005</v>
      </c>
      <c r="D951">
        <v>91.513000000000005</v>
      </c>
      <c r="E951">
        <v>91.513000000000005</v>
      </c>
      <c r="F951" s="23">
        <f t="shared" si="14"/>
        <v>-1.7671120807198465E-3</v>
      </c>
    </row>
    <row r="952" spans="1:6" x14ac:dyDescent="0.35">
      <c r="A952" s="22">
        <v>45875</v>
      </c>
      <c r="B952">
        <v>91.367999999999995</v>
      </c>
      <c r="C952">
        <v>91.367999999999995</v>
      </c>
      <c r="D952">
        <v>91.367999999999995</v>
      </c>
      <c r="E952">
        <v>91.367999999999995</v>
      </c>
      <c r="F952" s="23">
        <f t="shared" si="14"/>
        <v>-1.5844743369795573E-3</v>
      </c>
    </row>
    <row r="953" spans="1:6" x14ac:dyDescent="0.35">
      <c r="A953" s="22">
        <v>45876</v>
      </c>
      <c r="B953">
        <v>91.504999999999995</v>
      </c>
      <c r="C953">
        <v>91.504999999999995</v>
      </c>
      <c r="D953">
        <v>91.504999999999995</v>
      </c>
      <c r="E953">
        <v>91.504999999999995</v>
      </c>
      <c r="F953" s="23">
        <f t="shared" si="14"/>
        <v>1.4994308729533367E-3</v>
      </c>
    </row>
    <row r="954" spans="1:6" x14ac:dyDescent="0.35">
      <c r="A954" s="22">
        <v>45877</v>
      </c>
      <c r="B954">
        <v>91.156000000000006</v>
      </c>
      <c r="C954">
        <v>91.156000000000006</v>
      </c>
      <c r="D954">
        <v>91.156000000000006</v>
      </c>
      <c r="E954">
        <v>91.156000000000006</v>
      </c>
      <c r="F954" s="23">
        <f t="shared" si="14"/>
        <v>-3.8139992350143658E-3</v>
      </c>
    </row>
    <row r="955" spans="1:6" x14ac:dyDescent="0.35">
      <c r="A955" s="22">
        <v>45880</v>
      </c>
      <c r="B955">
        <v>91.626999999999995</v>
      </c>
      <c r="C955">
        <v>91.626999999999995</v>
      </c>
      <c r="D955">
        <v>91.626999999999995</v>
      </c>
      <c r="E955">
        <v>91.626999999999995</v>
      </c>
      <c r="F955" s="23">
        <f t="shared" si="14"/>
        <v>5.1669665189344573E-3</v>
      </c>
    </row>
    <row r="956" spans="1:6" x14ac:dyDescent="0.35">
      <c r="A956" s="22">
        <v>45881</v>
      </c>
      <c r="B956">
        <v>91.730999999999995</v>
      </c>
      <c r="C956">
        <v>91.730999999999995</v>
      </c>
      <c r="D956">
        <v>91.730999999999995</v>
      </c>
      <c r="E956">
        <v>91.730999999999995</v>
      </c>
      <c r="F956" s="23">
        <f t="shared" si="14"/>
        <v>1.1350366158446659E-3</v>
      </c>
    </row>
    <row r="957" spans="1:6" x14ac:dyDescent="0.35">
      <c r="A957" s="22">
        <v>45882</v>
      </c>
      <c r="B957">
        <v>92.015000000000001</v>
      </c>
      <c r="C957">
        <v>92.015000000000001</v>
      </c>
      <c r="D957">
        <v>92.015000000000001</v>
      </c>
      <c r="E957">
        <v>92.015000000000001</v>
      </c>
      <c r="F957" s="23">
        <f t="shared" si="14"/>
        <v>3.0960089827866918E-3</v>
      </c>
    </row>
    <row r="958" spans="1:6" x14ac:dyDescent="0.35">
      <c r="A958" s="22">
        <v>45883</v>
      </c>
      <c r="B958">
        <v>92.233999999999995</v>
      </c>
      <c r="C958">
        <v>92.233999999999995</v>
      </c>
      <c r="D958">
        <v>92.233999999999995</v>
      </c>
      <c r="E958">
        <v>92.233999999999995</v>
      </c>
      <c r="F958" s="23">
        <f t="shared" si="14"/>
        <v>2.3800467315111024E-3</v>
      </c>
    </row>
    <row r="959" spans="1:6" x14ac:dyDescent="0.35">
      <c r="A959" s="22">
        <v>45887</v>
      </c>
      <c r="B959">
        <v>92.941999999999993</v>
      </c>
      <c r="C959">
        <v>92.941999999999993</v>
      </c>
      <c r="D959">
        <v>92.941999999999993</v>
      </c>
      <c r="E959">
        <v>92.941999999999993</v>
      </c>
      <c r="F959" s="23">
        <f t="shared" si="14"/>
        <v>7.6761281089402873E-3</v>
      </c>
    </row>
    <row r="960" spans="1:6" x14ac:dyDescent="0.35">
      <c r="A960" s="22">
        <v>45888</v>
      </c>
      <c r="B960">
        <v>92.421000000000006</v>
      </c>
      <c r="C960">
        <v>92.421000000000006</v>
      </c>
      <c r="D960">
        <v>92.421000000000006</v>
      </c>
      <c r="E960">
        <v>92.421000000000006</v>
      </c>
      <c r="F960" s="23">
        <f t="shared" si="14"/>
        <v>-5.6056465322457732E-3</v>
      </c>
    </row>
    <row r="961" spans="1:6" x14ac:dyDescent="0.35">
      <c r="A961" s="22">
        <v>45889</v>
      </c>
      <c r="B961">
        <v>92.305000000000007</v>
      </c>
      <c r="C961">
        <v>92.305000000000007</v>
      </c>
      <c r="D961">
        <v>92.305000000000007</v>
      </c>
      <c r="E961">
        <v>92.305000000000007</v>
      </c>
      <c r="F961" s="23">
        <f t="shared" si="14"/>
        <v>-1.2551259995022739E-3</v>
      </c>
    </row>
    <row r="962" spans="1:6" x14ac:dyDescent="0.35">
      <c r="A962" s="22">
        <v>45890</v>
      </c>
      <c r="B962">
        <v>92.305999999999997</v>
      </c>
      <c r="C962">
        <v>92.305999999999997</v>
      </c>
      <c r="D962">
        <v>92.305999999999997</v>
      </c>
      <c r="E962">
        <v>92.305999999999997</v>
      </c>
      <c r="F962" s="23">
        <f t="shared" si="14"/>
        <v>1.0833649314669453E-5</v>
      </c>
    </row>
    <row r="963" spans="1:6" x14ac:dyDescent="0.35">
      <c r="A963" s="22">
        <v>45891</v>
      </c>
      <c r="B963">
        <v>92.16</v>
      </c>
      <c r="C963">
        <v>92.16</v>
      </c>
      <c r="D963">
        <v>92.16</v>
      </c>
      <c r="E963">
        <v>92.16</v>
      </c>
      <c r="F963" s="23">
        <f t="shared" ref="F963:F1026" si="15">(B963-B962)/B962</f>
        <v>-1.5816956644205231E-3</v>
      </c>
    </row>
    <row r="964" spans="1:6" x14ac:dyDescent="0.35">
      <c r="A964" s="22">
        <v>45894</v>
      </c>
      <c r="B964">
        <v>92.271000000000001</v>
      </c>
      <c r="C964">
        <v>92.271000000000001</v>
      </c>
      <c r="D964">
        <v>92.271000000000001</v>
      </c>
      <c r="E964">
        <v>92.271000000000001</v>
      </c>
      <c r="F964" s="23">
        <f t="shared" si="15"/>
        <v>1.2044270833333789E-3</v>
      </c>
    </row>
    <row r="965" spans="1:6" x14ac:dyDescent="0.35">
      <c r="A965" s="22">
        <v>45895</v>
      </c>
      <c r="B965">
        <v>91.590999999999994</v>
      </c>
      <c r="C965">
        <v>91.590999999999994</v>
      </c>
      <c r="D965">
        <v>91.590999999999994</v>
      </c>
      <c r="E965">
        <v>91.590999999999994</v>
      </c>
      <c r="F965" s="23">
        <f t="shared" si="15"/>
        <v>-7.3695960811089815E-3</v>
      </c>
    </row>
    <row r="966" spans="1:6" x14ac:dyDescent="0.35">
      <c r="A966" s="22">
        <v>45897</v>
      </c>
      <c r="B966">
        <v>91.173000000000002</v>
      </c>
      <c r="C966">
        <v>91.173000000000002</v>
      </c>
      <c r="D966">
        <v>91.173000000000002</v>
      </c>
      <c r="E966">
        <v>91.173000000000002</v>
      </c>
      <c r="F966" s="23">
        <f t="shared" si="15"/>
        <v>-4.5637671823649945E-3</v>
      </c>
    </row>
    <row r="967" spans="1:6" x14ac:dyDescent="0.35">
      <c r="A967" s="22">
        <v>45898</v>
      </c>
      <c r="B967">
        <v>91.073999999999998</v>
      </c>
      <c r="C967">
        <v>91.073999999999998</v>
      </c>
      <c r="D967">
        <v>91.073999999999998</v>
      </c>
      <c r="E967">
        <v>91.073999999999998</v>
      </c>
      <c r="F967" s="23">
        <f t="shared" si="15"/>
        <v>-1.0858477838834276E-3</v>
      </c>
    </row>
    <row r="968" spans="1:6" x14ac:dyDescent="0.35">
      <c r="A968" s="22">
        <v>45901</v>
      </c>
      <c r="B968">
        <v>91.521000000000001</v>
      </c>
      <c r="C968">
        <v>91.521000000000001</v>
      </c>
      <c r="D968">
        <v>91.521000000000001</v>
      </c>
      <c r="E968">
        <v>91.521000000000001</v>
      </c>
      <c r="F968" s="23">
        <f t="shared" si="15"/>
        <v>4.9080967125634404E-3</v>
      </c>
    </row>
    <row r="969" spans="1:6" x14ac:dyDescent="0.35">
      <c r="A969" s="22">
        <v>45902</v>
      </c>
      <c r="B969">
        <v>91.343000000000004</v>
      </c>
      <c r="C969">
        <v>91.343000000000004</v>
      </c>
      <c r="D969">
        <v>91.343000000000004</v>
      </c>
      <c r="E969">
        <v>91.343000000000004</v>
      </c>
      <c r="F969" s="23">
        <f t="shared" si="15"/>
        <v>-1.9449088187410242E-3</v>
      </c>
    </row>
    <row r="970" spans="1:6" x14ac:dyDescent="0.35">
      <c r="A970" s="22">
        <v>45903</v>
      </c>
      <c r="B970">
        <v>92.177999999999997</v>
      </c>
      <c r="C970">
        <v>92.177999999999997</v>
      </c>
      <c r="D970">
        <v>92.177999999999997</v>
      </c>
      <c r="E970">
        <v>92.177999999999997</v>
      </c>
      <c r="F970" s="23">
        <f t="shared" si="15"/>
        <v>9.1413682493458031E-3</v>
      </c>
    </row>
    <row r="971" spans="1:6" x14ac:dyDescent="0.35">
      <c r="A971" s="22">
        <v>45904</v>
      </c>
      <c r="B971">
        <v>92.483000000000004</v>
      </c>
      <c r="C971">
        <v>92.483000000000004</v>
      </c>
      <c r="D971">
        <v>92.483000000000004</v>
      </c>
      <c r="E971">
        <v>92.483000000000004</v>
      </c>
      <c r="F971" s="23">
        <f t="shared" si="15"/>
        <v>3.3088155525180284E-3</v>
      </c>
    </row>
    <row r="972" spans="1:6" x14ac:dyDescent="0.35">
      <c r="A972" s="22">
        <v>45905</v>
      </c>
      <c r="B972">
        <v>92.513000000000005</v>
      </c>
      <c r="C972">
        <v>92.513000000000005</v>
      </c>
      <c r="D972">
        <v>92.513000000000005</v>
      </c>
      <c r="E972">
        <v>92.513000000000005</v>
      </c>
      <c r="F972" s="23">
        <f t="shared" si="15"/>
        <v>3.2438394083238149E-4</v>
      </c>
    </row>
    <row r="973" spans="1:6" x14ac:dyDescent="0.35">
      <c r="A973" s="22">
        <v>45908</v>
      </c>
      <c r="B973">
        <v>92.528999999999996</v>
      </c>
      <c r="C973">
        <v>92.528999999999996</v>
      </c>
      <c r="D973">
        <v>92.528999999999996</v>
      </c>
      <c r="E973">
        <v>92.528999999999996</v>
      </c>
      <c r="F973" s="23">
        <f t="shared" si="15"/>
        <v>1.72948666673777E-4</v>
      </c>
    </row>
    <row r="974" spans="1:6" x14ac:dyDescent="0.35">
      <c r="A974" s="22">
        <v>45909</v>
      </c>
      <c r="B974">
        <v>93.063000000000002</v>
      </c>
      <c r="C974">
        <v>93.063000000000002</v>
      </c>
      <c r="D974">
        <v>93.063000000000002</v>
      </c>
      <c r="E974">
        <v>93.063000000000002</v>
      </c>
      <c r="F974" s="23">
        <f t="shared" si="15"/>
        <v>5.7711636351847105E-3</v>
      </c>
    </row>
    <row r="975" spans="1:6" x14ac:dyDescent="0.35">
      <c r="A975" s="22">
        <v>45910</v>
      </c>
      <c r="B975">
        <v>93.084000000000003</v>
      </c>
      <c r="C975">
        <v>93.084000000000003</v>
      </c>
      <c r="D975">
        <v>93.084000000000003</v>
      </c>
      <c r="E975">
        <v>93.084000000000003</v>
      </c>
      <c r="F975" s="23">
        <f t="shared" si="15"/>
        <v>2.2565358950389302E-4</v>
      </c>
    </row>
    <row r="976" spans="1:6" x14ac:dyDescent="0.35">
      <c r="A976" s="22">
        <v>45911</v>
      </c>
      <c r="B976">
        <v>93.346999999999994</v>
      </c>
      <c r="C976">
        <v>93.346999999999994</v>
      </c>
      <c r="D976">
        <v>93.346999999999994</v>
      </c>
      <c r="E976">
        <v>93.346999999999994</v>
      </c>
      <c r="F976" s="23">
        <f t="shared" si="15"/>
        <v>2.8254050105280286E-3</v>
      </c>
    </row>
    <row r="977" spans="1:6" x14ac:dyDescent="0.35">
      <c r="A977" s="22">
        <v>45912</v>
      </c>
      <c r="B977">
        <v>93.617000000000004</v>
      </c>
      <c r="C977">
        <v>93.617000000000004</v>
      </c>
      <c r="D977">
        <v>93.617000000000004</v>
      </c>
      <c r="E977">
        <v>93.617000000000004</v>
      </c>
      <c r="F977" s="23">
        <f t="shared" si="15"/>
        <v>2.8924336079360906E-3</v>
      </c>
    </row>
    <row r="978" spans="1:6" x14ac:dyDescent="0.35">
      <c r="A978" s="22">
        <v>45915</v>
      </c>
      <c r="B978">
        <v>93.733999999999995</v>
      </c>
      <c r="C978">
        <v>93.733999999999995</v>
      </c>
      <c r="D978">
        <v>93.733999999999995</v>
      </c>
      <c r="E978">
        <v>93.733999999999995</v>
      </c>
      <c r="F978" s="23">
        <f t="shared" si="15"/>
        <v>1.2497730113119436E-3</v>
      </c>
    </row>
    <row r="979" spans="1:6" x14ac:dyDescent="0.35">
      <c r="A979" s="22">
        <v>45916</v>
      </c>
      <c r="B979">
        <v>94.394999999999996</v>
      </c>
      <c r="C979">
        <v>94.394999999999996</v>
      </c>
      <c r="D979">
        <v>94.394999999999996</v>
      </c>
      <c r="E979">
        <v>94.394999999999996</v>
      </c>
      <c r="F979" s="23">
        <f t="shared" si="15"/>
        <v>7.0518701858450659E-3</v>
      </c>
    </row>
    <row r="980" spans="1:6" x14ac:dyDescent="0.35">
      <c r="A980" s="22">
        <v>45917</v>
      </c>
      <c r="B980">
        <v>94.522000000000006</v>
      </c>
      <c r="C980">
        <v>94.522000000000006</v>
      </c>
      <c r="D980">
        <v>94.522000000000006</v>
      </c>
      <c r="E980">
        <v>94.522000000000006</v>
      </c>
      <c r="F980" s="23">
        <f t="shared" si="15"/>
        <v>1.3454102441867637E-3</v>
      </c>
    </row>
    <row r="981" spans="1:6" x14ac:dyDescent="0.35">
      <c r="A981" s="22">
        <v>45918</v>
      </c>
      <c r="B981">
        <v>94.707999999999998</v>
      </c>
      <c r="C981">
        <v>94.707999999999998</v>
      </c>
      <c r="D981">
        <v>94.707999999999998</v>
      </c>
      <c r="E981">
        <v>94.707999999999998</v>
      </c>
      <c r="F981" s="23">
        <f t="shared" si="15"/>
        <v>1.9677958570490767E-3</v>
      </c>
    </row>
    <row r="982" spans="1:6" x14ac:dyDescent="0.35">
      <c r="A982" s="22">
        <v>45919</v>
      </c>
      <c r="B982">
        <v>94.376000000000005</v>
      </c>
      <c r="C982">
        <v>94.376000000000005</v>
      </c>
      <c r="D982">
        <v>94.376000000000005</v>
      </c>
      <c r="E982">
        <v>94.376000000000005</v>
      </c>
      <c r="F982" s="23">
        <f t="shared" si="15"/>
        <v>-3.5055116779996796E-3</v>
      </c>
    </row>
    <row r="983" spans="1:6" x14ac:dyDescent="0.35">
      <c r="A983" s="22">
        <v>45922</v>
      </c>
      <c r="B983">
        <v>94.093999999999994</v>
      </c>
      <c r="C983">
        <v>94.093999999999994</v>
      </c>
      <c r="D983">
        <v>94.093999999999994</v>
      </c>
      <c r="E983">
        <v>94.093999999999994</v>
      </c>
      <c r="F983" s="23">
        <f t="shared" si="15"/>
        <v>-2.9880478087650534E-3</v>
      </c>
    </row>
    <row r="984" spans="1:6" x14ac:dyDescent="0.35">
      <c r="A984" s="22">
        <v>45923</v>
      </c>
      <c r="B984">
        <v>94.01</v>
      </c>
      <c r="C984">
        <v>94.01</v>
      </c>
      <c r="D984">
        <v>94.01</v>
      </c>
      <c r="E984">
        <v>94.01</v>
      </c>
      <c r="F984" s="23">
        <f t="shared" si="15"/>
        <v>-8.9272429697949895E-4</v>
      </c>
    </row>
    <row r="985" spans="1:6" x14ac:dyDescent="0.35">
      <c r="A985" s="22">
        <v>45924</v>
      </c>
      <c r="B985">
        <v>93.796999999999997</v>
      </c>
      <c r="C985">
        <v>93.796999999999997</v>
      </c>
      <c r="D985">
        <v>93.796999999999997</v>
      </c>
      <c r="E985">
        <v>93.796999999999997</v>
      </c>
      <c r="F985" s="23">
        <f t="shared" si="15"/>
        <v>-2.2657164131476234E-3</v>
      </c>
    </row>
    <row r="986" spans="1:6" x14ac:dyDescent="0.35">
      <c r="A986" s="22">
        <v>45925</v>
      </c>
      <c r="B986">
        <v>93.176000000000002</v>
      </c>
      <c r="C986">
        <v>93.176000000000002</v>
      </c>
      <c r="D986">
        <v>93.176000000000002</v>
      </c>
      <c r="E986">
        <v>93.176000000000002</v>
      </c>
      <c r="F986" s="23">
        <f t="shared" si="15"/>
        <v>-6.6206808320095007E-3</v>
      </c>
    </row>
    <row r="987" spans="1:6" x14ac:dyDescent="0.35">
      <c r="A987" s="22">
        <v>45926</v>
      </c>
      <c r="B987">
        <v>92.608999999999995</v>
      </c>
      <c r="C987">
        <v>92.608999999999995</v>
      </c>
      <c r="D987">
        <v>92.608999999999995</v>
      </c>
      <c r="E987">
        <v>92.608999999999995</v>
      </c>
      <c r="F987" s="23">
        <f t="shared" si="15"/>
        <v>-6.0852580063536455E-3</v>
      </c>
    </row>
    <row r="988" spans="1:6" x14ac:dyDescent="0.35">
      <c r="A988" s="22">
        <v>45929</v>
      </c>
      <c r="B988">
        <v>92.364000000000004</v>
      </c>
      <c r="C988">
        <v>92.364000000000004</v>
      </c>
      <c r="D988">
        <v>92.364000000000004</v>
      </c>
      <c r="E988">
        <v>92.364000000000004</v>
      </c>
      <c r="F988" s="23">
        <f t="shared" si="15"/>
        <v>-2.6455312118691524E-3</v>
      </c>
    </row>
    <row r="989" spans="1:6" x14ac:dyDescent="0.35">
      <c r="A989" s="22">
        <v>45930</v>
      </c>
      <c r="B989">
        <v>92.096000000000004</v>
      </c>
      <c r="C989">
        <v>92.096000000000004</v>
      </c>
      <c r="D989">
        <v>92.096000000000004</v>
      </c>
      <c r="E989">
        <v>92.096000000000004</v>
      </c>
      <c r="F989" s="23">
        <f t="shared" si="15"/>
        <v>-2.9015633796717409E-3</v>
      </c>
    </row>
    <row r="990" spans="1:6" x14ac:dyDescent="0.35">
      <c r="A990" s="22">
        <v>45931</v>
      </c>
      <c r="B990">
        <v>92.474000000000004</v>
      </c>
      <c r="C990">
        <v>92.474000000000004</v>
      </c>
      <c r="D990">
        <v>92.474000000000004</v>
      </c>
      <c r="E990">
        <v>92.474000000000004</v>
      </c>
      <c r="F990" s="23">
        <f t="shared" si="15"/>
        <v>4.1044127866574024E-3</v>
      </c>
    </row>
    <row r="991" spans="1:6" x14ac:dyDescent="0.35">
      <c r="A991" s="22">
        <v>45933</v>
      </c>
      <c r="B991">
        <v>92.64</v>
      </c>
      <c r="C991">
        <v>92.64</v>
      </c>
      <c r="D991">
        <v>92.64</v>
      </c>
      <c r="E991">
        <v>92.64</v>
      </c>
      <c r="F991" s="23">
        <f t="shared" si="15"/>
        <v>1.7950991630079462E-3</v>
      </c>
    </row>
    <row r="992" spans="1:6" x14ac:dyDescent="0.35">
      <c r="A992" s="22">
        <v>45936</v>
      </c>
      <c r="B992">
        <v>93.007000000000005</v>
      </c>
      <c r="C992">
        <v>93.007000000000005</v>
      </c>
      <c r="D992">
        <v>93.007000000000005</v>
      </c>
      <c r="E992">
        <v>93.007000000000005</v>
      </c>
      <c r="F992" s="23">
        <f t="shared" si="15"/>
        <v>3.9615716753022929E-3</v>
      </c>
    </row>
    <row r="993" spans="1:6" x14ac:dyDescent="0.35">
      <c r="A993" s="22">
        <v>45937</v>
      </c>
      <c r="B993">
        <v>93.197999999999993</v>
      </c>
      <c r="C993">
        <v>93.197999999999993</v>
      </c>
      <c r="D993">
        <v>93.197999999999993</v>
      </c>
      <c r="E993">
        <v>93.197999999999993</v>
      </c>
      <c r="F993" s="23">
        <f t="shared" si="15"/>
        <v>2.0536088681495832E-3</v>
      </c>
    </row>
    <row r="994" spans="1:6" x14ac:dyDescent="0.35">
      <c r="A994" s="22">
        <v>45938</v>
      </c>
      <c r="B994">
        <v>93.03</v>
      </c>
      <c r="C994">
        <v>93.03</v>
      </c>
      <c r="D994">
        <v>93.03</v>
      </c>
      <c r="E994">
        <v>93.03</v>
      </c>
      <c r="F994" s="23">
        <f t="shared" si="15"/>
        <v>-1.8026137899954094E-3</v>
      </c>
    </row>
    <row r="995" spans="1:6" x14ac:dyDescent="0.35">
      <c r="A995" s="22">
        <v>45939</v>
      </c>
      <c r="B995">
        <v>93.165999999999997</v>
      </c>
      <c r="C995">
        <v>93.165999999999997</v>
      </c>
      <c r="D995">
        <v>93.165999999999997</v>
      </c>
      <c r="E995">
        <v>93.165999999999997</v>
      </c>
      <c r="F995" s="23">
        <f t="shared" si="15"/>
        <v>1.461894012684034E-3</v>
      </c>
    </row>
    <row r="996" spans="1:6" x14ac:dyDescent="0.35">
      <c r="A996" s="22">
        <v>45940</v>
      </c>
      <c r="B996">
        <v>93.216999999999999</v>
      </c>
      <c r="C996">
        <v>93.216999999999999</v>
      </c>
      <c r="D996">
        <v>93.216999999999999</v>
      </c>
      <c r="E996">
        <v>93.216999999999999</v>
      </c>
      <c r="F996" s="23">
        <f t="shared" si="15"/>
        <v>5.4740999935600897E-4</v>
      </c>
    </row>
    <row r="997" spans="1:6" x14ac:dyDescent="0.35">
      <c r="A997" s="22">
        <v>45943</v>
      </c>
      <c r="B997">
        <v>93.387</v>
      </c>
      <c r="C997">
        <v>93.387</v>
      </c>
      <c r="D997">
        <v>93.387</v>
      </c>
      <c r="E997">
        <v>93.387</v>
      </c>
      <c r="F997" s="23">
        <f t="shared" si="15"/>
        <v>1.8237016853149288E-3</v>
      </c>
    </row>
    <row r="998" spans="1:6" x14ac:dyDescent="0.35">
      <c r="A998" s="22">
        <v>45944</v>
      </c>
      <c r="B998">
        <v>93.203000000000003</v>
      </c>
      <c r="C998">
        <v>93.203000000000003</v>
      </c>
      <c r="D998">
        <v>93.203000000000003</v>
      </c>
      <c r="E998">
        <v>93.203000000000003</v>
      </c>
      <c r="F998" s="23">
        <f t="shared" si="15"/>
        <v>-1.9702956514289728E-3</v>
      </c>
    </row>
    <row r="999" spans="1:6" x14ac:dyDescent="0.35">
      <c r="A999" s="22">
        <v>45945</v>
      </c>
      <c r="B999">
        <v>93.465000000000003</v>
      </c>
      <c r="C999">
        <v>93.465000000000003</v>
      </c>
      <c r="D999">
        <v>93.465000000000003</v>
      </c>
      <c r="E999">
        <v>93.465000000000003</v>
      </c>
      <c r="F999" s="23">
        <f t="shared" si="15"/>
        <v>2.8110683132517239E-3</v>
      </c>
    </row>
    <row r="1000" spans="1:6" x14ac:dyDescent="0.35">
      <c r="A1000" s="22">
        <v>45946</v>
      </c>
      <c r="B1000">
        <v>94.126000000000005</v>
      </c>
      <c r="C1000">
        <v>94.126000000000005</v>
      </c>
      <c r="D1000">
        <v>94.126000000000005</v>
      </c>
      <c r="E1000">
        <v>94.126000000000005</v>
      </c>
      <c r="F1000" s="23">
        <f t="shared" si="15"/>
        <v>7.0721660514631293E-3</v>
      </c>
    </row>
    <row r="1001" spans="1:6" x14ac:dyDescent="0.35">
      <c r="A1001" s="22">
        <v>45947</v>
      </c>
      <c r="B1001">
        <v>94.552999999999997</v>
      </c>
      <c r="C1001">
        <v>94.552999999999997</v>
      </c>
      <c r="D1001">
        <v>94.552999999999997</v>
      </c>
      <c r="E1001">
        <v>94.552999999999997</v>
      </c>
      <c r="F1001" s="23">
        <f t="shared" si="15"/>
        <v>4.5364723880754786E-3</v>
      </c>
    </row>
    <row r="1002" spans="1:6" x14ac:dyDescent="0.35">
      <c r="A1002" s="22">
        <v>45950</v>
      </c>
      <c r="B1002">
        <v>94.807000000000002</v>
      </c>
      <c r="C1002">
        <v>94.807000000000002</v>
      </c>
      <c r="D1002">
        <v>94.807000000000002</v>
      </c>
      <c r="E1002">
        <v>94.807000000000002</v>
      </c>
      <c r="F1002" s="23">
        <f t="shared" si="15"/>
        <v>2.6863240722135194E-3</v>
      </c>
    </row>
    <row r="1003" spans="1:6" x14ac:dyDescent="0.35">
      <c r="A1003" s="22">
        <v>45953</v>
      </c>
      <c r="B1003">
        <v>95.335999999999999</v>
      </c>
      <c r="C1003">
        <v>95.335999999999999</v>
      </c>
      <c r="D1003">
        <v>95.335999999999999</v>
      </c>
      <c r="E1003">
        <v>95.335999999999999</v>
      </c>
      <c r="F1003" s="23">
        <f t="shared" si="15"/>
        <v>5.5797567690149073E-3</v>
      </c>
    </row>
    <row r="1004" spans="1:6" x14ac:dyDescent="0.35">
      <c r="A1004" s="22">
        <v>45954</v>
      </c>
      <c r="B1004">
        <v>95.253</v>
      </c>
      <c r="C1004">
        <v>95.253</v>
      </c>
      <c r="D1004">
        <v>95.253</v>
      </c>
      <c r="E1004">
        <v>95.253</v>
      </c>
      <c r="F1004" s="23">
        <f t="shared" si="15"/>
        <v>-8.7060501804143672E-4</v>
      </c>
    </row>
    <row r="1005" spans="1:6" x14ac:dyDescent="0.35">
      <c r="A1005" s="22">
        <v>45957</v>
      </c>
      <c r="B1005">
        <v>95.772999999999996</v>
      </c>
      <c r="C1005">
        <v>95.772999999999996</v>
      </c>
      <c r="D1005">
        <v>95.772999999999996</v>
      </c>
      <c r="E1005">
        <v>95.772999999999996</v>
      </c>
      <c r="F1005" s="23">
        <f t="shared" si="15"/>
        <v>5.4591456437067185E-3</v>
      </c>
    </row>
    <row r="1006" spans="1:6" x14ac:dyDescent="0.35">
      <c r="A1006" s="22">
        <v>45958</v>
      </c>
      <c r="B1006">
        <v>95.501000000000005</v>
      </c>
      <c r="C1006">
        <v>95.501000000000005</v>
      </c>
      <c r="D1006">
        <v>95.501000000000005</v>
      </c>
      <c r="E1006">
        <v>95.501000000000005</v>
      </c>
      <c r="F1006" s="23">
        <f t="shared" si="15"/>
        <v>-2.8400488655465671E-3</v>
      </c>
    </row>
    <row r="1007" spans="1:6" x14ac:dyDescent="0.35">
      <c r="A1007" s="22">
        <v>45959</v>
      </c>
      <c r="B1007">
        <v>95.632000000000005</v>
      </c>
      <c r="C1007">
        <v>95.632000000000005</v>
      </c>
      <c r="D1007">
        <v>95.632000000000005</v>
      </c>
      <c r="E1007">
        <v>95.632000000000005</v>
      </c>
      <c r="F1007" s="23">
        <f t="shared" si="15"/>
        <v>1.3717133852001572E-3</v>
      </c>
    </row>
    <row r="1008" spans="1:6" x14ac:dyDescent="0.35">
      <c r="A1008" s="22">
        <v>45960</v>
      </c>
      <c r="B1008">
        <v>94.801000000000002</v>
      </c>
      <c r="C1008">
        <v>94.801000000000002</v>
      </c>
      <c r="D1008">
        <v>94.801000000000002</v>
      </c>
      <c r="E1008">
        <v>94.801000000000002</v>
      </c>
      <c r="F1008" s="23">
        <f t="shared" si="15"/>
        <v>-8.6895599799230692E-3</v>
      </c>
    </row>
    <row r="1009" spans="1:6" x14ac:dyDescent="0.35">
      <c r="A1009" s="22">
        <v>45961</v>
      </c>
      <c r="B1009">
        <v>94.406999999999996</v>
      </c>
      <c r="C1009">
        <v>94.406999999999996</v>
      </c>
      <c r="D1009">
        <v>94.406999999999996</v>
      </c>
      <c r="E1009">
        <v>94.406999999999996</v>
      </c>
      <c r="F1009" s="23">
        <f t="shared" si="15"/>
        <v>-4.1560743030137392E-3</v>
      </c>
    </row>
    <row r="1010" spans="1:6" x14ac:dyDescent="0.35">
      <c r="A1010" s="22">
        <v>45964</v>
      </c>
      <c r="B1010">
        <v>94.457999999999998</v>
      </c>
      <c r="C1010">
        <v>94.457999999999998</v>
      </c>
      <c r="D1010">
        <v>94.457999999999998</v>
      </c>
      <c r="E1010">
        <v>94.457999999999998</v>
      </c>
      <c r="F1010" s="23">
        <f t="shared" si="15"/>
        <v>5.4021417903335489E-4</v>
      </c>
    </row>
    <row r="1011" spans="1:6" x14ac:dyDescent="0.35">
      <c r="A1011" s="22">
        <v>45965</v>
      </c>
      <c r="B1011">
        <v>93.834000000000003</v>
      </c>
      <c r="C1011">
        <v>93.834000000000003</v>
      </c>
      <c r="D1011">
        <v>93.834000000000003</v>
      </c>
      <c r="E1011">
        <v>93.834000000000003</v>
      </c>
      <c r="F1011" s="23">
        <f t="shared" si="15"/>
        <v>-6.6061106523533763E-3</v>
      </c>
    </row>
    <row r="1012" spans="1:6" x14ac:dyDescent="0.35">
      <c r="A1012" s="22">
        <v>45967</v>
      </c>
      <c r="B1012">
        <v>93.778999999999996</v>
      </c>
      <c r="C1012">
        <v>93.778999999999996</v>
      </c>
      <c r="D1012">
        <v>93.778999999999996</v>
      </c>
      <c r="E1012">
        <v>93.778999999999996</v>
      </c>
      <c r="F1012" s="23">
        <f t="shared" si="15"/>
        <v>-5.8614148389716755E-4</v>
      </c>
    </row>
    <row r="1013" spans="1:6" x14ac:dyDescent="0.35">
      <c r="A1013" s="22">
        <v>45968</v>
      </c>
      <c r="B1013">
        <v>93.543000000000006</v>
      </c>
      <c r="C1013">
        <v>93.543000000000006</v>
      </c>
      <c r="D1013">
        <v>93.543000000000006</v>
      </c>
      <c r="E1013">
        <v>93.543000000000006</v>
      </c>
      <c r="F1013" s="23">
        <f t="shared" si="15"/>
        <v>-2.5165548790239819E-3</v>
      </c>
    </row>
    <row r="1014" spans="1:6" x14ac:dyDescent="0.35">
      <c r="A1014" s="22">
        <v>45971</v>
      </c>
      <c r="B1014">
        <v>94.075999999999993</v>
      </c>
      <c r="C1014">
        <v>94.075999999999993</v>
      </c>
      <c r="D1014">
        <v>94.075999999999993</v>
      </c>
      <c r="E1014">
        <v>94.075999999999993</v>
      </c>
      <c r="F1014" s="23">
        <f t="shared" si="15"/>
        <v>5.6979143281697935E-3</v>
      </c>
    </row>
    <row r="1015" spans="1:6" x14ac:dyDescent="0.35">
      <c r="A1015" s="22">
        <v>45972</v>
      </c>
      <c r="B1015">
        <v>94.18</v>
      </c>
      <c r="C1015">
        <v>94.18</v>
      </c>
      <c r="D1015">
        <v>94.18</v>
      </c>
      <c r="E1015">
        <v>94.18</v>
      </c>
      <c r="F1015" s="23">
        <f t="shared" si="15"/>
        <v>1.1054891789618333E-3</v>
      </c>
    </row>
    <row r="1016" spans="1:6" x14ac:dyDescent="0.35">
      <c r="A1016" s="22">
        <v>45973</v>
      </c>
      <c r="B1016">
        <v>94.171000000000006</v>
      </c>
      <c r="C1016">
        <v>94.171000000000006</v>
      </c>
      <c r="D1016">
        <v>94.171000000000006</v>
      </c>
      <c r="E1016">
        <v>94.171000000000006</v>
      </c>
      <c r="F1016" s="23">
        <f t="shared" si="15"/>
        <v>-9.556169038012678E-5</v>
      </c>
    </row>
    <row r="1017" spans="1:6" x14ac:dyDescent="0.35">
      <c r="A1017" s="22">
        <v>45974</v>
      </c>
      <c r="B1017">
        <v>94.006</v>
      </c>
      <c r="C1017">
        <v>94.006</v>
      </c>
      <c r="D1017">
        <v>94.006</v>
      </c>
      <c r="E1017">
        <v>94.006</v>
      </c>
      <c r="F1017" s="23">
        <f t="shared" si="15"/>
        <v>-1.7521317603084415E-3</v>
      </c>
    </row>
    <row r="1018" spans="1:6" x14ac:dyDescent="0.35">
      <c r="A1018" s="22">
        <v>45975</v>
      </c>
      <c r="B1018">
        <v>94.29</v>
      </c>
      <c r="C1018">
        <v>94.29</v>
      </c>
      <c r="D1018">
        <v>94.29</v>
      </c>
      <c r="E1018">
        <v>94.29</v>
      </c>
      <c r="F1018" s="23">
        <f t="shared" si="15"/>
        <v>3.0210837606110888E-3</v>
      </c>
    </row>
    <row r="1019" spans="1:6" x14ac:dyDescent="0.35">
      <c r="A1019" s="22">
        <v>45978</v>
      </c>
      <c r="B1019">
        <v>94.51</v>
      </c>
      <c r="C1019">
        <v>94.51</v>
      </c>
      <c r="D1019">
        <v>94.51</v>
      </c>
      <c r="E1019">
        <v>94.51</v>
      </c>
      <c r="F1019" s="23">
        <f t="shared" si="15"/>
        <v>2.3332272775479779E-3</v>
      </c>
    </row>
    <row r="1020" spans="1:6" x14ac:dyDescent="0.35">
      <c r="A1020" s="22">
        <v>45979</v>
      </c>
      <c r="B1020">
        <v>94.063000000000002</v>
      </c>
      <c r="C1020">
        <v>94.063000000000002</v>
      </c>
      <c r="D1020">
        <v>94.063000000000002</v>
      </c>
      <c r="E1020">
        <v>94.063000000000002</v>
      </c>
      <c r="F1020" s="23">
        <f t="shared" si="15"/>
        <v>-4.729658237223603E-3</v>
      </c>
    </row>
    <row r="1021" spans="1:6" x14ac:dyDescent="0.35">
      <c r="A1021" s="22">
        <v>45980</v>
      </c>
      <c r="B1021">
        <v>94.308999999999997</v>
      </c>
      <c r="C1021">
        <v>94.308999999999997</v>
      </c>
      <c r="D1021">
        <v>94.308999999999997</v>
      </c>
      <c r="E1021">
        <v>94.308999999999997</v>
      </c>
      <c r="F1021" s="23">
        <f t="shared" si="15"/>
        <v>2.6152684902671095E-3</v>
      </c>
    </row>
    <row r="1022" spans="1:6" x14ac:dyDescent="0.35">
      <c r="A1022" s="22">
        <v>45981</v>
      </c>
      <c r="B1022">
        <v>94.418000000000006</v>
      </c>
      <c r="C1022">
        <v>94.418000000000006</v>
      </c>
      <c r="D1022">
        <v>94.418000000000006</v>
      </c>
      <c r="E1022">
        <v>94.418000000000006</v>
      </c>
      <c r="F1022" s="23">
        <f t="shared" si="15"/>
        <v>1.1557751646185293E-3</v>
      </c>
    </row>
    <row r="1023" spans="1:6" x14ac:dyDescent="0.35">
      <c r="A1023" s="22">
        <v>45982</v>
      </c>
      <c r="B1023">
        <v>94.411000000000001</v>
      </c>
      <c r="C1023">
        <v>94.411000000000001</v>
      </c>
      <c r="D1023">
        <v>94.411000000000001</v>
      </c>
      <c r="E1023">
        <v>94.411000000000001</v>
      </c>
      <c r="F1023" s="23">
        <f t="shared" si="15"/>
        <v>-7.413840581250399E-5</v>
      </c>
    </row>
    <row r="1024" spans="1:6" x14ac:dyDescent="0.35">
      <c r="A1024" s="22">
        <v>45985</v>
      </c>
      <c r="B1024">
        <v>94.423000000000002</v>
      </c>
      <c r="C1024">
        <v>94.423000000000002</v>
      </c>
      <c r="D1024">
        <v>94.423000000000002</v>
      </c>
      <c r="E1024">
        <v>94.423000000000002</v>
      </c>
      <c r="F1024" s="23">
        <f t="shared" si="15"/>
        <v>1.2710383323977559E-4</v>
      </c>
    </row>
    <row r="1025" spans="1:6" x14ac:dyDescent="0.35">
      <c r="A1025" s="22">
        <v>45986</v>
      </c>
      <c r="B1025">
        <v>94.388000000000005</v>
      </c>
      <c r="C1025">
        <v>94.388000000000005</v>
      </c>
      <c r="D1025">
        <v>94.388000000000005</v>
      </c>
      <c r="E1025">
        <v>94.388000000000005</v>
      </c>
      <c r="F1025" s="23">
        <f t="shared" si="15"/>
        <v>-3.7067239973307976E-4</v>
      </c>
    </row>
    <row r="1026" spans="1:6" x14ac:dyDescent="0.35">
      <c r="A1026" s="22">
        <v>45987</v>
      </c>
      <c r="B1026">
        <v>94.995000000000005</v>
      </c>
      <c r="C1026">
        <v>94.995000000000005</v>
      </c>
      <c r="D1026">
        <v>94.995000000000005</v>
      </c>
      <c r="E1026">
        <v>94.995000000000005</v>
      </c>
      <c r="F1026" s="23">
        <f t="shared" si="15"/>
        <v>6.4309022333347383E-3</v>
      </c>
    </row>
    <row r="1027" spans="1:6" x14ac:dyDescent="0.35">
      <c r="A1027" s="22">
        <v>45988</v>
      </c>
      <c r="B1027">
        <v>94.855999999999995</v>
      </c>
      <c r="C1027">
        <v>94.855999999999995</v>
      </c>
      <c r="D1027">
        <v>94.855999999999995</v>
      </c>
      <c r="E1027">
        <v>94.855999999999995</v>
      </c>
      <c r="F1027" s="23">
        <f t="shared" ref="F1027:F1090" si="16">(B1027-B1026)/B1026</f>
        <v>-1.463234907100479E-3</v>
      </c>
    </row>
    <row r="1028" spans="1:6" x14ac:dyDescent="0.35">
      <c r="A1028" s="22">
        <v>45989</v>
      </c>
      <c r="B1028">
        <v>95.001999999999995</v>
      </c>
      <c r="C1028">
        <v>95.001999999999995</v>
      </c>
      <c r="D1028">
        <v>95.001999999999995</v>
      </c>
      <c r="E1028">
        <v>95.001999999999995</v>
      </c>
      <c r="F1028" s="23">
        <f t="shared" si="16"/>
        <v>1.5391751707851987E-3</v>
      </c>
    </row>
    <row r="1029" spans="1:6" x14ac:dyDescent="0.35">
      <c r="A1029" s="22">
        <v>45992</v>
      </c>
      <c r="B1029">
        <v>94.94</v>
      </c>
      <c r="C1029">
        <v>94.94</v>
      </c>
      <c r="D1029">
        <v>94.94</v>
      </c>
      <c r="E1029">
        <v>94.94</v>
      </c>
      <c r="F1029" s="23">
        <f t="shared" si="16"/>
        <v>-6.5261783962440383E-4</v>
      </c>
    </row>
    <row r="1030" spans="1:6" x14ac:dyDescent="0.35">
      <c r="A1030" s="22">
        <v>45993</v>
      </c>
      <c r="B1030">
        <v>94.751999999999995</v>
      </c>
      <c r="C1030">
        <v>94.751999999999995</v>
      </c>
      <c r="D1030">
        <v>94.751999999999995</v>
      </c>
      <c r="E1030">
        <v>94.751999999999995</v>
      </c>
      <c r="F1030" s="23">
        <f t="shared" si="16"/>
        <v>-1.9801980198020054E-3</v>
      </c>
    </row>
    <row r="1031" spans="1:6" x14ac:dyDescent="0.35">
      <c r="A1031" s="22">
        <v>45994</v>
      </c>
      <c r="B1031">
        <v>94.846999999999994</v>
      </c>
      <c r="C1031">
        <v>94.846999999999994</v>
      </c>
      <c r="D1031">
        <v>94.846999999999994</v>
      </c>
      <c r="E1031">
        <v>94.846999999999994</v>
      </c>
      <c r="F1031" s="23">
        <f t="shared" si="16"/>
        <v>1.0026173590003257E-3</v>
      </c>
    </row>
    <row r="1032" spans="1:6" x14ac:dyDescent="0.35">
      <c r="A1032" s="22">
        <v>45995</v>
      </c>
      <c r="B1032">
        <v>94.945999999999998</v>
      </c>
      <c r="C1032">
        <v>94.945999999999998</v>
      </c>
      <c r="D1032">
        <v>94.945999999999998</v>
      </c>
      <c r="E1032">
        <v>94.945999999999998</v>
      </c>
      <c r="F1032" s="23">
        <f t="shared" si="16"/>
        <v>1.0437863084757954E-3</v>
      </c>
    </row>
    <row r="1033" spans="1:6" x14ac:dyDescent="0.35">
      <c r="A1033" s="22">
        <v>45996</v>
      </c>
      <c r="B1033">
        <v>95.372</v>
      </c>
      <c r="C1033">
        <v>95.372</v>
      </c>
      <c r="D1033">
        <v>95.372</v>
      </c>
      <c r="E1033">
        <v>95.372</v>
      </c>
      <c r="F1033" s="23">
        <f t="shared" si="16"/>
        <v>4.4867608956670312E-3</v>
      </c>
    </row>
    <row r="1034" spans="1:6" x14ac:dyDescent="0.35">
      <c r="A1034" s="22">
        <v>45999</v>
      </c>
      <c r="B1034">
        <v>94.805999999999997</v>
      </c>
      <c r="C1034">
        <v>94.805999999999997</v>
      </c>
      <c r="D1034">
        <v>94.805999999999997</v>
      </c>
      <c r="E1034">
        <v>94.805999999999997</v>
      </c>
      <c r="F1034" s="23">
        <f t="shared" si="16"/>
        <v>-5.9346558738414051E-3</v>
      </c>
    </row>
    <row r="1035" spans="1:6" x14ac:dyDescent="0.35">
      <c r="A1035" s="22">
        <v>46000</v>
      </c>
      <c r="B1035">
        <v>94.566999999999993</v>
      </c>
      <c r="C1035">
        <v>94.566999999999993</v>
      </c>
      <c r="D1035">
        <v>94.566999999999993</v>
      </c>
      <c r="E1035">
        <v>94.566999999999993</v>
      </c>
      <c r="F1035" s="23">
        <f t="shared" si="16"/>
        <v>-2.5209374934076359E-3</v>
      </c>
    </row>
    <row r="1036" spans="1:6" x14ac:dyDescent="0.35">
      <c r="A1036" s="22">
        <v>46001</v>
      </c>
      <c r="B1036">
        <v>94.518000000000001</v>
      </c>
      <c r="C1036">
        <v>94.518000000000001</v>
      </c>
      <c r="D1036">
        <v>94.518000000000001</v>
      </c>
      <c r="E1036">
        <v>94.518000000000001</v>
      </c>
      <c r="F1036" s="23">
        <f t="shared" si="16"/>
        <v>-5.181511520931444E-4</v>
      </c>
    </row>
    <row r="1037" spans="1:6" x14ac:dyDescent="0.35">
      <c r="A1037" s="22">
        <v>46002</v>
      </c>
      <c r="B1037">
        <v>94.734999999999999</v>
      </c>
      <c r="C1037">
        <v>94.734999999999999</v>
      </c>
      <c r="D1037">
        <v>94.734999999999999</v>
      </c>
      <c r="E1037">
        <v>94.734999999999999</v>
      </c>
      <c r="F1037" s="23">
        <f t="shared" si="16"/>
        <v>2.2958589898220312E-3</v>
      </c>
    </row>
    <row r="1038" spans="1:6" x14ac:dyDescent="0.35">
      <c r="A1038" s="22">
        <v>46003</v>
      </c>
      <c r="B1038">
        <v>94.757999999999996</v>
      </c>
      <c r="C1038">
        <v>94.757999999999996</v>
      </c>
      <c r="D1038">
        <v>94.757999999999996</v>
      </c>
      <c r="E1038">
        <v>94.757999999999996</v>
      </c>
      <c r="F1038" s="23">
        <f t="shared" si="16"/>
        <v>2.4278249854854208E-4</v>
      </c>
    </row>
    <row r="1039" spans="1:6" x14ac:dyDescent="0.35">
      <c r="A1039" s="22">
        <v>46006</v>
      </c>
      <c r="B1039">
        <v>94.674000000000007</v>
      </c>
      <c r="C1039">
        <v>94.674000000000007</v>
      </c>
      <c r="D1039">
        <v>94.674000000000007</v>
      </c>
      <c r="E1039">
        <v>94.674000000000007</v>
      </c>
      <c r="F1039" s="23">
        <f t="shared" si="16"/>
        <v>-8.8646868865941634E-4</v>
      </c>
    </row>
    <row r="1040" spans="1:6" x14ac:dyDescent="0.35">
      <c r="A1040" s="22">
        <v>46007</v>
      </c>
      <c r="B1040">
        <v>94.433999999999997</v>
      </c>
      <c r="C1040">
        <v>94.433999999999997</v>
      </c>
      <c r="D1040">
        <v>94.433999999999997</v>
      </c>
      <c r="E1040">
        <v>94.433999999999997</v>
      </c>
      <c r="F1040" s="23">
        <f t="shared" si="16"/>
        <v>-2.5350148932125937E-3</v>
      </c>
    </row>
    <row r="1041" spans="1:6" x14ac:dyDescent="0.35">
      <c r="A1041" s="22">
        <v>46008</v>
      </c>
      <c r="B1041">
        <v>94.102999999999994</v>
      </c>
      <c r="C1041">
        <v>94.102999999999994</v>
      </c>
      <c r="D1041">
        <v>94.102999999999994</v>
      </c>
      <c r="E1041">
        <v>94.102999999999994</v>
      </c>
      <c r="F1041" s="23">
        <f t="shared" si="16"/>
        <v>-3.5050935044581726E-3</v>
      </c>
    </row>
    <row r="1042" spans="1:6" x14ac:dyDescent="0.35">
      <c r="A1042" s="22">
        <v>46009</v>
      </c>
      <c r="B1042">
        <v>94.17</v>
      </c>
      <c r="C1042">
        <v>94.17</v>
      </c>
      <c r="D1042">
        <v>94.17</v>
      </c>
      <c r="E1042">
        <v>94.17</v>
      </c>
      <c r="F1042" s="23">
        <f t="shared" si="16"/>
        <v>7.1198580279063664E-4</v>
      </c>
    </row>
    <row r="1043" spans="1:6" x14ac:dyDescent="0.35">
      <c r="A1043" s="22">
        <v>46010</v>
      </c>
      <c r="B1043">
        <v>94.415999999999997</v>
      </c>
      <c r="C1043">
        <v>94.415999999999997</v>
      </c>
      <c r="D1043">
        <v>94.415999999999997</v>
      </c>
      <c r="E1043">
        <v>94.415999999999997</v>
      </c>
      <c r="F1043" s="23">
        <f t="shared" si="16"/>
        <v>2.6122969098438475E-3</v>
      </c>
    </row>
    <row r="1044" spans="1:6" x14ac:dyDescent="0.35">
      <c r="A1044" s="22">
        <v>46013</v>
      </c>
      <c r="B1044">
        <v>94.947000000000003</v>
      </c>
      <c r="C1044">
        <v>94.947000000000003</v>
      </c>
      <c r="D1044">
        <v>94.947000000000003</v>
      </c>
      <c r="E1044">
        <v>94.947000000000003</v>
      </c>
      <c r="F1044" s="23">
        <f t="shared" si="16"/>
        <v>5.6240467717336672E-3</v>
      </c>
    </row>
    <row r="1045" spans="1:6" x14ac:dyDescent="0.35">
      <c r="A1045" s="22">
        <v>46014</v>
      </c>
      <c r="B1045">
        <v>95.33</v>
      </c>
      <c r="C1045">
        <v>95.33</v>
      </c>
      <c r="D1045">
        <v>95.33</v>
      </c>
      <c r="E1045">
        <v>95.33</v>
      </c>
      <c r="F1045" s="23">
        <f t="shared" si="16"/>
        <v>4.0338293995597074E-3</v>
      </c>
    </row>
    <row r="1046" spans="1:6" x14ac:dyDescent="0.35">
      <c r="A1046" s="22">
        <v>46015</v>
      </c>
      <c r="B1046">
        <v>95.343999999999994</v>
      </c>
      <c r="C1046">
        <v>95.343999999999994</v>
      </c>
      <c r="D1046">
        <v>95.343999999999994</v>
      </c>
      <c r="E1046">
        <v>95.343999999999994</v>
      </c>
      <c r="F1046" s="23">
        <f t="shared" si="16"/>
        <v>1.468582817580593E-4</v>
      </c>
    </row>
    <row r="1047" spans="1:6" x14ac:dyDescent="0.35">
      <c r="A1047" s="22">
        <v>46017</v>
      </c>
      <c r="B1047">
        <v>95.048000000000002</v>
      </c>
      <c r="C1047">
        <v>95.048000000000002</v>
      </c>
      <c r="D1047">
        <v>95.048000000000002</v>
      </c>
      <c r="E1047">
        <v>95.048000000000002</v>
      </c>
      <c r="F1047" s="23">
        <f t="shared" si="16"/>
        <v>-3.1045477429098032E-3</v>
      </c>
    </row>
    <row r="1048" spans="1:6" x14ac:dyDescent="0.35">
      <c r="A1048" s="22">
        <v>46020</v>
      </c>
      <c r="B1048">
        <v>94.73</v>
      </c>
      <c r="C1048">
        <v>94.73</v>
      </c>
      <c r="D1048">
        <v>94.73</v>
      </c>
      <c r="E1048">
        <v>94.73</v>
      </c>
      <c r="F1048" s="23">
        <f t="shared" si="16"/>
        <v>-3.3456779732345533E-3</v>
      </c>
    </row>
    <row r="1049" spans="1:6" x14ac:dyDescent="0.35">
      <c r="A1049" s="22">
        <v>46021</v>
      </c>
      <c r="B1049">
        <v>94.611999999999995</v>
      </c>
      <c r="C1049">
        <v>94.611999999999995</v>
      </c>
      <c r="D1049">
        <v>94.611999999999995</v>
      </c>
      <c r="E1049">
        <v>94.611999999999995</v>
      </c>
      <c r="F1049" s="23">
        <f t="shared" si="16"/>
        <v>-1.2456455188431248E-3</v>
      </c>
    </row>
    <row r="1050" spans="1:6" x14ac:dyDescent="0.35">
      <c r="A1050" s="22">
        <v>46022</v>
      </c>
      <c r="B1050">
        <v>95.171000000000006</v>
      </c>
      <c r="C1050">
        <v>95.171000000000006</v>
      </c>
      <c r="D1050">
        <v>95.171000000000006</v>
      </c>
      <c r="E1050">
        <v>95.171000000000006</v>
      </c>
      <c r="F1050" s="23">
        <f t="shared" si="16"/>
        <v>5.9083414366043604E-3</v>
      </c>
    </row>
    <row r="1051" spans="1:6" x14ac:dyDescent="0.35">
      <c r="A1051" s="22">
        <v>46023</v>
      </c>
      <c r="B1051">
        <v>94.933999999999997</v>
      </c>
      <c r="C1051">
        <v>94.933999999999997</v>
      </c>
      <c r="D1051">
        <v>94.933999999999997</v>
      </c>
      <c r="E1051">
        <v>94.933999999999997</v>
      </c>
      <c r="F1051" s="23">
        <f t="shared" si="16"/>
        <v>-2.4902543842137727E-3</v>
      </c>
    </row>
    <row r="1052" spans="1:6" x14ac:dyDescent="0.35">
      <c r="A1052" s="22">
        <v>46024</v>
      </c>
      <c r="B1052">
        <v>95.299000000000007</v>
      </c>
      <c r="C1052">
        <v>95.299000000000007</v>
      </c>
      <c r="D1052">
        <v>95.299000000000007</v>
      </c>
      <c r="E1052">
        <v>95.299000000000007</v>
      </c>
      <c r="F1052" s="23">
        <f t="shared" si="16"/>
        <v>3.8447763709525472E-3</v>
      </c>
    </row>
    <row r="1053" spans="1:6" x14ac:dyDescent="0.35">
      <c r="A1053" s="22">
        <v>46027</v>
      </c>
      <c r="B1053">
        <v>95.322999999999993</v>
      </c>
      <c r="C1053">
        <v>95.322999999999993</v>
      </c>
      <c r="D1053">
        <v>95.322999999999993</v>
      </c>
      <c r="E1053">
        <v>95.322999999999993</v>
      </c>
      <c r="F1053" s="23">
        <f t="shared" si="16"/>
        <v>2.5183894899197994E-4</v>
      </c>
    </row>
    <row r="1054" spans="1:6" x14ac:dyDescent="0.35">
      <c r="A1054" s="22">
        <v>46028</v>
      </c>
      <c r="B1054">
        <v>95.323999999999998</v>
      </c>
      <c r="C1054">
        <v>95.323999999999998</v>
      </c>
      <c r="D1054">
        <v>95.323999999999998</v>
      </c>
      <c r="E1054">
        <v>95.323999999999998</v>
      </c>
      <c r="F1054" s="23">
        <f t="shared" si="16"/>
        <v>1.0490647587725678E-5</v>
      </c>
    </row>
    <row r="1055" spans="1:6" x14ac:dyDescent="0.35">
      <c r="A1055" s="22">
        <v>46029</v>
      </c>
      <c r="B1055">
        <v>95.194000000000003</v>
      </c>
      <c r="C1055">
        <v>95.194000000000003</v>
      </c>
      <c r="D1055">
        <v>95.194000000000003</v>
      </c>
      <c r="E1055">
        <v>95.194000000000003</v>
      </c>
      <c r="F1055" s="23">
        <f t="shared" si="16"/>
        <v>-1.3637698795685815E-3</v>
      </c>
    </row>
    <row r="1056" spans="1:6" x14ac:dyDescent="0.35">
      <c r="A1056" s="22">
        <v>46030</v>
      </c>
      <c r="B1056">
        <v>94.712000000000003</v>
      </c>
      <c r="C1056">
        <v>94.712000000000003</v>
      </c>
      <c r="D1056">
        <v>94.712000000000003</v>
      </c>
      <c r="E1056">
        <v>94.712000000000003</v>
      </c>
      <c r="F1056" s="23">
        <f t="shared" si="16"/>
        <v>-5.0633443284240527E-3</v>
      </c>
    </row>
    <row r="1057" spans="1:6" x14ac:dyDescent="0.35">
      <c r="A1057" s="22">
        <v>46031</v>
      </c>
      <c r="B1057">
        <v>94.144000000000005</v>
      </c>
      <c r="C1057">
        <v>94.144000000000005</v>
      </c>
      <c r="D1057">
        <v>94.144000000000005</v>
      </c>
      <c r="E1057">
        <v>94.144000000000005</v>
      </c>
      <c r="F1057" s="23">
        <f t="shared" si="16"/>
        <v>-5.9971281358222597E-3</v>
      </c>
    </row>
    <row r="1058" spans="1:6" x14ac:dyDescent="0.35">
      <c r="A1058" s="22">
        <v>46034</v>
      </c>
      <c r="B1058">
        <v>94.328999999999994</v>
      </c>
      <c r="C1058">
        <v>94.328999999999994</v>
      </c>
      <c r="D1058">
        <v>94.328999999999994</v>
      </c>
      <c r="E1058">
        <v>94.328999999999994</v>
      </c>
      <c r="F1058" s="23">
        <f t="shared" si="16"/>
        <v>1.9650747790617359E-3</v>
      </c>
    </row>
    <row r="1059" spans="1:6" x14ac:dyDescent="0.35">
      <c r="A1059" s="22">
        <v>46035</v>
      </c>
      <c r="B1059">
        <v>94.177999999999997</v>
      </c>
      <c r="C1059">
        <v>94.177999999999997</v>
      </c>
      <c r="D1059">
        <v>94.177999999999997</v>
      </c>
      <c r="E1059">
        <v>94.177999999999997</v>
      </c>
      <c r="F1059" s="23">
        <f t="shared" si="16"/>
        <v>-1.6007802478558689E-3</v>
      </c>
    </row>
    <row r="1060" spans="1:6" x14ac:dyDescent="0.35">
      <c r="A1060" s="22">
        <v>46036</v>
      </c>
      <c r="B1060">
        <v>93.852999999999994</v>
      </c>
      <c r="C1060">
        <v>93.852999999999994</v>
      </c>
      <c r="D1060">
        <v>93.852999999999994</v>
      </c>
      <c r="E1060">
        <v>93.852999999999994</v>
      </c>
      <c r="F1060" s="23">
        <f t="shared" si="16"/>
        <v>-3.4509121026142287E-3</v>
      </c>
    </row>
    <row r="1061" spans="1:6" x14ac:dyDescent="0.35">
      <c r="A1061" s="22">
        <v>46038</v>
      </c>
      <c r="B1061">
        <v>93.846999999999994</v>
      </c>
      <c r="C1061">
        <v>93.846999999999994</v>
      </c>
      <c r="D1061">
        <v>93.846999999999994</v>
      </c>
      <c r="E1061">
        <v>93.846999999999994</v>
      </c>
      <c r="F1061" s="23">
        <f t="shared" si="16"/>
        <v>-6.3929762500934738E-5</v>
      </c>
    </row>
    <row r="1062" spans="1:6" x14ac:dyDescent="0.35">
      <c r="A1062" s="22">
        <v>46041</v>
      </c>
      <c r="B1062">
        <v>93.85</v>
      </c>
      <c r="C1062">
        <v>93.85</v>
      </c>
      <c r="D1062">
        <v>93.85</v>
      </c>
      <c r="E1062">
        <v>93.85</v>
      </c>
      <c r="F1062" s="23">
        <f t="shared" si="16"/>
        <v>3.1966924888383367E-5</v>
      </c>
    </row>
    <row r="1063" spans="1:6" x14ac:dyDescent="0.35">
      <c r="A1063" s="22">
        <v>46042</v>
      </c>
      <c r="B1063">
        <v>92.76</v>
      </c>
      <c r="C1063">
        <v>92.76</v>
      </c>
      <c r="D1063">
        <v>92.76</v>
      </c>
      <c r="E1063">
        <v>92.76</v>
      </c>
      <c r="F1063" s="23">
        <f t="shared" si="16"/>
        <v>-1.1614278103356305E-2</v>
      </c>
    </row>
    <row r="1064" spans="1:6" x14ac:dyDescent="0.35">
      <c r="A1064" s="22">
        <v>46043</v>
      </c>
      <c r="B1064">
        <v>92.664000000000001</v>
      </c>
      <c r="C1064">
        <v>92.664000000000001</v>
      </c>
      <c r="D1064">
        <v>92.664000000000001</v>
      </c>
      <c r="E1064">
        <v>92.664000000000001</v>
      </c>
      <c r="F1064" s="23">
        <f t="shared" si="16"/>
        <v>-1.034928848641695E-3</v>
      </c>
    </row>
    <row r="1065" spans="1:6" x14ac:dyDescent="0.35">
      <c r="A1065" s="22">
        <v>46044</v>
      </c>
      <c r="B1065">
        <v>93.338999999999999</v>
      </c>
      <c r="C1065">
        <v>93.338999999999999</v>
      </c>
      <c r="D1065">
        <v>93.338999999999999</v>
      </c>
      <c r="E1065">
        <v>93.338999999999999</v>
      </c>
      <c r="F1065" s="23">
        <f t="shared" si="16"/>
        <v>7.2843822843822537E-3</v>
      </c>
    </row>
    <row r="1066" spans="1:6" x14ac:dyDescent="0.35">
      <c r="A1066" s="22">
        <v>46045</v>
      </c>
      <c r="B1066">
        <v>92.941000000000003</v>
      </c>
      <c r="C1066">
        <v>92.941000000000003</v>
      </c>
      <c r="D1066">
        <v>92.941000000000003</v>
      </c>
      <c r="E1066">
        <v>92.941000000000003</v>
      </c>
      <c r="F1066" s="23">
        <f t="shared" si="16"/>
        <v>-4.2640268269426088E-3</v>
      </c>
    </row>
    <row r="1067" spans="1:6" x14ac:dyDescent="0.35">
      <c r="A1067" s="22">
        <v>46049</v>
      </c>
      <c r="B1067">
        <v>93.165000000000006</v>
      </c>
      <c r="C1067">
        <v>93.165000000000006</v>
      </c>
      <c r="D1067">
        <v>93.165000000000006</v>
      </c>
      <c r="E1067">
        <v>93.165000000000006</v>
      </c>
      <c r="F1067" s="23">
        <f t="shared" si="16"/>
        <v>2.4101311584769237E-3</v>
      </c>
    </row>
    <row r="1068" spans="1:6" x14ac:dyDescent="0.35">
      <c r="A1068" s="22">
        <v>46050</v>
      </c>
      <c r="B1068">
        <v>93.76</v>
      </c>
      <c r="C1068">
        <v>93.76</v>
      </c>
      <c r="D1068">
        <v>93.76</v>
      </c>
      <c r="E1068">
        <v>93.76</v>
      </c>
      <c r="F1068" s="23">
        <f t="shared" si="16"/>
        <v>6.3865185423710499E-3</v>
      </c>
    </row>
    <row r="1069" spans="1:6" x14ac:dyDescent="0.35">
      <c r="A1069" s="22">
        <v>46051</v>
      </c>
      <c r="B1069">
        <v>93.96</v>
      </c>
      <c r="C1069">
        <v>93.96</v>
      </c>
      <c r="D1069">
        <v>93.96</v>
      </c>
      <c r="E1069">
        <v>93.96</v>
      </c>
      <c r="F1069" s="23">
        <f t="shared" si="16"/>
        <v>2.1331058020476602E-3</v>
      </c>
    </row>
    <row r="1070" spans="1:6" x14ac:dyDescent="0.35">
      <c r="A1070" s="22">
        <v>46052</v>
      </c>
      <c r="B1070">
        <v>93.521000000000001</v>
      </c>
      <c r="C1070">
        <v>93.521000000000001</v>
      </c>
      <c r="D1070">
        <v>93.521000000000001</v>
      </c>
      <c r="E1070">
        <v>93.521000000000001</v>
      </c>
      <c r="F1070" s="23">
        <f t="shared" si="16"/>
        <v>-4.6722009365686781E-3</v>
      </c>
    </row>
    <row r="1071" spans="1:6" x14ac:dyDescent="0.35">
      <c r="A1071" s="22">
        <v>46055</v>
      </c>
      <c r="B1071">
        <v>93.137</v>
      </c>
      <c r="C1071">
        <v>93.137</v>
      </c>
      <c r="D1071">
        <v>93.137</v>
      </c>
      <c r="E1071">
        <v>93.137</v>
      </c>
      <c r="F1071" s="23">
        <f t="shared" si="16"/>
        <v>-4.106029661787196E-3</v>
      </c>
    </row>
    <row r="1072" spans="1:6" x14ac:dyDescent="0.35">
      <c r="A1072" s="22">
        <v>46056</v>
      </c>
      <c r="B1072">
        <v>94.194000000000003</v>
      </c>
      <c r="C1072">
        <v>94.194000000000003</v>
      </c>
      <c r="D1072">
        <v>94.194000000000003</v>
      </c>
      <c r="E1072">
        <v>94.194000000000003</v>
      </c>
      <c r="F1072" s="23">
        <f t="shared" si="16"/>
        <v>1.1348873165337107E-2</v>
      </c>
    </row>
    <row r="1073" spans="1:6" x14ac:dyDescent="0.35">
      <c r="A1073" s="22">
        <v>46057</v>
      </c>
      <c r="B1073">
        <v>94.087000000000003</v>
      </c>
      <c r="C1073">
        <v>94.087000000000003</v>
      </c>
      <c r="D1073">
        <v>94.087000000000003</v>
      </c>
      <c r="E1073">
        <v>94.087000000000003</v>
      </c>
      <c r="F1073" s="23">
        <f t="shared" si="16"/>
        <v>-1.135953457757387E-3</v>
      </c>
    </row>
    <row r="1074" spans="1:6" x14ac:dyDescent="0.35">
      <c r="A1074" s="22">
        <v>46058</v>
      </c>
      <c r="B1074">
        <v>93.563000000000002</v>
      </c>
      <c r="C1074">
        <v>93.563000000000002</v>
      </c>
      <c r="D1074">
        <v>93.563000000000002</v>
      </c>
      <c r="E1074">
        <v>93.563000000000002</v>
      </c>
      <c r="F1074" s="23">
        <f t="shared" si="16"/>
        <v>-5.5693135077109577E-3</v>
      </c>
    </row>
    <row r="1075" spans="1:6" x14ac:dyDescent="0.35">
      <c r="A1075" s="22">
        <v>46059</v>
      </c>
      <c r="B1075">
        <v>93.790999999999997</v>
      </c>
      <c r="C1075">
        <v>93.790999999999997</v>
      </c>
      <c r="D1075">
        <v>93.790999999999997</v>
      </c>
      <c r="E1075">
        <v>93.790999999999997</v>
      </c>
      <c r="F1075" s="23">
        <f t="shared" si="16"/>
        <v>2.4368607248591262E-3</v>
      </c>
    </row>
    <row r="1076" spans="1:6" x14ac:dyDescent="0.35">
      <c r="A1076" s="22">
        <v>46062</v>
      </c>
      <c r="B1076">
        <v>94.150999999999996</v>
      </c>
      <c r="C1076">
        <v>94.150999999999996</v>
      </c>
      <c r="D1076">
        <v>94.150999999999996</v>
      </c>
      <c r="E1076">
        <v>93.790999999999997</v>
      </c>
      <c r="F1076" s="23">
        <f t="shared" si="16"/>
        <v>3.8383213741190461E-3</v>
      </c>
    </row>
    <row r="1077" spans="1:6" x14ac:dyDescent="0.35">
      <c r="A1077" s="22">
        <v>46063</v>
      </c>
      <c r="B1077">
        <v>94.141999999999996</v>
      </c>
      <c r="C1077">
        <v>94.141999999999996</v>
      </c>
      <c r="D1077">
        <v>94.141999999999996</v>
      </c>
      <c r="E1077">
        <v>94.141999999999996</v>
      </c>
      <c r="F1077" s="23">
        <f t="shared" si="16"/>
        <v>-9.5591124895118919E-5</v>
      </c>
    </row>
    <row r="1078" spans="1:6" x14ac:dyDescent="0.35">
      <c r="A1078" s="22">
        <v>46064</v>
      </c>
      <c r="B1078">
        <v>93.802000000000007</v>
      </c>
      <c r="C1078">
        <v>93.802000000000007</v>
      </c>
      <c r="D1078">
        <v>93.802000000000007</v>
      </c>
      <c r="E1078">
        <v>93.802000000000007</v>
      </c>
      <c r="F1078" s="23">
        <f t="shared" si="16"/>
        <v>-3.6115655074248393E-3</v>
      </c>
    </row>
    <row r="1079" spans="1:6" x14ac:dyDescent="0.35">
      <c r="A1079" s="22">
        <v>46065</v>
      </c>
      <c r="B1079">
        <v>93.051000000000002</v>
      </c>
      <c r="C1079">
        <v>93.051000000000002</v>
      </c>
      <c r="D1079">
        <v>93.051000000000002</v>
      </c>
      <c r="E1079">
        <v>93.051000000000002</v>
      </c>
      <c r="F1079" s="23">
        <f t="shared" si="16"/>
        <v>-8.0062258800452524E-3</v>
      </c>
    </row>
    <row r="1080" spans="1:6" x14ac:dyDescent="0.35">
      <c r="A1080" s="22">
        <v>46066</v>
      </c>
      <c r="B1080">
        <v>92.066000000000003</v>
      </c>
      <c r="C1080">
        <v>92.066000000000003</v>
      </c>
      <c r="D1080">
        <v>92.066000000000003</v>
      </c>
      <c r="E1080">
        <v>92.066000000000003</v>
      </c>
      <c r="F1080" s="23">
        <f t="shared" si="16"/>
        <v>-1.0585592846933396E-2</v>
      </c>
    </row>
    <row r="1081" spans="1:6" x14ac:dyDescent="0.35">
      <c r="A1081" s="22">
        <v>46069</v>
      </c>
      <c r="B1081">
        <v>92.957999999999998</v>
      </c>
      <c r="C1081">
        <v>92.957999999999998</v>
      </c>
      <c r="D1081">
        <v>92.957999999999998</v>
      </c>
      <c r="E1081">
        <v>92.066000000000003</v>
      </c>
      <c r="F1081" s="23">
        <f t="shared" si="16"/>
        <v>9.6887015836464689E-3</v>
      </c>
    </row>
    <row r="1082" spans="1:6" x14ac:dyDescent="0.35">
      <c r="A1082" s="22">
        <v>46070</v>
      </c>
      <c r="B1082">
        <v>93.131</v>
      </c>
      <c r="C1082">
        <v>93.131</v>
      </c>
      <c r="D1082">
        <v>93.131</v>
      </c>
      <c r="E1082">
        <v>93.131</v>
      </c>
      <c r="F1082" s="23">
        <f t="shared" si="16"/>
        <v>1.8610555304546335E-3</v>
      </c>
    </row>
    <row r="1083" spans="1:6" x14ac:dyDescent="0.35">
      <c r="A1083" s="22">
        <v>46071</v>
      </c>
      <c r="B1083">
        <v>93.408000000000001</v>
      </c>
      <c r="C1083">
        <v>93.408000000000001</v>
      </c>
      <c r="D1083">
        <v>93.408000000000001</v>
      </c>
      <c r="E1083">
        <v>93.408000000000001</v>
      </c>
      <c r="F1083" s="23">
        <f t="shared" si="16"/>
        <v>2.9743050112207643E-3</v>
      </c>
    </row>
    <row r="1084" spans="1:6" x14ac:dyDescent="0.35">
      <c r="A1084" s="22">
        <v>46072</v>
      </c>
      <c r="B1084">
        <v>92.509</v>
      </c>
      <c r="C1084">
        <v>92.509</v>
      </c>
      <c r="D1084">
        <v>92.509</v>
      </c>
      <c r="E1084">
        <v>92.509</v>
      </c>
      <c r="F1084" s="23">
        <f t="shared" si="16"/>
        <v>-9.6244433025008663E-3</v>
      </c>
    </row>
    <row r="1085" spans="1:6" x14ac:dyDescent="0.35">
      <c r="A1085" s="22">
        <v>46073</v>
      </c>
      <c r="B1085">
        <v>92.93</v>
      </c>
      <c r="C1085">
        <v>92.93</v>
      </c>
      <c r="D1085">
        <v>92.93</v>
      </c>
      <c r="E1085">
        <v>92.93</v>
      </c>
      <c r="F1085" s="23">
        <f t="shared" si="16"/>
        <v>4.5509085602482621E-3</v>
      </c>
    </row>
    <row r="1086" spans="1:6" x14ac:dyDescent="0.35">
      <c r="A1086" s="22">
        <v>46076</v>
      </c>
      <c r="B1086">
        <v>93.242000000000004</v>
      </c>
      <c r="C1086">
        <v>93.242000000000004</v>
      </c>
      <c r="D1086">
        <v>93.242000000000004</v>
      </c>
      <c r="E1086">
        <v>93.242000000000004</v>
      </c>
      <c r="F1086" s="23">
        <f t="shared" si="16"/>
        <v>3.3573657591735454E-3</v>
      </c>
    </row>
    <row r="1087" spans="1:6" x14ac:dyDescent="0.35">
      <c r="A1087" s="22">
        <v>46077</v>
      </c>
      <c r="B1087">
        <v>92.608999999999995</v>
      </c>
      <c r="C1087">
        <v>92.608999999999995</v>
      </c>
      <c r="D1087">
        <v>92.608999999999995</v>
      </c>
      <c r="E1087">
        <v>92.608999999999995</v>
      </c>
      <c r="F1087" s="23">
        <f t="shared" si="16"/>
        <v>-6.7887861693229417E-3</v>
      </c>
    </row>
    <row r="1088" spans="1:6" x14ac:dyDescent="0.35">
      <c r="A1088" s="22">
        <v>46078</v>
      </c>
      <c r="B1088">
        <v>93.082999999999998</v>
      </c>
      <c r="C1088">
        <v>93.082999999999998</v>
      </c>
      <c r="D1088">
        <v>93.082999999999998</v>
      </c>
      <c r="E1088">
        <v>93.082999999999998</v>
      </c>
      <c r="F1088" s="23">
        <f t="shared" si="16"/>
        <v>5.118293038473623E-3</v>
      </c>
    </row>
    <row r="1089" spans="1:6" x14ac:dyDescent="0.35">
      <c r="A1089" s="22">
        <v>46079</v>
      </c>
      <c r="B1089">
        <v>92.772000000000006</v>
      </c>
      <c r="C1089">
        <v>92.772000000000006</v>
      </c>
      <c r="D1089">
        <v>92.772000000000006</v>
      </c>
      <c r="E1089">
        <v>92.772000000000006</v>
      </c>
      <c r="F1089" s="23">
        <f t="shared" si="16"/>
        <v>-3.3411041758429879E-3</v>
      </c>
    </row>
    <row r="1090" spans="1:6" x14ac:dyDescent="0.35">
      <c r="A1090" s="22">
        <v>46080</v>
      </c>
      <c r="B1090">
        <v>91.953999999999994</v>
      </c>
      <c r="C1090">
        <v>91.953999999999994</v>
      </c>
      <c r="D1090">
        <v>91.953999999999994</v>
      </c>
      <c r="E1090">
        <v>91.953999999999994</v>
      </c>
      <c r="F1090" s="23">
        <f t="shared" si="16"/>
        <v>-8.8173155693529511E-3</v>
      </c>
    </row>
    <row r="1091" spans="1:6" x14ac:dyDescent="0.35">
      <c r="A1091" s="22">
        <v>46083</v>
      </c>
      <c r="B1091">
        <v>91.421999999999997</v>
      </c>
      <c r="C1091">
        <v>91.421999999999997</v>
      </c>
      <c r="D1091">
        <v>91.421999999999997</v>
      </c>
      <c r="E1091">
        <v>91.421999999999997</v>
      </c>
      <c r="F1091" s="23">
        <f t="shared" ref="F1091:F1154" si="17">(B1091-B1090)/B1090</f>
        <v>-5.785501446375324E-3</v>
      </c>
    </row>
    <row r="1092" spans="1:6" x14ac:dyDescent="0.35">
      <c r="A1092" s="22">
        <v>46085</v>
      </c>
      <c r="B1092">
        <v>91.04</v>
      </c>
      <c r="C1092">
        <v>91.04</v>
      </c>
      <c r="D1092">
        <v>91.04</v>
      </c>
      <c r="E1092">
        <v>91.04</v>
      </c>
      <c r="F1092" s="23">
        <f t="shared" si="17"/>
        <v>-4.178425324320085E-3</v>
      </c>
    </row>
    <row r="1093" spans="1:6" x14ac:dyDescent="0.35">
      <c r="A1093" s="22">
        <v>46086</v>
      </c>
      <c r="B1093">
        <v>91.59</v>
      </c>
      <c r="C1093">
        <v>91.59</v>
      </c>
      <c r="D1093">
        <v>91.59</v>
      </c>
      <c r="E1093">
        <v>91.59</v>
      </c>
      <c r="F1093" s="23">
        <f t="shared" si="17"/>
        <v>6.0413005272407418E-3</v>
      </c>
    </row>
    <row r="1094" spans="1:6" x14ac:dyDescent="0.35">
      <c r="A1094" s="22">
        <v>46087</v>
      </c>
      <c r="B1094">
        <v>90.745999999999995</v>
      </c>
      <c r="C1094">
        <v>90.745999999999995</v>
      </c>
      <c r="D1094">
        <v>90.745999999999995</v>
      </c>
      <c r="E1094">
        <v>90.745999999999995</v>
      </c>
      <c r="F1094" s="23">
        <f t="shared" si="17"/>
        <v>-9.21497980128844E-3</v>
      </c>
    </row>
    <row r="1095" spans="1:6" x14ac:dyDescent="0.35">
      <c r="A1095" s="22">
        <v>46090</v>
      </c>
      <c r="B1095">
        <v>89.771000000000001</v>
      </c>
      <c r="C1095">
        <v>89.771000000000001</v>
      </c>
      <c r="D1095">
        <v>89.771000000000001</v>
      </c>
      <c r="E1095">
        <v>89.771000000000001</v>
      </c>
      <c r="F1095" s="23">
        <f t="shared" si="17"/>
        <v>-1.0744275229762131E-2</v>
      </c>
    </row>
    <row r="1096" spans="1:6" x14ac:dyDescent="0.35">
      <c r="A1096" s="22">
        <v>46091</v>
      </c>
      <c r="B1096">
        <v>90.429000000000002</v>
      </c>
      <c r="C1096">
        <v>90.429000000000002</v>
      </c>
      <c r="D1096">
        <v>90.429000000000002</v>
      </c>
      <c r="E1096">
        <v>90.429000000000002</v>
      </c>
      <c r="F1096" s="23">
        <f t="shared" si="17"/>
        <v>7.3297612814828984E-3</v>
      </c>
    </row>
    <row r="1097" spans="1:6" x14ac:dyDescent="0.35">
      <c r="A1097" s="22">
        <v>46092</v>
      </c>
      <c r="B1097">
        <v>89.727000000000004</v>
      </c>
      <c r="C1097">
        <v>89.727000000000004</v>
      </c>
      <c r="D1097">
        <v>89.727000000000004</v>
      </c>
      <c r="E1097">
        <v>89.727000000000004</v>
      </c>
      <c r="F1097" s="23">
        <f t="shared" si="17"/>
        <v>-7.7629963839033738E-3</v>
      </c>
    </row>
    <row r="1098" spans="1:6" x14ac:dyDescent="0.35">
      <c r="A1098" s="22">
        <v>46093</v>
      </c>
      <c r="B1098">
        <v>89.272999999999996</v>
      </c>
      <c r="C1098">
        <v>89.272999999999996</v>
      </c>
      <c r="D1098">
        <v>89.272999999999996</v>
      </c>
      <c r="E1098">
        <v>89.272999999999996</v>
      </c>
      <c r="F1098" s="23">
        <f t="shared" si="17"/>
        <v>-5.0597924816388343E-3</v>
      </c>
    </row>
    <row r="1099" spans="1:6" x14ac:dyDescent="0.35">
      <c r="A1099" s="22">
        <v>46094</v>
      </c>
      <c r="B1099">
        <v>88.162999999999997</v>
      </c>
      <c r="C1099">
        <v>88.162999999999997</v>
      </c>
      <c r="D1099">
        <v>88.162999999999997</v>
      </c>
      <c r="E1099">
        <v>88.162999999999997</v>
      </c>
      <c r="F1099" s="23">
        <f t="shared" si="17"/>
        <v>-1.243377056892901E-2</v>
      </c>
    </row>
    <row r="1100" spans="1:6" x14ac:dyDescent="0.35">
      <c r="A1100" s="22">
        <v>46097</v>
      </c>
      <c r="B1100">
        <v>88.703999999999994</v>
      </c>
      <c r="C1100">
        <v>88.703999999999994</v>
      </c>
      <c r="D1100">
        <v>88.703999999999994</v>
      </c>
      <c r="E1100">
        <v>88.703999999999994</v>
      </c>
      <c r="F1100" s="23">
        <f t="shared" si="17"/>
        <v>6.1363610584938902E-3</v>
      </c>
    </row>
    <row r="1101" spans="1:6" x14ac:dyDescent="0.35">
      <c r="A1101" s="22">
        <v>46098</v>
      </c>
      <c r="B1101">
        <v>89.087000000000003</v>
      </c>
      <c r="C1101">
        <v>89.087000000000003</v>
      </c>
      <c r="D1101">
        <v>89.087000000000003</v>
      </c>
      <c r="E1101">
        <v>89.087000000000003</v>
      </c>
      <c r="F1101" s="23">
        <f t="shared" si="17"/>
        <v>4.3177308802309911E-3</v>
      </c>
    </row>
    <row r="1102" spans="1:6" x14ac:dyDescent="0.35">
      <c r="A1102" s="22">
        <v>46099</v>
      </c>
      <c r="B1102">
        <v>89.376000000000005</v>
      </c>
      <c r="C1102">
        <v>89.376000000000005</v>
      </c>
      <c r="D1102">
        <v>89.376000000000005</v>
      </c>
      <c r="E1102">
        <v>89.087000000000003</v>
      </c>
      <c r="F1102" s="23">
        <f t="shared" si="17"/>
        <v>3.2440198906686889E-3</v>
      </c>
    </row>
    <row r="1103" spans="1:6" x14ac:dyDescent="0.35">
      <c r="A1103" s="22">
        <v>46100</v>
      </c>
      <c r="B1103">
        <v>87.706999999999994</v>
      </c>
      <c r="C1103">
        <v>87.706999999999994</v>
      </c>
      <c r="D1103">
        <v>87.706999999999994</v>
      </c>
      <c r="E1103">
        <v>87.706999999999994</v>
      </c>
      <c r="F1103" s="23">
        <f t="shared" si="17"/>
        <v>-1.8673916935195253E-2</v>
      </c>
    </row>
    <row r="1104" spans="1:6" x14ac:dyDescent="0.35">
      <c r="A1104" s="22">
        <v>46101</v>
      </c>
      <c r="B1104">
        <v>87.790999999999997</v>
      </c>
      <c r="C1104">
        <v>87.790999999999997</v>
      </c>
      <c r="D1104">
        <v>87.790999999999997</v>
      </c>
      <c r="E1104">
        <v>87.790999999999997</v>
      </c>
      <c r="F1104" s="23">
        <f t="shared" si="17"/>
        <v>9.5773427434529953E-4</v>
      </c>
    </row>
    <row r="1105" spans="1:6" x14ac:dyDescent="0.35">
      <c r="A1105" s="22">
        <v>46104</v>
      </c>
      <c r="B1105">
        <v>86.591999999999999</v>
      </c>
      <c r="C1105">
        <v>86.591999999999999</v>
      </c>
      <c r="D1105">
        <v>86.591999999999999</v>
      </c>
      <c r="E1105">
        <v>86.591999999999999</v>
      </c>
      <c r="F1105" s="23">
        <f t="shared" si="17"/>
        <v>-1.3657436411477236E-2</v>
      </c>
    </row>
    <row r="1106" spans="1:6" x14ac:dyDescent="0.35">
      <c r="A1106" s="22">
        <v>46105</v>
      </c>
      <c r="B1106">
        <v>87.001000000000005</v>
      </c>
      <c r="C1106">
        <v>87.001000000000005</v>
      </c>
      <c r="D1106">
        <v>87.001000000000005</v>
      </c>
      <c r="E1106">
        <v>87.001000000000005</v>
      </c>
      <c r="F1106" s="23">
        <f t="shared" si="17"/>
        <v>4.7233000739098996E-3</v>
      </c>
    </row>
    <row r="1107" spans="1:6" x14ac:dyDescent="0.35">
      <c r="A1107" s="22">
        <v>46106</v>
      </c>
      <c r="B1107">
        <v>87.840999999999994</v>
      </c>
      <c r="C1107">
        <v>87.840999999999994</v>
      </c>
      <c r="D1107">
        <v>87.840999999999994</v>
      </c>
      <c r="E1107">
        <v>87.840999999999994</v>
      </c>
      <c r="F1107" s="23">
        <f t="shared" si="17"/>
        <v>9.6550614360753229E-3</v>
      </c>
    </row>
    <row r="1108" spans="1:6" x14ac:dyDescent="0.35">
      <c r="A1108" s="22">
        <v>46108</v>
      </c>
      <c r="B1108">
        <v>86.444999999999993</v>
      </c>
      <c r="C1108">
        <v>86.444999999999993</v>
      </c>
      <c r="D1108">
        <v>86.444999999999993</v>
      </c>
      <c r="E1108">
        <v>86.444999999999993</v>
      </c>
      <c r="F1108" s="23">
        <f t="shared" si="17"/>
        <v>-1.5892350952288806E-2</v>
      </c>
    </row>
    <row r="1109" spans="1:6" x14ac:dyDescent="0.35">
      <c r="A1109" s="22">
        <v>46111</v>
      </c>
      <c r="B1109">
        <v>85.26</v>
      </c>
      <c r="C1109">
        <v>85.26</v>
      </c>
      <c r="D1109">
        <v>85.26</v>
      </c>
      <c r="E1109">
        <v>85.26</v>
      </c>
      <c r="F1109" s="23">
        <f t="shared" si="17"/>
        <v>-1.3708138122505502E-2</v>
      </c>
    </row>
    <row r="1110" spans="1:6" x14ac:dyDescent="0.35">
      <c r="A1110" s="22">
        <v>46112</v>
      </c>
      <c r="B1110">
        <v>85.677999999999997</v>
      </c>
      <c r="C1110">
        <v>85.677999999999997</v>
      </c>
      <c r="D1110">
        <v>85.677999999999997</v>
      </c>
      <c r="E1110">
        <v>85.677999999999997</v>
      </c>
      <c r="F1110" s="23">
        <f t="shared" si="17"/>
        <v>4.9026507154585047E-3</v>
      </c>
    </row>
    <row r="1111" spans="1:6" x14ac:dyDescent="0.35">
      <c r="A1111" s="22">
        <v>46113</v>
      </c>
      <c r="B1111">
        <v>86.343999999999994</v>
      </c>
      <c r="C1111">
        <v>86.343999999999994</v>
      </c>
      <c r="D1111">
        <v>86.343999999999994</v>
      </c>
      <c r="E1111">
        <v>86.343999999999994</v>
      </c>
      <c r="F1111" s="23">
        <f t="shared" si="17"/>
        <v>7.7732906930600256E-3</v>
      </c>
    </row>
    <row r="1112" spans="1:6" x14ac:dyDescent="0.35">
      <c r="A1112" s="22">
        <v>46114</v>
      </c>
      <c r="B1112">
        <v>86.516000000000005</v>
      </c>
      <c r="C1112">
        <v>86.516000000000005</v>
      </c>
      <c r="D1112">
        <v>86.516000000000005</v>
      </c>
      <c r="E1112">
        <v>86.516000000000005</v>
      </c>
      <c r="F1112" s="23">
        <f t="shared" si="17"/>
        <v>1.9920318725100907E-3</v>
      </c>
    </row>
    <row r="1113" spans="1:6" x14ac:dyDescent="0.35">
      <c r="A1113" s="22">
        <v>46118</v>
      </c>
      <c r="B1113">
        <v>87.491</v>
      </c>
      <c r="C1113">
        <v>87.491</v>
      </c>
      <c r="D1113">
        <v>87.491</v>
      </c>
      <c r="E1113">
        <v>87.491</v>
      </c>
      <c r="F1113" s="23">
        <f t="shared" si="17"/>
        <v>1.1269591751814627E-2</v>
      </c>
    </row>
    <row r="1114" spans="1:6" x14ac:dyDescent="0.35">
      <c r="A1114" s="22">
        <v>46119</v>
      </c>
      <c r="B1114">
        <v>88.054000000000002</v>
      </c>
      <c r="C1114">
        <v>88.054000000000002</v>
      </c>
      <c r="D1114">
        <v>88.054000000000002</v>
      </c>
      <c r="E1114">
        <v>88.054000000000002</v>
      </c>
      <c r="F1114" s="23">
        <f t="shared" si="17"/>
        <v>6.4349475946097589E-3</v>
      </c>
    </row>
    <row r="1115" spans="1:6" x14ac:dyDescent="0.35">
      <c r="A1115" s="22">
        <v>46120</v>
      </c>
      <c r="B1115">
        <v>90.132000000000005</v>
      </c>
      <c r="C1115">
        <v>90.132000000000005</v>
      </c>
      <c r="D1115">
        <v>90.132000000000005</v>
      </c>
      <c r="E1115">
        <v>90.132000000000005</v>
      </c>
      <c r="F1115" s="23">
        <f t="shared" si="17"/>
        <v>2.359915506393807E-2</v>
      </c>
    </row>
    <row r="1116" spans="1:6" x14ac:dyDescent="0.35">
      <c r="A1116" s="22">
        <v>46121</v>
      </c>
      <c r="B1116">
        <v>90.073999999999998</v>
      </c>
      <c r="C1116">
        <v>90.073999999999998</v>
      </c>
      <c r="D1116">
        <v>90.073999999999998</v>
      </c>
      <c r="E1116">
        <v>90.073999999999998</v>
      </c>
      <c r="F1116" s="23">
        <f t="shared" si="17"/>
        <v>-6.4350064350072046E-4</v>
      </c>
    </row>
    <row r="1117" spans="1:6" x14ac:dyDescent="0.35">
      <c r="A1117" s="22">
        <v>46122</v>
      </c>
      <c r="B1117">
        <v>90.441999999999993</v>
      </c>
      <c r="C1117">
        <v>90.441999999999993</v>
      </c>
      <c r="D1117">
        <v>90.441999999999993</v>
      </c>
      <c r="E1117">
        <v>90.441999999999993</v>
      </c>
      <c r="F1117" s="23">
        <f t="shared" si="17"/>
        <v>4.0855296756000066E-3</v>
      </c>
    </row>
    <row r="1118" spans="1:6" x14ac:dyDescent="0.35">
      <c r="A1118" s="22">
        <v>46125</v>
      </c>
      <c r="B1118">
        <v>90.152000000000001</v>
      </c>
      <c r="C1118">
        <v>90.152000000000001</v>
      </c>
      <c r="D1118">
        <v>90.152000000000001</v>
      </c>
      <c r="E1118">
        <v>90.152000000000001</v>
      </c>
      <c r="F1118" s="23">
        <f t="shared" si="17"/>
        <v>-3.2064748678710341E-3</v>
      </c>
    </row>
    <row r="1119" spans="1:6" x14ac:dyDescent="0.35">
      <c r="A1119" s="22">
        <v>46127</v>
      </c>
      <c r="B1119">
        <v>91.572999999999993</v>
      </c>
      <c r="C1119">
        <v>91.572999999999993</v>
      </c>
      <c r="D1119">
        <v>91.572999999999993</v>
      </c>
      <c r="E1119">
        <v>91.572999999999993</v>
      </c>
      <c r="F1119" s="23">
        <f t="shared" si="17"/>
        <v>1.5762268169313962E-2</v>
      </c>
    </row>
    <row r="1120" spans="1:6" x14ac:dyDescent="0.35">
      <c r="A1120" s="22">
        <v>46128</v>
      </c>
      <c r="B1120">
        <v>91.444999999999993</v>
      </c>
      <c r="C1120">
        <v>91.444999999999993</v>
      </c>
      <c r="D1120">
        <v>91.444999999999993</v>
      </c>
      <c r="E1120">
        <v>91.444999999999993</v>
      </c>
      <c r="F1120" s="23">
        <f t="shared" si="17"/>
        <v>-1.3977919255675814E-3</v>
      </c>
    </row>
    <row r="1121" spans="1:6" x14ac:dyDescent="0.35">
      <c r="A1121" s="22">
        <v>46129</v>
      </c>
      <c r="B1121">
        <v>91.984999999999999</v>
      </c>
      <c r="C1121">
        <v>91.984999999999999</v>
      </c>
      <c r="D1121">
        <v>91.984999999999999</v>
      </c>
      <c r="E1121">
        <v>91.984999999999999</v>
      </c>
      <c r="F1121" s="23">
        <f t="shared" si="17"/>
        <v>5.9051889113675574E-3</v>
      </c>
    </row>
    <row r="1122" spans="1:6" x14ac:dyDescent="0.35">
      <c r="A1122" s="22">
        <v>46132</v>
      </c>
      <c r="B1122">
        <v>91.671999999999997</v>
      </c>
      <c r="C1122">
        <v>91.671999999999997</v>
      </c>
      <c r="D1122">
        <v>91.671999999999997</v>
      </c>
      <c r="E1122">
        <v>91.671999999999997</v>
      </c>
      <c r="F1122" s="23">
        <f t="shared" si="17"/>
        <v>-3.4027287057672708E-3</v>
      </c>
    </row>
    <row r="1123" spans="1:6" x14ac:dyDescent="0.35">
      <c r="A1123" s="22">
        <v>46133</v>
      </c>
      <c r="B1123">
        <v>92.191000000000003</v>
      </c>
      <c r="C1123">
        <v>92.191000000000003</v>
      </c>
      <c r="D1123">
        <v>92.191000000000003</v>
      </c>
      <c r="E1123">
        <v>92.191000000000003</v>
      </c>
      <c r="F1123" s="23">
        <f t="shared" si="17"/>
        <v>5.6614887861070502E-3</v>
      </c>
    </row>
    <row r="1124" spans="1:6" x14ac:dyDescent="0.35">
      <c r="A1124" s="22">
        <v>46134</v>
      </c>
      <c r="B1124">
        <v>91.483000000000004</v>
      </c>
      <c r="C1124">
        <v>91.483000000000004</v>
      </c>
      <c r="D1124">
        <v>91.483000000000004</v>
      </c>
      <c r="E1124">
        <v>91.483000000000004</v>
      </c>
      <c r="F1124" s="23">
        <f t="shared" si="17"/>
        <v>-7.6797084314086887E-3</v>
      </c>
    </row>
    <row r="1125" spans="1:6" x14ac:dyDescent="0.35">
      <c r="A1125" s="22">
        <v>46135</v>
      </c>
      <c r="B1125">
        <v>91.078000000000003</v>
      </c>
      <c r="C1125">
        <v>91.078000000000003</v>
      </c>
      <c r="D1125">
        <v>91.078000000000003</v>
      </c>
      <c r="E1125">
        <v>91.078000000000003</v>
      </c>
      <c r="F1125" s="23">
        <f t="shared" si="17"/>
        <v>-4.4270520205940021E-3</v>
      </c>
    </row>
    <row r="1126" spans="1:6" x14ac:dyDescent="0.35">
      <c r="A1126" s="22">
        <v>46136</v>
      </c>
      <c r="B1126">
        <v>90.56</v>
      </c>
      <c r="C1126">
        <v>90.56</v>
      </c>
      <c r="D1126">
        <v>90.56</v>
      </c>
      <c r="E1126">
        <v>90.56</v>
      </c>
      <c r="F1126" s="23">
        <f t="shared" si="17"/>
        <v>-5.6874327499505991E-3</v>
      </c>
    </row>
    <row r="1127" spans="1:6" x14ac:dyDescent="0.35">
      <c r="A1127" s="22">
        <v>46139</v>
      </c>
      <c r="B1127">
        <v>91.042000000000002</v>
      </c>
      <c r="C1127">
        <v>91.042000000000002</v>
      </c>
      <c r="D1127">
        <v>91.042000000000002</v>
      </c>
      <c r="E1127">
        <v>91.042000000000002</v>
      </c>
      <c r="F1127" s="23">
        <f t="shared" si="17"/>
        <v>5.3224381625441618E-3</v>
      </c>
    </row>
    <row r="1128" spans="1:6" x14ac:dyDescent="0.35">
      <c r="A1128" s="22">
        <v>46140</v>
      </c>
      <c r="B1128">
        <v>90.725999999999999</v>
      </c>
      <c r="C1128">
        <v>90.725999999999999</v>
      </c>
      <c r="D1128">
        <v>90.725999999999999</v>
      </c>
      <c r="E1128">
        <v>90.725999999999999</v>
      </c>
      <c r="F1128" s="23">
        <f t="shared" si="17"/>
        <v>-3.4709255069089264E-3</v>
      </c>
    </row>
    <row r="1129" spans="1:6" x14ac:dyDescent="0.35">
      <c r="A1129" s="22">
        <v>46141</v>
      </c>
      <c r="B1129">
        <v>91.403000000000006</v>
      </c>
      <c r="C1129">
        <v>91.403000000000006</v>
      </c>
      <c r="D1129">
        <v>91.403000000000006</v>
      </c>
      <c r="E1129">
        <v>91.403000000000006</v>
      </c>
      <c r="F1129" s="23">
        <f t="shared" si="17"/>
        <v>7.4620285254503307E-3</v>
      </c>
    </row>
    <row r="1130" spans="1:6" x14ac:dyDescent="0.35">
      <c r="A1130" s="22">
        <v>46142</v>
      </c>
      <c r="B1130">
        <v>91.29</v>
      </c>
      <c r="C1130">
        <v>91.29</v>
      </c>
      <c r="D1130">
        <v>91.29</v>
      </c>
      <c r="E1130">
        <v>91.29</v>
      </c>
      <c r="F1130" s="23">
        <f t="shared" si="17"/>
        <v>-1.236283272977906E-3</v>
      </c>
    </row>
    <row r="1131" spans="1:6" x14ac:dyDescent="0.35">
      <c r="A1131" s="22">
        <v>46146</v>
      </c>
      <c r="B1131">
        <v>91.257000000000005</v>
      </c>
      <c r="C1131">
        <v>91.257000000000005</v>
      </c>
      <c r="D1131">
        <v>91.257000000000005</v>
      </c>
      <c r="E1131">
        <v>91.257000000000005</v>
      </c>
      <c r="F1131" s="23">
        <f t="shared" si="17"/>
        <v>-3.6148537627342809E-4</v>
      </c>
    </row>
    <row r="1132" spans="1:6" x14ac:dyDescent="0.35">
      <c r="A1132" s="22">
        <v>46147</v>
      </c>
      <c r="B1132">
        <v>91.156999999999996</v>
      </c>
      <c r="C1132">
        <v>91.156999999999996</v>
      </c>
      <c r="D1132">
        <v>91.156999999999996</v>
      </c>
      <c r="E1132">
        <v>91.156999999999996</v>
      </c>
      <c r="F1132" s="23">
        <f t="shared" si="17"/>
        <v>-1.0958063491020801E-3</v>
      </c>
    </row>
    <row r="1133" spans="1:6" x14ac:dyDescent="0.35">
      <c r="A1133" s="22">
        <v>46148</v>
      </c>
      <c r="B1133">
        <v>91.936999999999998</v>
      </c>
      <c r="C1133">
        <v>91.936999999999998</v>
      </c>
      <c r="D1133">
        <v>91.936999999999998</v>
      </c>
      <c r="E1133">
        <v>91.936999999999998</v>
      </c>
      <c r="F1133" s="23">
        <f t="shared" si="17"/>
        <v>8.5566659718946565E-3</v>
      </c>
    </row>
    <row r="1134" spans="1:6" x14ac:dyDescent="0.35">
      <c r="A1134" s="22">
        <v>46149</v>
      </c>
      <c r="B1134">
        <v>91.807000000000002</v>
      </c>
      <c r="C1134">
        <v>91.807000000000002</v>
      </c>
      <c r="D1134">
        <v>91.807000000000002</v>
      </c>
      <c r="E1134">
        <v>91.807000000000002</v>
      </c>
      <c r="F1134" s="23">
        <f t="shared" si="17"/>
        <v>-1.4140117689286735E-3</v>
      </c>
    </row>
    <row r="1135" spans="1:6" x14ac:dyDescent="0.35">
      <c r="A1135" s="22">
        <v>46150</v>
      </c>
      <c r="B1135">
        <v>91.524000000000001</v>
      </c>
      <c r="C1135">
        <v>91.524000000000001</v>
      </c>
      <c r="D1135">
        <v>91.524000000000001</v>
      </c>
      <c r="E1135">
        <v>91.524000000000001</v>
      </c>
      <c r="F1135" s="23">
        <f t="shared" si="17"/>
        <v>-3.0825536179158587E-3</v>
      </c>
    </row>
    <row r="1136" spans="1:6" x14ac:dyDescent="0.35">
      <c r="A1136" s="22">
        <v>46153</v>
      </c>
      <c r="B1136">
        <v>90.831000000000003</v>
      </c>
      <c r="C1136">
        <v>90.831000000000003</v>
      </c>
      <c r="D1136">
        <v>90.831000000000003</v>
      </c>
      <c r="E1136">
        <v>90.831000000000003</v>
      </c>
      <c r="F1136" s="23">
        <f t="shared" si="17"/>
        <v>-7.5717844499803098E-3</v>
      </c>
    </row>
    <row r="1137" spans="1:6" x14ac:dyDescent="0.35">
      <c r="A1137" s="22">
        <v>46154</v>
      </c>
      <c r="B1137">
        <v>89.637</v>
      </c>
      <c r="C1137">
        <v>89.637</v>
      </c>
      <c r="D1137">
        <v>89.637</v>
      </c>
      <c r="E1137">
        <v>89.637</v>
      </c>
      <c r="F1137" s="23">
        <f t="shared" si="17"/>
        <v>-1.3145291805661092E-2</v>
      </c>
    </row>
    <row r="1138" spans="1:6" x14ac:dyDescent="0.35">
      <c r="A1138" s="22">
        <v>46155</v>
      </c>
      <c r="B1138">
        <v>89.757000000000005</v>
      </c>
      <c r="C1138">
        <v>89.757000000000005</v>
      </c>
      <c r="D1138">
        <v>89.757000000000005</v>
      </c>
      <c r="E1138">
        <v>89.757000000000005</v>
      </c>
      <c r="F1138" s="23">
        <f t="shared" si="17"/>
        <v>1.338732889320309E-3</v>
      </c>
    </row>
    <row r="1139" spans="1:6" x14ac:dyDescent="0.35">
      <c r="A1139" s="22">
        <v>46156</v>
      </c>
      <c r="B1139">
        <v>90.364000000000004</v>
      </c>
      <c r="C1139">
        <v>90.364000000000004</v>
      </c>
      <c r="D1139">
        <v>90.364000000000004</v>
      </c>
      <c r="E1139">
        <v>90.364000000000004</v>
      </c>
      <c r="F1139" s="23">
        <f t="shared" si="17"/>
        <v>6.762703744554734E-3</v>
      </c>
    </row>
    <row r="1140" spans="1:6" x14ac:dyDescent="0.35">
      <c r="A1140" s="22">
        <v>46157</v>
      </c>
      <c r="B1140">
        <v>90.646000000000001</v>
      </c>
      <c r="C1140">
        <v>90.646000000000001</v>
      </c>
      <c r="D1140">
        <v>90.646000000000001</v>
      </c>
      <c r="E1140">
        <v>90.646000000000001</v>
      </c>
      <c r="F1140" s="23">
        <f t="shared" si="17"/>
        <v>3.1207117878800901E-3</v>
      </c>
    </row>
    <row r="1141" spans="1:6" x14ac:dyDescent="0.35">
      <c r="A1141" s="22">
        <v>46160</v>
      </c>
      <c r="B1141">
        <v>90.658000000000001</v>
      </c>
      <c r="C1141">
        <v>90.658000000000001</v>
      </c>
      <c r="D1141">
        <v>90.658000000000001</v>
      </c>
      <c r="E1141">
        <v>90.658000000000001</v>
      </c>
      <c r="F1141" s="23">
        <f t="shared" si="17"/>
        <v>1.3238311673985012E-4</v>
      </c>
    </row>
    <row r="1142" spans="1:6" x14ac:dyDescent="0.35">
      <c r="A1142" s="22">
        <v>46161</v>
      </c>
      <c r="B1142">
        <v>90.596999999999994</v>
      </c>
      <c r="C1142">
        <v>90.596999999999994</v>
      </c>
      <c r="D1142">
        <v>90.596999999999994</v>
      </c>
      <c r="E1142">
        <v>90.596999999999994</v>
      </c>
      <c r="F1142" s="23">
        <f t="shared" si="17"/>
        <v>-6.7285843499754073E-4</v>
      </c>
    </row>
    <row r="1143" spans="1:6" x14ac:dyDescent="0.35">
      <c r="A1143" s="22">
        <v>46162</v>
      </c>
      <c r="B1143">
        <v>90.786000000000001</v>
      </c>
      <c r="C1143">
        <v>90.786000000000001</v>
      </c>
      <c r="D1143">
        <v>90.786000000000001</v>
      </c>
      <c r="E1143">
        <v>90.786000000000001</v>
      </c>
      <c r="F1143" s="23">
        <f t="shared" si="17"/>
        <v>2.0861617934369481E-3</v>
      </c>
    </row>
    <row r="1144" spans="1:6" x14ac:dyDescent="0.35">
      <c r="A1144" s="22">
        <v>46163</v>
      </c>
      <c r="B1144">
        <v>90.614000000000004</v>
      </c>
      <c r="C1144">
        <v>90.614000000000004</v>
      </c>
      <c r="D1144">
        <v>90.614000000000004</v>
      </c>
      <c r="E1144">
        <v>90.614000000000004</v>
      </c>
      <c r="F1144" s="23">
        <f t="shared" si="17"/>
        <v>-1.8945652413367375E-3</v>
      </c>
    </row>
    <row r="1145" spans="1:6" x14ac:dyDescent="0.35">
      <c r="A1145" s="22">
        <v>46164</v>
      </c>
      <c r="B1145">
        <v>90.393000000000001</v>
      </c>
      <c r="C1145">
        <v>90.393000000000001</v>
      </c>
      <c r="D1145">
        <v>90.393000000000001</v>
      </c>
      <c r="E1145">
        <v>90.393000000000001</v>
      </c>
      <c r="F1145" s="23">
        <f t="shared" si="17"/>
        <v>-2.438916723685122E-3</v>
      </c>
    </row>
    <row r="1146" spans="1:6" x14ac:dyDescent="0.35">
      <c r="A1146" s="22">
        <v>46167</v>
      </c>
      <c r="B1146">
        <v>91.15</v>
      </c>
      <c r="C1146">
        <v>91.15</v>
      </c>
      <c r="D1146">
        <v>91.15</v>
      </c>
      <c r="E1146">
        <v>91.15</v>
      </c>
      <c r="F1146" s="23">
        <f t="shared" si="17"/>
        <v>8.3745422765037665E-3</v>
      </c>
    </row>
    <row r="1147" spans="1:6" x14ac:dyDescent="0.35">
      <c r="A1147" s="22">
        <v>46168</v>
      </c>
      <c r="B1147">
        <v>90.918999999999997</v>
      </c>
      <c r="C1147">
        <v>90.918999999999997</v>
      </c>
      <c r="D1147">
        <v>90.918999999999997</v>
      </c>
      <c r="E1147">
        <v>90.918999999999997</v>
      </c>
      <c r="F1147" s="23">
        <f t="shared" si="17"/>
        <v>-2.5342841470105183E-3</v>
      </c>
    </row>
    <row r="1148" spans="1:6" x14ac:dyDescent="0.35">
      <c r="A1148" s="22">
        <v>46169</v>
      </c>
      <c r="B1148">
        <v>90.986000000000004</v>
      </c>
      <c r="C1148">
        <v>90.986000000000004</v>
      </c>
      <c r="D1148">
        <v>90.986000000000004</v>
      </c>
      <c r="E1148">
        <v>90.986000000000004</v>
      </c>
      <c r="F1148" s="23">
        <f t="shared" si="17"/>
        <v>7.369196757554227E-4</v>
      </c>
    </row>
    <row r="1149" spans="1:6" x14ac:dyDescent="0.35">
      <c r="A1149" s="22">
        <v>46171</v>
      </c>
      <c r="B1149">
        <v>90.058999999999997</v>
      </c>
      <c r="C1149">
        <v>90.058999999999997</v>
      </c>
      <c r="D1149">
        <v>90.058999999999997</v>
      </c>
      <c r="E1149">
        <v>90.058999999999997</v>
      </c>
      <c r="F1149" s="23">
        <f t="shared" si="17"/>
        <v>-1.0188380629987105E-2</v>
      </c>
    </row>
    <row r="1150" spans="1:6" x14ac:dyDescent="0.35">
      <c r="A1150" s="22">
        <v>46174</v>
      </c>
      <c r="B1150">
        <v>89.677000000000007</v>
      </c>
      <c r="C1150">
        <v>89.677000000000007</v>
      </c>
      <c r="D1150">
        <v>89.677000000000007</v>
      </c>
      <c r="E1150">
        <v>89.677000000000007</v>
      </c>
      <c r="F1150" s="23">
        <f t="shared" si="17"/>
        <v>-4.2416637981766486E-3</v>
      </c>
    </row>
    <row r="1151" spans="1:6" x14ac:dyDescent="0.35">
      <c r="A1151" s="22">
        <v>46175</v>
      </c>
      <c r="B1151">
        <v>89.789000000000001</v>
      </c>
      <c r="C1151">
        <v>89.789000000000001</v>
      </c>
      <c r="D1151">
        <v>89.789000000000001</v>
      </c>
      <c r="E1151">
        <v>89.789000000000001</v>
      </c>
      <c r="F1151" s="23">
        <f t="shared" si="17"/>
        <v>1.2489267036140232E-3</v>
      </c>
    </row>
    <row r="1152" spans="1:6" x14ac:dyDescent="0.35">
      <c r="A1152" s="22">
        <v>46176</v>
      </c>
      <c r="B1152">
        <v>89.338999999999999</v>
      </c>
      <c r="C1152">
        <v>89.338999999999999</v>
      </c>
      <c r="D1152">
        <v>89.338999999999999</v>
      </c>
      <c r="E1152">
        <v>89.338999999999999</v>
      </c>
      <c r="F1152" s="23">
        <f t="shared" si="17"/>
        <v>-5.0117497689026813E-3</v>
      </c>
    </row>
    <row r="1153" spans="1:6" x14ac:dyDescent="0.35">
      <c r="A1153" s="22">
        <v>46177</v>
      </c>
      <c r="B1153">
        <v>89.66</v>
      </c>
      <c r="C1153">
        <v>89.66</v>
      </c>
      <c r="D1153">
        <v>89.66</v>
      </c>
      <c r="E1153">
        <v>89.66</v>
      </c>
      <c r="F1153" s="23">
        <f t="shared" si="17"/>
        <v>3.5930556643794754E-3</v>
      </c>
    </row>
    <row r="1154" spans="1:6" x14ac:dyDescent="0.35">
      <c r="A1154" s="22">
        <v>46178</v>
      </c>
      <c r="B1154">
        <v>89.149000000000001</v>
      </c>
      <c r="C1154">
        <v>89.149000000000001</v>
      </c>
      <c r="D1154">
        <v>89.149000000000001</v>
      </c>
      <c r="E1154">
        <v>89.149000000000001</v>
      </c>
      <c r="F1154" s="23">
        <f t="shared" si="17"/>
        <v>-5.699308498773095E-3</v>
      </c>
    </row>
    <row r="1155" spans="1:6" x14ac:dyDescent="0.35">
      <c r="A1155" s="22">
        <v>46181</v>
      </c>
      <c r="B1155">
        <v>88.632000000000005</v>
      </c>
      <c r="C1155">
        <v>88.632000000000005</v>
      </c>
      <c r="D1155">
        <v>88.632000000000005</v>
      </c>
      <c r="E1155">
        <v>88.632000000000005</v>
      </c>
      <c r="F1155" s="23">
        <f t="shared" ref="F1155:F1217" si="18">(B1155-B1154)/B1154</f>
        <v>-5.7992798573174784E-3</v>
      </c>
    </row>
    <row r="1156" spans="1:6" x14ac:dyDescent="0.35">
      <c r="A1156" s="22">
        <v>46182</v>
      </c>
      <c r="B1156">
        <v>88.867999999999995</v>
      </c>
      <c r="C1156">
        <v>88.867999999999995</v>
      </c>
      <c r="D1156">
        <v>88.867999999999995</v>
      </c>
      <c r="E1156">
        <v>88.867999999999995</v>
      </c>
      <c r="F1156" s="23">
        <f t="shared" si="18"/>
        <v>2.6626951890963758E-3</v>
      </c>
    </row>
    <row r="1157" spans="1:6" x14ac:dyDescent="0.35">
      <c r="A1157" s="22">
        <v>46183</v>
      </c>
      <c r="B1157">
        <v>88.545000000000002</v>
      </c>
      <c r="C1157">
        <v>88.545000000000002</v>
      </c>
      <c r="D1157">
        <v>88.545000000000002</v>
      </c>
      <c r="E1157">
        <v>88.545000000000002</v>
      </c>
      <c r="F1157" s="23">
        <f t="shared" si="18"/>
        <v>-3.6346041319709381E-3</v>
      </c>
    </row>
    <row r="1158" spans="1:6" x14ac:dyDescent="0.35">
      <c r="A1158" s="22">
        <v>46184</v>
      </c>
      <c r="B1158">
        <v>88.483999999999995</v>
      </c>
      <c r="C1158">
        <v>88.483999999999995</v>
      </c>
      <c r="D1158">
        <v>88.483999999999995</v>
      </c>
      <c r="E1158">
        <v>88.483999999999995</v>
      </c>
      <c r="F1158" s="23">
        <f t="shared" si="18"/>
        <v>-6.8891524083807161E-4</v>
      </c>
    </row>
    <row r="1159" spans="1:6" x14ac:dyDescent="0.35">
      <c r="A1159" s="22">
        <v>46185</v>
      </c>
      <c r="B1159">
        <v>89.295000000000002</v>
      </c>
      <c r="C1159">
        <v>89.295000000000002</v>
      </c>
      <c r="D1159">
        <v>89.295000000000002</v>
      </c>
      <c r="E1159">
        <v>89.295000000000002</v>
      </c>
      <c r="F1159" s="23">
        <f t="shared" si="18"/>
        <v>9.1654988472492996E-3</v>
      </c>
    </row>
    <row r="1160" spans="1:6" x14ac:dyDescent="0.35">
      <c r="A1160" s="22">
        <v>46188</v>
      </c>
      <c r="B1160">
        <v>90.043000000000006</v>
      </c>
      <c r="C1160">
        <v>90.043000000000006</v>
      </c>
      <c r="D1160">
        <v>90.043000000000006</v>
      </c>
      <c r="E1160">
        <v>90.043000000000006</v>
      </c>
      <c r="F1160" s="23">
        <f t="shared" si="18"/>
        <v>8.3767288202027512E-3</v>
      </c>
    </row>
    <row r="1161" spans="1:6" x14ac:dyDescent="0.35">
      <c r="A1161" s="22">
        <v>46189</v>
      </c>
      <c r="B1161">
        <v>90.561000000000007</v>
      </c>
      <c r="C1161">
        <v>90.561000000000007</v>
      </c>
      <c r="D1161">
        <v>90.561000000000007</v>
      </c>
      <c r="E1161">
        <v>90.561000000000007</v>
      </c>
      <c r="F1161" s="23">
        <f t="shared" si="18"/>
        <v>5.7528069922148381E-3</v>
      </c>
    </row>
    <row r="1162" spans="1:6" x14ac:dyDescent="0.35">
      <c r="A1162" s="22">
        <v>46190</v>
      </c>
      <c r="B1162">
        <v>90.293000000000006</v>
      </c>
      <c r="C1162">
        <v>90.293000000000006</v>
      </c>
      <c r="D1162">
        <v>90.293000000000006</v>
      </c>
      <c r="E1162">
        <v>90.293000000000006</v>
      </c>
      <c r="F1162" s="23">
        <f t="shared" si="18"/>
        <v>-2.9593312794690945E-3</v>
      </c>
    </row>
    <row r="1163" spans="1:6" x14ac:dyDescent="0.35">
      <c r="A1163" s="22">
        <v>46191</v>
      </c>
      <c r="B1163">
        <v>90.522000000000006</v>
      </c>
      <c r="C1163">
        <v>90.522000000000006</v>
      </c>
      <c r="D1163">
        <v>90.522000000000006</v>
      </c>
      <c r="E1163">
        <v>90.522000000000006</v>
      </c>
      <c r="F1163" s="23">
        <f t="shared" si="18"/>
        <v>2.5361877443434064E-3</v>
      </c>
    </row>
    <row r="1164" spans="1:6" x14ac:dyDescent="0.35">
      <c r="A1164" s="22">
        <v>46192</v>
      </c>
      <c r="B1164">
        <v>90.14</v>
      </c>
      <c r="C1164">
        <v>90.14</v>
      </c>
      <c r="D1164">
        <v>90.14</v>
      </c>
      <c r="E1164">
        <v>90.14</v>
      </c>
      <c r="F1164" s="23">
        <f t="shared" si="18"/>
        <v>-4.2199686264113145E-3</v>
      </c>
    </row>
    <row r="1165" spans="1:6" x14ac:dyDescent="0.35">
      <c r="A1165" s="22">
        <v>46195</v>
      </c>
      <c r="B1165">
        <v>90.091999999999999</v>
      </c>
      <c r="C1165">
        <v>90.091999999999999</v>
      </c>
      <c r="D1165">
        <v>90.091999999999999</v>
      </c>
      <c r="E1165">
        <v>90.091999999999999</v>
      </c>
      <c r="F1165" s="23">
        <f t="shared" si="18"/>
        <v>-5.3250499223432243E-4</v>
      </c>
    </row>
    <row r="1166" spans="1:6" x14ac:dyDescent="0.35">
      <c r="A1166" s="22">
        <v>46196</v>
      </c>
      <c r="B1166">
        <v>89.575000000000003</v>
      </c>
      <c r="C1166">
        <v>89.575000000000003</v>
      </c>
      <c r="D1166">
        <v>89.575000000000003</v>
      </c>
      <c r="E1166">
        <v>89.575000000000003</v>
      </c>
      <c r="F1166" s="23">
        <f t="shared" si="18"/>
        <v>-5.7385783421391012E-3</v>
      </c>
    </row>
    <row r="1167" spans="1:6" x14ac:dyDescent="0.35">
      <c r="A1167" s="22">
        <v>46197</v>
      </c>
      <c r="B1167">
        <v>89.933000000000007</v>
      </c>
      <c r="C1167">
        <v>89.933000000000007</v>
      </c>
      <c r="D1167">
        <v>89.933000000000007</v>
      </c>
      <c r="E1167">
        <v>89.933000000000007</v>
      </c>
      <c r="F1167" s="23">
        <f t="shared" si="18"/>
        <v>3.9966508512420213E-3</v>
      </c>
    </row>
    <row r="1168" spans="1:6" x14ac:dyDescent="0.35">
      <c r="A1168" s="22">
        <v>46198</v>
      </c>
      <c r="B1168">
        <v>89.712999999999994</v>
      </c>
      <c r="C1168">
        <v>89.712999999999994</v>
      </c>
      <c r="D1168">
        <v>89.712999999999994</v>
      </c>
      <c r="E1168">
        <v>89.712999999999994</v>
      </c>
      <c r="F1168" s="23">
        <f t="shared" si="18"/>
        <v>-2.4462655532453388E-3</v>
      </c>
    </row>
    <row r="1169" spans="1:6" x14ac:dyDescent="0.35">
      <c r="A1169" s="22">
        <v>46202</v>
      </c>
      <c r="B1169">
        <v>90.043000000000006</v>
      </c>
      <c r="C1169">
        <v>90.043000000000006</v>
      </c>
      <c r="D1169">
        <v>90.043000000000006</v>
      </c>
      <c r="E1169">
        <v>90.043000000000006</v>
      </c>
      <c r="F1169" s="23">
        <f t="shared" si="18"/>
        <v>3.6783966649204967E-3</v>
      </c>
    </row>
    <row r="1170" spans="1:6" x14ac:dyDescent="0.35">
      <c r="A1170" s="22">
        <v>46203</v>
      </c>
      <c r="B1170">
        <v>89.838999999999999</v>
      </c>
      <c r="C1170">
        <v>89.838999999999999</v>
      </c>
      <c r="D1170">
        <v>89.838999999999999</v>
      </c>
      <c r="E1170">
        <v>89.838999999999999</v>
      </c>
      <c r="F1170" s="23">
        <f t="shared" si="18"/>
        <v>-2.2655842208723358E-3</v>
      </c>
    </row>
    <row r="1171" spans="1:6" x14ac:dyDescent="0.35">
      <c r="A1171" s="22">
        <v>46204</v>
      </c>
      <c r="B1171">
        <v>90.301000000000002</v>
      </c>
      <c r="C1171">
        <v>90.301000000000002</v>
      </c>
      <c r="D1171">
        <v>90.301000000000002</v>
      </c>
      <c r="E1171">
        <v>90.301000000000002</v>
      </c>
      <c r="F1171" s="23">
        <f t="shared" si="18"/>
        <v>5.1425327530360233E-3</v>
      </c>
    </row>
    <row r="1172" spans="1:6" x14ac:dyDescent="0.35">
      <c r="A1172" s="22">
        <v>46205</v>
      </c>
      <c r="B1172">
        <v>90.864999999999995</v>
      </c>
      <c r="C1172">
        <v>90.864999999999995</v>
      </c>
      <c r="D1172">
        <v>90.864999999999995</v>
      </c>
      <c r="E1172">
        <v>90.864999999999995</v>
      </c>
      <c r="F1172" s="23">
        <f t="shared" si="18"/>
        <v>6.245778009102811E-3</v>
      </c>
    </row>
    <row r="1173" spans="1:6" x14ac:dyDescent="0.35">
      <c r="A1173" s="22">
        <v>46206</v>
      </c>
      <c r="B1173">
        <v>91.296000000000006</v>
      </c>
      <c r="C1173">
        <v>91.296000000000006</v>
      </c>
      <c r="D1173">
        <v>91.296000000000006</v>
      </c>
      <c r="E1173">
        <v>91.296000000000006</v>
      </c>
      <c r="F1173" s="23">
        <f t="shared" si="18"/>
        <v>4.7433005007429885E-3</v>
      </c>
    </row>
    <row r="1174" spans="1:6" x14ac:dyDescent="0.35">
      <c r="A1174" s="22">
        <v>46209</v>
      </c>
      <c r="B1174">
        <v>91.409000000000006</v>
      </c>
      <c r="C1174">
        <v>91.409000000000006</v>
      </c>
      <c r="D1174">
        <v>91.409000000000006</v>
      </c>
      <c r="E1174">
        <v>91.409000000000006</v>
      </c>
      <c r="F1174" s="23">
        <f t="shared" si="18"/>
        <v>1.2377322117069699E-3</v>
      </c>
    </row>
    <row r="1175" spans="1:6" x14ac:dyDescent="0.35">
      <c r="A1175" s="22">
        <v>46210</v>
      </c>
      <c r="B1175">
        <v>91.519000000000005</v>
      </c>
      <c r="C1175">
        <v>91.519000000000005</v>
      </c>
      <c r="D1175">
        <v>91.519000000000005</v>
      </c>
      <c r="E1175">
        <v>91.519000000000005</v>
      </c>
      <c r="F1175" s="23">
        <f t="shared" si="18"/>
        <v>1.2033825990876109E-3</v>
      </c>
    </row>
    <row r="1176" spans="1:6" x14ac:dyDescent="0.35">
      <c r="A1176" s="22">
        <v>46211</v>
      </c>
      <c r="B1176">
        <v>90.033000000000001</v>
      </c>
      <c r="C1176">
        <v>90.033000000000001</v>
      </c>
      <c r="D1176">
        <v>90.033000000000001</v>
      </c>
      <c r="E1176">
        <v>90.033000000000001</v>
      </c>
      <c r="F1176" s="23">
        <f t="shared" si="18"/>
        <v>-1.6237065527376873E-2</v>
      </c>
    </row>
    <row r="1177" spans="1:6" x14ac:dyDescent="0.35">
      <c r="A1177" s="22">
        <v>46212</v>
      </c>
      <c r="B1177">
        <v>90.335999999999999</v>
      </c>
      <c r="C1177">
        <v>90.335999999999999</v>
      </c>
      <c r="D1177">
        <v>90.335999999999999</v>
      </c>
      <c r="E1177">
        <v>90.335999999999999</v>
      </c>
      <c r="F1177" s="23">
        <f t="shared" si="18"/>
        <v>3.365432674685918E-3</v>
      </c>
    </row>
    <row r="1178" spans="1:6" x14ac:dyDescent="0.35">
      <c r="A1178" s="22">
        <v>46213</v>
      </c>
      <c r="B1178">
        <v>90.944000000000003</v>
      </c>
      <c r="C1178">
        <v>90.944000000000003</v>
      </c>
      <c r="D1178">
        <v>90.944000000000003</v>
      </c>
      <c r="E1178">
        <v>90.944000000000003</v>
      </c>
      <c r="F1178" s="23">
        <f t="shared" si="18"/>
        <v>6.7304286220333433E-3</v>
      </c>
    </row>
    <row r="1179" spans="1:6" x14ac:dyDescent="0.35">
      <c r="A1179" s="22">
        <v>46216</v>
      </c>
      <c r="B1179">
        <v>91.316999999999993</v>
      </c>
      <c r="C1179">
        <v>91.316999999999993</v>
      </c>
      <c r="D1179">
        <v>91.316999999999993</v>
      </c>
      <c r="E1179">
        <v>91.316999999999993</v>
      </c>
      <c r="F1179" s="23">
        <f t="shared" si="18"/>
        <v>4.1014250527796276E-3</v>
      </c>
    </row>
    <row r="1180" spans="1:6" x14ac:dyDescent="0.35">
      <c r="A1180" s="22">
        <v>46217</v>
      </c>
      <c r="B1180">
        <v>90.866</v>
      </c>
      <c r="C1180">
        <v>90.866</v>
      </c>
      <c r="D1180">
        <v>90.866</v>
      </c>
      <c r="E1180">
        <v>90.866</v>
      </c>
      <c r="F1180" s="23">
        <f t="shared" si="18"/>
        <v>-4.9388394274887852E-3</v>
      </c>
    </row>
    <row r="1181" spans="1:6" x14ac:dyDescent="0.35">
      <c r="A1181" s="22">
        <v>46218</v>
      </c>
      <c r="B1181">
        <v>91.126000000000005</v>
      </c>
      <c r="C1181">
        <v>91.126000000000005</v>
      </c>
      <c r="D1181">
        <v>91.126000000000005</v>
      </c>
      <c r="E1181">
        <v>91.126000000000005</v>
      </c>
      <c r="F1181" s="23">
        <f t="shared" si="18"/>
        <v>2.8613562828781404E-3</v>
      </c>
    </row>
    <row r="1182" spans="1:6" x14ac:dyDescent="0.35">
      <c r="A1182" s="22">
        <v>46219</v>
      </c>
      <c r="B1182">
        <v>91.028000000000006</v>
      </c>
      <c r="C1182">
        <v>91.028000000000006</v>
      </c>
      <c r="D1182">
        <v>91.028000000000006</v>
      </c>
      <c r="E1182">
        <v>91.028000000000006</v>
      </c>
      <c r="F1182" s="23">
        <f t="shared" si="18"/>
        <v>-1.0754340144415312E-3</v>
      </c>
    </row>
    <row r="1183" spans="1:6" x14ac:dyDescent="0.35">
      <c r="A1183" s="22">
        <v>46220</v>
      </c>
      <c r="B1183">
        <v>91.46</v>
      </c>
      <c r="C1183">
        <v>91.46</v>
      </c>
      <c r="D1183">
        <v>91.46</v>
      </c>
      <c r="E1183">
        <v>91.46</v>
      </c>
      <c r="F1183" s="23">
        <f t="shared" si="18"/>
        <v>4.7457925034054133E-3</v>
      </c>
    </row>
    <row r="1184" spans="1:6" x14ac:dyDescent="0.35">
      <c r="A1184" s="22">
        <v>46223</v>
      </c>
      <c r="B1184">
        <v>91.216999999999999</v>
      </c>
      <c r="C1184">
        <v>91.216999999999999</v>
      </c>
      <c r="D1184">
        <v>91.216999999999999</v>
      </c>
      <c r="E1184">
        <v>91.216999999999999</v>
      </c>
      <c r="F1184" s="23">
        <f t="shared" si="18"/>
        <v>-2.6568991909030723E-3</v>
      </c>
    </row>
    <row r="1185" spans="1:6" x14ac:dyDescent="0.35">
      <c r="A1185" s="22">
        <v>46224</v>
      </c>
      <c r="B1185">
        <v>90.974000000000004</v>
      </c>
      <c r="C1185">
        <v>90.974000000000004</v>
      </c>
      <c r="D1185">
        <v>90.974000000000004</v>
      </c>
      <c r="E1185">
        <v>90.974000000000004</v>
      </c>
      <c r="F1185" s="23">
        <f t="shared" si="18"/>
        <v>-2.6639771095299672E-3</v>
      </c>
    </row>
    <row r="1186" spans="1:6" x14ac:dyDescent="0.35">
      <c r="A1186" s="22">
        <v>46225</v>
      </c>
      <c r="B1186">
        <v>90.385999999999996</v>
      </c>
      <c r="C1186">
        <v>90.385999999999996</v>
      </c>
      <c r="D1186">
        <v>90.385999999999996</v>
      </c>
      <c r="E1186">
        <v>90.385999999999996</v>
      </c>
      <c r="F1186" s="23">
        <f t="shared" si="18"/>
        <v>-6.4633851430079808E-3</v>
      </c>
    </row>
    <row r="1187" spans="1:6" x14ac:dyDescent="0.35">
      <c r="A1187" s="22">
        <v>46226</v>
      </c>
      <c r="B1187">
        <v>89.801000000000002</v>
      </c>
      <c r="C1187">
        <v>89.801000000000002</v>
      </c>
      <c r="D1187">
        <v>89.801000000000002</v>
      </c>
      <c r="E1187">
        <v>89.801000000000002</v>
      </c>
      <c r="F1187" s="23">
        <f t="shared" si="18"/>
        <v>-6.4722412763037838E-3</v>
      </c>
    </row>
    <row r="1188" spans="1:6" x14ac:dyDescent="0.35">
      <c r="A1188" s="22">
        <v>46227</v>
      </c>
      <c r="B1188">
        <v>89.78</v>
      </c>
      <c r="C1188">
        <v>89.78</v>
      </c>
      <c r="D1188">
        <v>89.78</v>
      </c>
      <c r="E1188">
        <v>89.78</v>
      </c>
      <c r="F1188" s="23">
        <f t="shared" si="18"/>
        <v>-2.3385040255677325E-4</v>
      </c>
    </row>
    <row r="1189" spans="1:6" x14ac:dyDescent="0.35">
      <c r="A1189" s="22">
        <v>46230</v>
      </c>
      <c r="B1189">
        <v>90.350999999999999</v>
      </c>
      <c r="C1189">
        <v>90.350999999999999</v>
      </c>
      <c r="D1189">
        <v>90.350999999999999</v>
      </c>
      <c r="E1189">
        <v>90.350999999999999</v>
      </c>
      <c r="F1189" s="23">
        <f t="shared" si="18"/>
        <v>6.359991089329449E-3</v>
      </c>
    </row>
    <row r="1190" spans="1:6" x14ac:dyDescent="0.35">
      <c r="A1190" s="22">
        <v>46231</v>
      </c>
      <c r="B1190">
        <v>90.376000000000005</v>
      </c>
      <c r="C1190">
        <v>90.376000000000005</v>
      </c>
      <c r="D1190">
        <v>90.376000000000005</v>
      </c>
      <c r="E1190">
        <v>90.376000000000005</v>
      </c>
      <c r="F1190" s="23">
        <f t="shared" si="18"/>
        <v>2.7669865303101996E-4</v>
      </c>
    </row>
    <row r="1191" spans="1:6" x14ac:dyDescent="0.35">
      <c r="A1191" s="22">
        <v>46232</v>
      </c>
      <c r="B1191">
        <v>91.012</v>
      </c>
      <c r="C1191">
        <v>91.012</v>
      </c>
      <c r="D1191">
        <v>91.012</v>
      </c>
      <c r="E1191">
        <v>91.012</v>
      </c>
      <c r="F1191" s="23">
        <f t="shared" si="18"/>
        <v>7.0372665309373691E-3</v>
      </c>
    </row>
    <row r="1192" spans="1:6" x14ac:dyDescent="0.35">
      <c r="A1192" s="22">
        <v>46233</v>
      </c>
      <c r="B1192">
        <v>91.343000000000004</v>
      </c>
      <c r="C1192">
        <v>91.343000000000004</v>
      </c>
      <c r="D1192">
        <v>91.343000000000004</v>
      </c>
      <c r="E1192">
        <v>91.343000000000004</v>
      </c>
      <c r="F1192" s="23">
        <f t="shared" si="18"/>
        <v>3.6368830483892571E-3</v>
      </c>
    </row>
    <row r="1193" spans="1:6" x14ac:dyDescent="0.35">
      <c r="A1193" s="22">
        <v>46234</v>
      </c>
      <c r="B1193">
        <v>92.052999999999997</v>
      </c>
      <c r="C1193">
        <v>92.052999999999997</v>
      </c>
      <c r="D1193">
        <v>92.052999999999997</v>
      </c>
      <c r="E1193">
        <v>92.052999999999997</v>
      </c>
      <c r="F1193" s="23">
        <f t="shared" si="18"/>
        <v>7.7728999485455232E-3</v>
      </c>
    </row>
    <row r="1194" spans="1:6" x14ac:dyDescent="0.35">
      <c r="A1194" s="22">
        <v>46237</v>
      </c>
      <c r="B1194">
        <v>93.605999999999995</v>
      </c>
      <c r="C1194">
        <v>93.605999999999995</v>
      </c>
      <c r="D1194">
        <v>93.605999999999995</v>
      </c>
      <c r="E1194">
        <v>93.605999999999995</v>
      </c>
      <c r="F1194" s="23">
        <f t="shared" si="18"/>
        <v>1.6870715783298722E-2</v>
      </c>
    </row>
    <row r="1195" spans="1:6" x14ac:dyDescent="0.35">
      <c r="A1195" s="22">
        <v>46238</v>
      </c>
      <c r="B1195">
        <v>93.356999999999999</v>
      </c>
      <c r="C1195">
        <v>93.356999999999999</v>
      </c>
      <c r="D1195">
        <v>93.356999999999999</v>
      </c>
      <c r="E1195">
        <v>93.356999999999999</v>
      </c>
      <c r="F1195" s="23">
        <f t="shared" si="18"/>
        <v>-2.6600858919299535E-3</v>
      </c>
    </row>
    <row r="1196" spans="1:6" x14ac:dyDescent="0.35">
      <c r="A1196" s="22">
        <v>46239</v>
      </c>
      <c r="B1196">
        <v>92.832999999999998</v>
      </c>
      <c r="C1196">
        <v>92.832999999999998</v>
      </c>
      <c r="D1196">
        <v>92.832999999999998</v>
      </c>
      <c r="E1196">
        <v>92.832999999999998</v>
      </c>
      <c r="F1196" s="23">
        <f t="shared" si="18"/>
        <v>-5.6128624527352093E-3</v>
      </c>
    </row>
    <row r="1197" spans="1:6" x14ac:dyDescent="0.35">
      <c r="A1197" s="22">
        <v>46240</v>
      </c>
      <c r="B1197">
        <v>92.308000000000007</v>
      </c>
      <c r="C1197">
        <v>92.308000000000007</v>
      </c>
      <c r="D1197">
        <v>92.308000000000007</v>
      </c>
      <c r="E1197">
        <v>92.308000000000007</v>
      </c>
      <c r="F1197" s="23">
        <f t="shared" si="18"/>
        <v>-5.6553165361454601E-3</v>
      </c>
    </row>
    <row r="1198" spans="1:6" x14ac:dyDescent="0.35">
      <c r="A1198" s="22">
        <v>46241</v>
      </c>
      <c r="B1198">
        <v>92.326999999999998</v>
      </c>
      <c r="C1198">
        <v>92.326999999999998</v>
      </c>
      <c r="D1198">
        <v>92.326999999999998</v>
      </c>
      <c r="E1198">
        <v>92.326999999999998</v>
      </c>
      <c r="F1198" s="23">
        <f t="shared" si="18"/>
        <v>2.0583264722441439E-4</v>
      </c>
    </row>
    <row r="1199" spans="1:6" x14ac:dyDescent="0.35">
      <c r="A1199" s="22">
        <v>46244</v>
      </c>
      <c r="B1199">
        <v>92.414000000000001</v>
      </c>
      <c r="C1199">
        <v>92.414000000000001</v>
      </c>
      <c r="D1199">
        <v>92.414000000000001</v>
      </c>
      <c r="E1199">
        <v>92.414000000000001</v>
      </c>
      <c r="F1199" s="23">
        <f t="shared" si="18"/>
        <v>9.423029016431087E-4</v>
      </c>
    </row>
    <row r="1200" spans="1:6" x14ac:dyDescent="0.35">
      <c r="A1200" s="22">
        <v>46245</v>
      </c>
      <c r="B1200">
        <v>92.153999999999996</v>
      </c>
      <c r="C1200">
        <v>92.153999999999996</v>
      </c>
      <c r="D1200">
        <v>92.153999999999996</v>
      </c>
      <c r="E1200">
        <v>92.153999999999996</v>
      </c>
      <c r="F1200" s="23">
        <f t="shared" si="18"/>
        <v>-2.8134265371048228E-3</v>
      </c>
    </row>
    <row r="1201" spans="1:6" x14ac:dyDescent="0.35">
      <c r="A1201" s="22">
        <v>46246</v>
      </c>
      <c r="B1201">
        <v>91.745999999999995</v>
      </c>
      <c r="C1201">
        <v>91.745999999999995</v>
      </c>
      <c r="D1201">
        <v>91.745999999999995</v>
      </c>
      <c r="E1201">
        <v>91.745999999999995</v>
      </c>
      <c r="F1201" s="23">
        <f t="shared" si="18"/>
        <v>-4.427371573670175E-3</v>
      </c>
    </row>
    <row r="1202" spans="1:6" x14ac:dyDescent="0.35">
      <c r="A1202" s="22">
        <v>46247</v>
      </c>
      <c r="B1202">
        <v>91.796999999999997</v>
      </c>
      <c r="C1202">
        <v>91.796999999999997</v>
      </c>
      <c r="D1202">
        <v>91.796999999999997</v>
      </c>
      <c r="E1202">
        <v>91.796999999999997</v>
      </c>
      <c r="F1202" s="23">
        <f t="shared" si="18"/>
        <v>5.5588254528809902E-4</v>
      </c>
    </row>
    <row r="1203" spans="1:6" x14ac:dyDescent="0.35">
      <c r="A1203" s="22">
        <v>46248</v>
      </c>
      <c r="B1203">
        <v>91.683000000000007</v>
      </c>
      <c r="C1203">
        <v>91.683000000000007</v>
      </c>
      <c r="D1203">
        <v>91.683000000000007</v>
      </c>
      <c r="E1203">
        <v>91.683000000000007</v>
      </c>
      <c r="F1203" s="23">
        <f t="shared" si="18"/>
        <v>-1.2418706493675187E-3</v>
      </c>
    </row>
    <row r="1204" spans="1:6" x14ac:dyDescent="0.35">
      <c r="A1204" s="22">
        <v>46251</v>
      </c>
      <c r="B1204">
        <v>91.054000000000002</v>
      </c>
      <c r="C1204">
        <v>91.054000000000002</v>
      </c>
      <c r="D1204">
        <v>91.054000000000002</v>
      </c>
      <c r="E1204">
        <v>91.054000000000002</v>
      </c>
      <c r="F1204" s="23">
        <f t="shared" si="18"/>
        <v>-6.860595748393975E-3</v>
      </c>
    </row>
    <row r="1205" spans="1:6" x14ac:dyDescent="0.35">
      <c r="A1205" s="22">
        <v>46252</v>
      </c>
      <c r="B1205">
        <v>90.498000000000005</v>
      </c>
      <c r="C1205">
        <v>90.498000000000005</v>
      </c>
      <c r="D1205">
        <v>90.498000000000005</v>
      </c>
      <c r="E1205">
        <v>90.498000000000005</v>
      </c>
      <c r="F1205" s="23">
        <f t="shared" si="18"/>
        <v>-6.106266611022002E-3</v>
      </c>
    </row>
    <row r="1206" spans="1:6" x14ac:dyDescent="0.35">
      <c r="A1206" s="22">
        <v>46253</v>
      </c>
      <c r="B1206">
        <v>90.403000000000006</v>
      </c>
      <c r="C1206">
        <v>90.403000000000006</v>
      </c>
      <c r="D1206">
        <v>90.403000000000006</v>
      </c>
      <c r="E1206">
        <v>90.403000000000006</v>
      </c>
      <c r="F1206" s="23">
        <f t="shared" si="18"/>
        <v>-1.0497469557338157E-3</v>
      </c>
    </row>
    <row r="1207" spans="1:6" x14ac:dyDescent="0.35">
      <c r="A1207" s="22">
        <v>46254</v>
      </c>
      <c r="B1207">
        <v>90.742999999999995</v>
      </c>
      <c r="C1207">
        <v>90.742999999999995</v>
      </c>
      <c r="D1207">
        <v>90.742999999999995</v>
      </c>
      <c r="E1207">
        <v>90.742999999999995</v>
      </c>
      <c r="F1207" s="23">
        <f t="shared" si="18"/>
        <v>3.7609371370417926E-3</v>
      </c>
    </row>
    <row r="1208" spans="1:6" x14ac:dyDescent="0.35">
      <c r="A1208" s="22">
        <v>46255</v>
      </c>
      <c r="B1208">
        <v>90.866</v>
      </c>
      <c r="C1208">
        <v>90.866</v>
      </c>
      <c r="D1208">
        <v>90.866</v>
      </c>
      <c r="E1208">
        <v>90.866</v>
      </c>
      <c r="F1208" s="23">
        <f t="shared" si="18"/>
        <v>1.3554764554842211E-3</v>
      </c>
    </row>
    <row r="1209" spans="1:6" x14ac:dyDescent="0.35">
      <c r="A1209" s="22">
        <v>46258</v>
      </c>
      <c r="B1209">
        <v>90.995999999999995</v>
      </c>
      <c r="C1209">
        <v>90.995999999999995</v>
      </c>
      <c r="D1209">
        <v>90.995999999999995</v>
      </c>
      <c r="E1209">
        <v>90.995999999999995</v>
      </c>
      <c r="F1209" s="23">
        <f t="shared" si="18"/>
        <v>1.4306781414389921E-3</v>
      </c>
    </row>
    <row r="1210" spans="1:6" x14ac:dyDescent="0.35">
      <c r="A1210" s="22">
        <v>46259</v>
      </c>
      <c r="B1210">
        <v>91.185000000000002</v>
      </c>
      <c r="C1210">
        <v>91.185000000000002</v>
      </c>
      <c r="D1210">
        <v>91.185000000000002</v>
      </c>
      <c r="E1210">
        <v>91.185000000000002</v>
      </c>
      <c r="F1210" s="23">
        <f t="shared" si="18"/>
        <v>2.0770143742582878E-3</v>
      </c>
    </row>
    <row r="1211" spans="1:6" x14ac:dyDescent="0.35">
      <c r="A1211" s="22">
        <v>46260</v>
      </c>
      <c r="B1211">
        <v>91.05</v>
      </c>
      <c r="C1211">
        <v>91.05</v>
      </c>
      <c r="D1211">
        <v>91.05</v>
      </c>
      <c r="E1211">
        <v>91.05</v>
      </c>
      <c r="F1211" s="23">
        <f t="shared" si="18"/>
        <v>-1.4805066622800363E-3</v>
      </c>
    </row>
    <row r="1212" spans="1:6" x14ac:dyDescent="0.35">
      <c r="A1212" s="22">
        <v>46261</v>
      </c>
      <c r="B1212">
        <v>90.686999999999998</v>
      </c>
      <c r="C1212">
        <v>90.686999999999998</v>
      </c>
      <c r="D1212">
        <v>90.686999999999998</v>
      </c>
      <c r="E1212">
        <v>90.686999999999998</v>
      </c>
      <c r="F1212" s="23">
        <f t="shared" si="18"/>
        <v>-3.9868204283360744E-3</v>
      </c>
    </row>
    <row r="1213" spans="1:6" x14ac:dyDescent="0.35">
      <c r="A1213" s="22">
        <v>46262</v>
      </c>
      <c r="B1213">
        <v>91.177000000000007</v>
      </c>
      <c r="C1213">
        <v>91.177000000000007</v>
      </c>
      <c r="D1213">
        <v>91.177000000000007</v>
      </c>
      <c r="E1213">
        <v>91.177000000000007</v>
      </c>
      <c r="F1213" s="23">
        <f t="shared" si="18"/>
        <v>5.4032000176432024E-3</v>
      </c>
    </row>
    <row r="1214" spans="1:6" x14ac:dyDescent="0.35">
      <c r="A1214" s="22">
        <v>46265</v>
      </c>
      <c r="B1214">
        <v>90.783000000000001</v>
      </c>
      <c r="C1214">
        <v>90.783000000000001</v>
      </c>
      <c r="D1214">
        <v>90.783000000000001</v>
      </c>
      <c r="E1214">
        <v>90.783000000000001</v>
      </c>
      <c r="F1214" s="23">
        <f t="shared" si="18"/>
        <v>-4.3212652313632319E-3</v>
      </c>
    </row>
    <row r="1215" spans="1:6" x14ac:dyDescent="0.35">
      <c r="A1215" s="22">
        <v>46266</v>
      </c>
      <c r="B1215">
        <v>90.79</v>
      </c>
      <c r="C1215">
        <v>90.79</v>
      </c>
      <c r="D1215">
        <v>90.79</v>
      </c>
      <c r="E1215">
        <v>90.79</v>
      </c>
      <c r="F1215" s="23">
        <f t="shared" si="18"/>
        <v>7.710694733601007E-5</v>
      </c>
    </row>
    <row r="1216" spans="1:6" x14ac:dyDescent="0.35">
      <c r="A1216" s="22">
        <v>46267</v>
      </c>
      <c r="B1216">
        <v>90.501999999999995</v>
      </c>
      <c r="C1216">
        <v>90.501999999999995</v>
      </c>
      <c r="D1216">
        <v>90.501999999999995</v>
      </c>
      <c r="E1216">
        <v>90.501999999999995</v>
      </c>
      <c r="F1216" s="23">
        <f t="shared" si="18"/>
        <v>-3.1721555237362144E-3</v>
      </c>
    </row>
    <row r="1217" spans="1:6" x14ac:dyDescent="0.35">
      <c r="A1217" s="22">
        <v>46268</v>
      </c>
      <c r="B1217">
        <v>90.635000000000005</v>
      </c>
      <c r="C1217">
        <v>90.635000000000005</v>
      </c>
      <c r="D1217">
        <v>90.635000000000005</v>
      </c>
      <c r="E1217">
        <v>90.635000000000005</v>
      </c>
      <c r="F1217" s="23">
        <f t="shared" si="18"/>
        <v>1.4695807827452409E-3</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E3DDF-9185-443C-9887-5D77633529AA}">
  <dimension ref="A1"/>
  <sheetViews>
    <sheetView workbookViewId="0"/>
  </sheetViews>
  <sheetFormatPr defaultRowHeight="14.5" x14ac:dyDescent="0.3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F1A3-821C-47C4-9F45-69A0AEABD978}">
  <dimension ref="A3:K18"/>
  <sheetViews>
    <sheetView topLeftCell="A7" workbookViewId="0">
      <selection activeCell="E12" sqref="E12:K17"/>
    </sheetView>
  </sheetViews>
  <sheetFormatPr defaultRowHeight="14.5" x14ac:dyDescent="0.35"/>
  <cols>
    <col min="1" max="1" width="21.81640625" bestFit="1" customWidth="1"/>
    <col min="2" max="2" width="22.7265625" bestFit="1" customWidth="1"/>
    <col min="5" max="5" width="21.81640625" bestFit="1" customWidth="1"/>
    <col min="6" max="6" width="10.7265625" bestFit="1" customWidth="1"/>
    <col min="7" max="7" width="19.36328125" bestFit="1" customWidth="1"/>
    <col min="8" max="8" width="17.81640625" bestFit="1" customWidth="1"/>
    <col min="9" max="9" width="19.36328125" bestFit="1" customWidth="1"/>
    <col min="10" max="10" width="22.7265625" bestFit="1" customWidth="1"/>
    <col min="11" max="11" width="28.81640625" bestFit="1" customWidth="1"/>
  </cols>
  <sheetData>
    <row r="3" spans="1:11" x14ac:dyDescent="0.35">
      <c r="A3" s="30" t="s">
        <v>40</v>
      </c>
      <c r="B3" t="s">
        <v>43</v>
      </c>
      <c r="E3" s="30" t="s">
        <v>40</v>
      </c>
      <c r="F3" t="s">
        <v>44</v>
      </c>
      <c r="G3" t="s">
        <v>46</v>
      </c>
      <c r="H3" t="s">
        <v>45</v>
      </c>
    </row>
    <row r="4" spans="1:11" x14ac:dyDescent="0.35">
      <c r="A4" s="31" t="s">
        <v>15</v>
      </c>
      <c r="B4" s="21">
        <v>0.13700580620808572</v>
      </c>
      <c r="E4" s="31" t="s">
        <v>15</v>
      </c>
      <c r="F4" s="29">
        <v>0.90837894447099332</v>
      </c>
      <c r="G4">
        <v>1</v>
      </c>
      <c r="H4" s="29">
        <v>0.18677568368313538</v>
      </c>
    </row>
    <row r="5" spans="1:11" x14ac:dyDescent="0.35">
      <c r="A5" s="31" t="s">
        <v>16</v>
      </c>
      <c r="B5" s="21">
        <v>0.1279259553110042</v>
      </c>
      <c r="E5" s="31" t="s">
        <v>16</v>
      </c>
      <c r="F5" s="29">
        <v>0.8105804470271909</v>
      </c>
      <c r="G5">
        <v>1</v>
      </c>
      <c r="H5" s="29">
        <v>0.78879421545738693</v>
      </c>
    </row>
    <row r="6" spans="1:11" x14ac:dyDescent="0.35">
      <c r="A6" s="31" t="s">
        <v>18</v>
      </c>
      <c r="B6" s="21">
        <v>0.14665463788390565</v>
      </c>
      <c r="E6" s="31" t="s">
        <v>18</v>
      </c>
      <c r="F6" s="29">
        <v>1</v>
      </c>
      <c r="G6">
        <v>1</v>
      </c>
      <c r="H6" s="29">
        <v>0.28464112021083937</v>
      </c>
    </row>
    <row r="7" spans="1:11" x14ac:dyDescent="0.35">
      <c r="A7" s="31" t="s">
        <v>17</v>
      </c>
      <c r="B7" s="21">
        <v>0.10649326949809036</v>
      </c>
      <c r="E7" s="31" t="s">
        <v>17</v>
      </c>
      <c r="F7" s="29">
        <v>0.64228369453879008</v>
      </c>
      <c r="G7">
        <v>1</v>
      </c>
      <c r="H7" s="29">
        <v>0.49000632497261232</v>
      </c>
    </row>
    <row r="8" spans="1:11" x14ac:dyDescent="0.35">
      <c r="A8" s="31" t="s">
        <v>41</v>
      </c>
      <c r="B8" s="21">
        <v>0.51807966890108592</v>
      </c>
      <c r="E8" s="31" t="s">
        <v>41</v>
      </c>
      <c r="F8" s="29">
        <v>3.361243086036974</v>
      </c>
      <c r="G8">
        <v>4</v>
      </c>
      <c r="H8" s="29">
        <v>1.7502173443239739</v>
      </c>
    </row>
    <row r="12" spans="1:11" x14ac:dyDescent="0.35">
      <c r="E12" s="30" t="s">
        <v>40</v>
      </c>
      <c r="F12" t="s">
        <v>44</v>
      </c>
      <c r="G12" t="s">
        <v>47</v>
      </c>
      <c r="H12" t="s">
        <v>45</v>
      </c>
      <c r="I12" t="s">
        <v>46</v>
      </c>
      <c r="J12" t="s">
        <v>42</v>
      </c>
      <c r="K12" t="s">
        <v>43</v>
      </c>
    </row>
    <row r="13" spans="1:11" x14ac:dyDescent="0.35">
      <c r="A13" s="30" t="s">
        <v>40</v>
      </c>
      <c r="B13" t="s">
        <v>42</v>
      </c>
      <c r="E13" s="31" t="s">
        <v>15</v>
      </c>
      <c r="F13" s="29">
        <v>0.90837894447099332</v>
      </c>
      <c r="G13" s="21">
        <v>-1.2329963405884034E-2</v>
      </c>
      <c r="H13" s="29">
        <v>0.18677568368313538</v>
      </c>
      <c r="I13">
        <v>1</v>
      </c>
      <c r="J13" s="21">
        <v>9.0589353123074368E-2</v>
      </c>
      <c r="K13" s="21">
        <v>0.13700580620808572</v>
      </c>
    </row>
    <row r="14" spans="1:11" x14ac:dyDescent="0.35">
      <c r="A14" s="31" t="s">
        <v>15</v>
      </c>
      <c r="B14" s="21">
        <v>9.0589353123074368E-2</v>
      </c>
      <c r="E14" s="31" t="s">
        <v>16</v>
      </c>
      <c r="F14" s="29">
        <v>0.8105804470271909</v>
      </c>
      <c r="G14" s="21">
        <v>6.7070431676839459E-2</v>
      </c>
      <c r="H14" s="29">
        <v>0.78879421545738693</v>
      </c>
      <c r="I14">
        <v>1</v>
      </c>
      <c r="J14" s="21">
        <v>0.1659072535561803</v>
      </c>
      <c r="K14" s="21">
        <v>0.1279259553110042</v>
      </c>
    </row>
    <row r="15" spans="1:11" x14ac:dyDescent="0.35">
      <c r="A15" s="31" t="s">
        <v>16</v>
      </c>
      <c r="B15" s="21">
        <v>0.1659072535561803</v>
      </c>
      <c r="E15" s="31" t="s">
        <v>18</v>
      </c>
      <c r="F15" s="29">
        <v>1</v>
      </c>
      <c r="G15" s="21">
        <v>0</v>
      </c>
      <c r="H15" s="29">
        <v>0.28464112021083937</v>
      </c>
      <c r="I15">
        <v>1</v>
      </c>
      <c r="J15" s="21">
        <v>0.1067439404113899</v>
      </c>
      <c r="K15" s="21">
        <v>0.14665463788390565</v>
      </c>
    </row>
    <row r="16" spans="1:11" x14ac:dyDescent="0.35">
      <c r="A16" s="31" t="s">
        <v>18</v>
      </c>
      <c r="B16" s="21">
        <v>0.1067439404113899</v>
      </c>
      <c r="E16" s="31" t="s">
        <v>17</v>
      </c>
      <c r="F16" s="29">
        <v>0.64228369453879008</v>
      </c>
      <c r="G16" s="21">
        <v>2.5370923349042646E-2</v>
      </c>
      <c r="H16" s="29">
        <v>0.49000632497261232</v>
      </c>
      <c r="I16">
        <v>1</v>
      </c>
      <c r="J16" s="21">
        <v>0.11718237562107725</v>
      </c>
      <c r="K16" s="21">
        <v>0.10649326949809036</v>
      </c>
    </row>
    <row r="17" spans="1:11" x14ac:dyDescent="0.35">
      <c r="A17" s="31" t="s">
        <v>17</v>
      </c>
      <c r="B17" s="21">
        <v>0.11718237562107725</v>
      </c>
      <c r="E17" s="31" t="s">
        <v>41</v>
      </c>
      <c r="F17" s="29">
        <v>3.361243086036974</v>
      </c>
      <c r="G17" s="21">
        <v>8.0111391619998071E-2</v>
      </c>
      <c r="H17" s="29">
        <v>1.7502173443239739</v>
      </c>
      <c r="I17">
        <v>4</v>
      </c>
      <c r="J17" s="21">
        <v>0.48042292271172182</v>
      </c>
      <c r="K17" s="21">
        <v>0.51807966890108592</v>
      </c>
    </row>
    <row r="18" spans="1:11" x14ac:dyDescent="0.35">
      <c r="A18" s="31" t="s">
        <v>41</v>
      </c>
      <c r="B18" s="21">
        <v>0.48042292271172182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257"/>
  <sheetViews>
    <sheetView zoomScale="70" zoomScaleNormal="70" workbookViewId="0">
      <selection activeCell="H10" sqref="H10"/>
    </sheetView>
  </sheetViews>
  <sheetFormatPr defaultColWidth="8.54296875" defaultRowHeight="14.5" x14ac:dyDescent="0.35"/>
  <cols>
    <col min="1" max="1" width="10.08984375" customWidth="1"/>
    <col min="6" max="6" width="9.36328125" customWidth="1"/>
    <col min="11" max="11" width="9.36328125" customWidth="1"/>
    <col min="16" max="16" width="9.36328125" customWidth="1"/>
  </cols>
  <sheetData>
    <row r="1" spans="1:19" x14ac:dyDescent="0.35">
      <c r="A1" t="s">
        <v>33</v>
      </c>
      <c r="B1" t="s">
        <v>34</v>
      </c>
      <c r="C1" t="s">
        <v>35</v>
      </c>
      <c r="D1" t="s">
        <v>39</v>
      </c>
    </row>
    <row r="2" spans="1:19" x14ac:dyDescent="0.35">
      <c r="A2" s="25">
        <v>44445</v>
      </c>
      <c r="B2" s="24">
        <v>22637.89</v>
      </c>
      <c r="C2" s="24">
        <v>22637.89</v>
      </c>
      <c r="F2" s="22"/>
      <c r="K2" s="22"/>
      <c r="P2" s="22"/>
    </row>
    <row r="3" spans="1:19" x14ac:dyDescent="0.35">
      <c r="A3" s="25">
        <v>44446</v>
      </c>
      <c r="B3" s="24">
        <v>22604.92</v>
      </c>
      <c r="C3" s="24">
        <v>22604.92</v>
      </c>
      <c r="D3" s="23">
        <f t="shared" ref="D3:D66" si="0">(B3-B2)/B2</f>
        <v>-1.4564078189266388E-3</v>
      </c>
      <c r="E3" s="21"/>
      <c r="F3" s="22"/>
      <c r="I3" s="21"/>
      <c r="K3" s="22"/>
      <c r="N3" s="21"/>
      <c r="P3" s="22"/>
      <c r="S3" s="21"/>
    </row>
    <row r="4" spans="1:19" x14ac:dyDescent="0.35">
      <c r="A4" s="25">
        <v>44447</v>
      </c>
      <c r="B4" s="24">
        <v>22641.43</v>
      </c>
      <c r="C4" s="24">
        <v>22641.43</v>
      </c>
      <c r="D4" s="23">
        <f t="shared" si="0"/>
        <v>1.6151351121792088E-3</v>
      </c>
      <c r="E4" s="21"/>
      <c r="F4" s="22"/>
      <c r="I4" s="21"/>
      <c r="K4" s="22"/>
      <c r="N4" s="21"/>
      <c r="P4" s="22"/>
      <c r="S4" s="21"/>
    </row>
    <row r="5" spans="1:19" x14ac:dyDescent="0.35">
      <c r="A5" s="25">
        <v>44448</v>
      </c>
      <c r="B5" s="24">
        <v>22691.66</v>
      </c>
      <c r="C5" s="24">
        <v>22691.66</v>
      </c>
      <c r="D5" s="23">
        <f t="shared" si="0"/>
        <v>2.2184994499022176E-3</v>
      </c>
      <c r="E5" s="21"/>
      <c r="F5" s="22"/>
      <c r="I5" s="21"/>
      <c r="K5" s="22"/>
      <c r="N5" s="21"/>
      <c r="P5" s="22"/>
      <c r="S5" s="21"/>
    </row>
    <row r="6" spans="1:19" x14ac:dyDescent="0.35">
      <c r="A6" s="25">
        <v>44452</v>
      </c>
      <c r="B6" s="24">
        <v>22716.99</v>
      </c>
      <c r="C6" s="24">
        <v>22716.99</v>
      </c>
      <c r="D6" s="23">
        <f t="shared" si="0"/>
        <v>1.1162691491059598E-3</v>
      </c>
      <c r="E6" s="21"/>
      <c r="F6" s="22"/>
      <c r="I6" s="21"/>
      <c r="K6" s="22"/>
      <c r="N6" s="21"/>
      <c r="P6" s="22"/>
      <c r="S6" s="21"/>
    </row>
    <row r="7" spans="1:19" x14ac:dyDescent="0.35">
      <c r="A7" s="25">
        <v>44453</v>
      </c>
      <c r="B7" s="24">
        <v>22797.33</v>
      </c>
      <c r="C7" s="24">
        <v>22797.33</v>
      </c>
      <c r="D7" s="23">
        <f t="shared" si="0"/>
        <v>3.5365600812431639E-3</v>
      </c>
      <c r="E7" s="21"/>
      <c r="F7" s="22"/>
      <c r="I7" s="21"/>
      <c r="K7" s="22"/>
      <c r="N7" s="21"/>
      <c r="P7" s="22"/>
      <c r="S7" s="21"/>
    </row>
    <row r="8" spans="1:19" x14ac:dyDescent="0.35">
      <c r="A8" s="25">
        <v>44454</v>
      </c>
      <c r="B8" s="24">
        <v>22975.200000000001</v>
      </c>
      <c r="C8" s="24">
        <v>22975.200000000001</v>
      </c>
      <c r="D8" s="23">
        <f t="shared" si="0"/>
        <v>7.8022294716091302E-3</v>
      </c>
      <c r="E8" s="21"/>
      <c r="F8" s="22"/>
      <c r="I8" s="21"/>
      <c r="K8" s="22"/>
      <c r="N8" s="21"/>
      <c r="P8" s="22"/>
      <c r="S8" s="21"/>
    </row>
    <row r="9" spans="1:19" x14ac:dyDescent="0.35">
      <c r="A9" s="25">
        <v>44455</v>
      </c>
      <c r="B9" s="24">
        <v>23106.080000000002</v>
      </c>
      <c r="C9" s="24">
        <v>23106.080000000002</v>
      </c>
      <c r="D9" s="23">
        <f t="shared" si="0"/>
        <v>5.6965771788711744E-3</v>
      </c>
      <c r="E9" s="21"/>
      <c r="F9" s="22"/>
      <c r="I9" s="21"/>
      <c r="K9" s="22"/>
      <c r="N9" s="21"/>
      <c r="P9" s="22"/>
      <c r="S9" s="21"/>
    </row>
    <row r="10" spans="1:19" x14ac:dyDescent="0.35">
      <c r="A10" s="25">
        <v>44456</v>
      </c>
      <c r="B10" s="24">
        <v>22987.759999999998</v>
      </c>
      <c r="C10" s="24">
        <v>22987.759999999998</v>
      </c>
      <c r="D10" s="23">
        <f t="shared" si="0"/>
        <v>-5.1207301281742008E-3</v>
      </c>
      <c r="F10" s="22"/>
      <c r="I10" s="21"/>
      <c r="K10" s="22"/>
      <c r="N10" s="21"/>
      <c r="P10" s="22"/>
      <c r="S10" s="21"/>
    </row>
    <row r="11" spans="1:19" x14ac:dyDescent="0.35">
      <c r="A11" s="25">
        <v>44459</v>
      </c>
      <c r="B11" s="24">
        <v>22681.84</v>
      </c>
      <c r="C11" s="24">
        <v>22681.84</v>
      </c>
      <c r="D11" s="23">
        <f t="shared" si="0"/>
        <v>-1.3307951709953397E-2</v>
      </c>
      <c r="F11" s="22"/>
      <c r="I11" s="21"/>
      <c r="K11" s="22"/>
      <c r="N11" s="21"/>
      <c r="P11" s="22"/>
      <c r="S11" s="21"/>
    </row>
    <row r="12" spans="1:19" x14ac:dyDescent="0.35">
      <c r="A12" s="25">
        <v>44460</v>
      </c>
      <c r="B12" s="24">
        <v>22865.1</v>
      </c>
      <c r="C12" s="24">
        <v>22865.1</v>
      </c>
      <c r="D12" s="23">
        <f t="shared" si="0"/>
        <v>8.07959142644505E-3</v>
      </c>
      <c r="F12" s="22"/>
      <c r="I12" s="21"/>
      <c r="K12" s="22"/>
      <c r="N12" s="21"/>
      <c r="P12" s="22"/>
      <c r="S12" s="21"/>
    </row>
    <row r="13" spans="1:19" x14ac:dyDescent="0.35">
      <c r="A13" s="25">
        <v>44461</v>
      </c>
      <c r="B13" s="24">
        <v>22932.93</v>
      </c>
      <c r="C13" s="24">
        <v>22932.93</v>
      </c>
      <c r="D13" s="23">
        <f t="shared" si="0"/>
        <v>2.9665297768215206E-3</v>
      </c>
      <c r="F13" s="22"/>
      <c r="I13" s="21"/>
      <c r="K13" s="22"/>
      <c r="N13" s="21"/>
      <c r="P13" s="22"/>
      <c r="S13" s="21"/>
    </row>
    <row r="14" spans="1:19" x14ac:dyDescent="0.35">
      <c r="A14" s="25">
        <v>44462</v>
      </c>
      <c r="B14" s="24">
        <v>23261.84</v>
      </c>
      <c r="C14" s="24">
        <v>23261.84</v>
      </c>
      <c r="D14" s="23">
        <f t="shared" si="0"/>
        <v>1.434225805424775E-2</v>
      </c>
      <c r="F14" s="22"/>
      <c r="I14" s="21"/>
      <c r="K14" s="22"/>
      <c r="N14" s="21"/>
      <c r="P14" s="22"/>
      <c r="S14" s="21"/>
    </row>
    <row r="15" spans="1:19" x14ac:dyDescent="0.35">
      <c r="A15" s="25">
        <v>44463</v>
      </c>
      <c r="B15" s="24">
        <v>23241.27</v>
      </c>
      <c r="C15" s="24">
        <v>23241.27</v>
      </c>
      <c r="D15" s="23">
        <f t="shared" si="0"/>
        <v>-8.8428086514221187E-4</v>
      </c>
      <c r="F15" s="22"/>
      <c r="I15" s="21"/>
      <c r="K15" s="22"/>
      <c r="N15" s="21"/>
      <c r="P15" s="22"/>
      <c r="S15" s="21"/>
    </row>
    <row r="16" spans="1:19" x14ac:dyDescent="0.35">
      <c r="A16" s="25">
        <v>44466</v>
      </c>
      <c r="B16" s="24">
        <v>23236.799999999999</v>
      </c>
      <c r="C16" s="24">
        <v>23236.799999999999</v>
      </c>
      <c r="D16" s="23">
        <f t="shared" si="0"/>
        <v>-1.9233028143475655E-4</v>
      </c>
      <c r="F16" s="22"/>
      <c r="I16" s="21"/>
      <c r="K16" s="22"/>
      <c r="N16" s="21"/>
      <c r="P16" s="22"/>
      <c r="S16" s="21"/>
    </row>
    <row r="17" spans="1:19" x14ac:dyDescent="0.35">
      <c r="A17" s="25">
        <v>44467</v>
      </c>
      <c r="B17" s="24">
        <v>23094.75</v>
      </c>
      <c r="C17" s="24">
        <v>23094.75</v>
      </c>
      <c r="D17" s="23">
        <f t="shared" si="0"/>
        <v>-6.1131481098946191E-3</v>
      </c>
      <c r="F17" s="22"/>
      <c r="I17" s="21"/>
      <c r="K17" s="22"/>
      <c r="N17" s="21"/>
      <c r="P17" s="22"/>
      <c r="S17" s="21"/>
    </row>
    <row r="18" spans="1:19" x14ac:dyDescent="0.35">
      <c r="A18" s="25">
        <v>44468</v>
      </c>
      <c r="B18" s="24">
        <v>23081.51</v>
      </c>
      <c r="C18" s="24">
        <v>23081.51</v>
      </c>
      <c r="D18" s="23">
        <f t="shared" si="0"/>
        <v>-5.7329046644807153E-4</v>
      </c>
      <c r="F18" s="22"/>
      <c r="I18" s="21"/>
      <c r="K18" s="22"/>
      <c r="N18" s="21"/>
      <c r="P18" s="22"/>
      <c r="S18" s="21"/>
    </row>
    <row r="19" spans="1:19" x14ac:dyDescent="0.35">
      <c r="A19" s="25">
        <v>44469</v>
      </c>
      <c r="B19" s="24">
        <v>23029.08</v>
      </c>
      <c r="C19" s="24">
        <v>23029.08</v>
      </c>
      <c r="D19" s="23">
        <f t="shared" si="0"/>
        <v>-2.2715151651688582E-3</v>
      </c>
      <c r="F19" s="22"/>
      <c r="I19" s="21"/>
      <c r="K19" s="22"/>
      <c r="N19" s="21"/>
      <c r="P19" s="22"/>
      <c r="S19" s="21"/>
    </row>
    <row r="20" spans="1:19" x14ac:dyDescent="0.35">
      <c r="A20" s="25">
        <v>44470</v>
      </c>
      <c r="B20" s="24">
        <v>22969.86</v>
      </c>
      <c r="C20" s="24">
        <v>22969.86</v>
      </c>
      <c r="D20" s="23">
        <f t="shared" si="0"/>
        <v>-2.5715312986884912E-3</v>
      </c>
      <c r="F20" s="22"/>
      <c r="I20" s="21"/>
      <c r="K20" s="22"/>
      <c r="N20" s="21"/>
      <c r="P20" s="22"/>
      <c r="S20" s="21"/>
    </row>
    <row r="21" spans="1:19" x14ac:dyDescent="0.35">
      <c r="A21" s="25">
        <v>44473</v>
      </c>
      <c r="B21" s="24">
        <v>23225.63</v>
      </c>
      <c r="C21" s="24">
        <v>23225.63</v>
      </c>
      <c r="D21" s="23">
        <f t="shared" si="0"/>
        <v>1.1135026508650921E-2</v>
      </c>
      <c r="F21" s="22"/>
      <c r="I21" s="21"/>
      <c r="K21" s="22"/>
      <c r="N21" s="21"/>
      <c r="P21" s="22"/>
      <c r="S21" s="21"/>
    </row>
    <row r="22" spans="1:19" x14ac:dyDescent="0.35">
      <c r="A22" s="25">
        <v>44474</v>
      </c>
      <c r="B22" s="24">
        <v>23377.08</v>
      </c>
      <c r="C22" s="24">
        <v>23377.08</v>
      </c>
      <c r="D22" s="23">
        <f t="shared" si="0"/>
        <v>6.5208134289576093E-3</v>
      </c>
      <c r="F22" s="22"/>
      <c r="I22" s="21"/>
      <c r="K22" s="22"/>
      <c r="N22" s="21"/>
      <c r="P22" s="22"/>
      <c r="S22" s="21"/>
    </row>
    <row r="23" spans="1:19" x14ac:dyDescent="0.35">
      <c r="A23" s="25">
        <v>44475</v>
      </c>
      <c r="B23" s="24">
        <v>23154.34</v>
      </c>
      <c r="C23" s="24">
        <v>23154.34</v>
      </c>
      <c r="D23" s="23">
        <f t="shared" si="0"/>
        <v>-9.528136105963687E-3</v>
      </c>
      <c r="F23" s="22"/>
      <c r="I23" s="21"/>
      <c r="K23" s="22"/>
      <c r="N23" s="21"/>
      <c r="P23" s="22"/>
      <c r="S23" s="21"/>
    </row>
    <row r="24" spans="1:19" x14ac:dyDescent="0.35">
      <c r="A24" s="25">
        <v>44476</v>
      </c>
      <c r="B24" s="24">
        <v>23392.45</v>
      </c>
      <c r="C24" s="24">
        <v>23392.45</v>
      </c>
      <c r="D24" s="23">
        <f t="shared" si="0"/>
        <v>1.0283601260066173E-2</v>
      </c>
      <c r="F24" s="22"/>
      <c r="I24" s="21"/>
      <c r="K24" s="22"/>
      <c r="N24" s="21"/>
      <c r="P24" s="22"/>
      <c r="S24" s="21"/>
    </row>
    <row r="25" spans="1:19" x14ac:dyDescent="0.35">
      <c r="A25" s="25">
        <v>44477</v>
      </c>
      <c r="B25" s="24">
        <v>23507.21</v>
      </c>
      <c r="C25" s="24">
        <v>23507.21</v>
      </c>
      <c r="D25" s="23">
        <f t="shared" si="0"/>
        <v>4.9058563767368701E-3</v>
      </c>
      <c r="F25" s="22"/>
      <c r="I25" s="21"/>
      <c r="K25" s="22"/>
      <c r="N25" s="21"/>
      <c r="P25" s="22"/>
      <c r="S25" s="21"/>
    </row>
    <row r="26" spans="1:19" x14ac:dyDescent="0.35">
      <c r="A26" s="25">
        <v>44480</v>
      </c>
      <c r="B26" s="24">
        <v>23603.3</v>
      </c>
      <c r="C26" s="24">
        <v>23603.3</v>
      </c>
      <c r="D26" s="23">
        <f t="shared" si="0"/>
        <v>4.0876820345757811E-3</v>
      </c>
      <c r="F26" s="22"/>
      <c r="I26" s="21"/>
      <c r="K26" s="22"/>
      <c r="L26" s="24"/>
      <c r="M26" s="24"/>
      <c r="N26" s="21"/>
      <c r="P26" s="22"/>
      <c r="S26" s="21"/>
    </row>
    <row r="27" spans="1:19" x14ac:dyDescent="0.35">
      <c r="A27" s="25">
        <v>44481</v>
      </c>
      <c r="B27" s="24">
        <v>23685.8</v>
      </c>
      <c r="C27" s="24">
        <v>23685.8</v>
      </c>
      <c r="D27" s="23">
        <f t="shared" si="0"/>
        <v>3.4952739659284931E-3</v>
      </c>
      <c r="F27" s="22"/>
      <c r="I27" s="21"/>
      <c r="K27" s="22"/>
      <c r="L27" s="24"/>
      <c r="M27" s="24"/>
      <c r="N27" s="21"/>
      <c r="P27" s="22"/>
      <c r="S27" s="21"/>
    </row>
    <row r="28" spans="1:19" x14ac:dyDescent="0.35">
      <c r="A28" s="25">
        <v>44482</v>
      </c>
      <c r="B28" s="24">
        <v>23914.47</v>
      </c>
      <c r="C28" s="24">
        <v>23914.47</v>
      </c>
      <c r="D28" s="23">
        <f t="shared" si="0"/>
        <v>9.6543076442426219E-3</v>
      </c>
      <c r="F28" s="22"/>
      <c r="I28" s="21"/>
      <c r="K28" s="22"/>
      <c r="L28" s="24"/>
      <c r="M28" s="24"/>
      <c r="N28" s="21"/>
      <c r="P28" s="22"/>
      <c r="S28" s="21"/>
    </row>
    <row r="29" spans="1:19" x14ac:dyDescent="0.35">
      <c r="A29" s="25">
        <v>44483</v>
      </c>
      <c r="B29" s="24">
        <v>24126.87</v>
      </c>
      <c r="C29" s="24">
        <v>24126.87</v>
      </c>
      <c r="D29" s="23">
        <f t="shared" si="0"/>
        <v>8.8816519872695412E-3</v>
      </c>
      <c r="F29" s="22"/>
      <c r="I29" s="21"/>
      <c r="K29" s="22"/>
      <c r="L29" s="24"/>
      <c r="M29" s="24"/>
      <c r="N29" s="21"/>
      <c r="P29" s="22"/>
      <c r="S29" s="21"/>
    </row>
    <row r="30" spans="1:19" x14ac:dyDescent="0.35">
      <c r="A30" s="25">
        <v>44487</v>
      </c>
      <c r="B30" s="24">
        <v>24305.72</v>
      </c>
      <c r="C30" s="24">
        <v>24305.72</v>
      </c>
      <c r="D30" s="23">
        <f t="shared" si="0"/>
        <v>7.4128969070584869E-3</v>
      </c>
      <c r="F30" s="22"/>
      <c r="I30" s="21"/>
      <c r="K30" s="22"/>
      <c r="L30" s="24"/>
      <c r="M30" s="24"/>
      <c r="N30" s="21"/>
      <c r="P30" s="22"/>
      <c r="S30" s="21"/>
    </row>
    <row r="31" spans="1:19" x14ac:dyDescent="0.35">
      <c r="A31" s="25">
        <v>44488</v>
      </c>
      <c r="B31" s="24">
        <v>24109.39</v>
      </c>
      <c r="C31" s="24">
        <v>24109.39</v>
      </c>
      <c r="D31" s="23">
        <f t="shared" si="0"/>
        <v>-8.0775224926478931E-3</v>
      </c>
      <c r="F31" s="22"/>
      <c r="I31" s="21"/>
      <c r="K31" s="22"/>
      <c r="L31" s="24"/>
      <c r="M31" s="24"/>
      <c r="N31" s="21"/>
      <c r="P31" s="22"/>
      <c r="S31" s="21"/>
    </row>
    <row r="32" spans="1:19" x14ac:dyDescent="0.35">
      <c r="A32" s="25">
        <v>44489</v>
      </c>
      <c r="B32" s="24">
        <v>23820</v>
      </c>
      <c r="C32" s="24">
        <v>23820</v>
      </c>
      <c r="D32" s="23">
        <f t="shared" si="0"/>
        <v>-1.2003207049203627E-2</v>
      </c>
      <c r="F32" s="22"/>
      <c r="I32" s="21"/>
      <c r="K32" s="22"/>
      <c r="L32" s="24"/>
      <c r="M32" s="24"/>
      <c r="N32" s="21"/>
      <c r="P32" s="22"/>
      <c r="S32" s="21"/>
    </row>
    <row r="33" spans="1:19" x14ac:dyDescent="0.35">
      <c r="A33" s="25">
        <v>44490</v>
      </c>
      <c r="B33" s="24">
        <v>23698.38</v>
      </c>
      <c r="C33" s="24">
        <v>23698.38</v>
      </c>
      <c r="D33" s="23">
        <f t="shared" si="0"/>
        <v>-5.105793450881569E-3</v>
      </c>
      <c r="F33" s="22"/>
      <c r="I33" s="21"/>
      <c r="K33" s="22"/>
      <c r="L33" s="24"/>
      <c r="M33" s="24"/>
      <c r="N33" s="21"/>
      <c r="P33" s="22"/>
      <c r="S33" s="21"/>
    </row>
    <row r="34" spans="1:19" x14ac:dyDescent="0.35">
      <c r="A34" s="25">
        <v>44491</v>
      </c>
      <c r="B34" s="24">
        <v>23563.8</v>
      </c>
      <c r="C34" s="24">
        <v>23563.8</v>
      </c>
      <c r="D34" s="23">
        <f t="shared" si="0"/>
        <v>-5.6788691885268838E-3</v>
      </c>
      <c r="F34" s="22"/>
      <c r="I34" s="21"/>
      <c r="K34" s="22"/>
      <c r="L34" s="24"/>
      <c r="M34" s="24"/>
      <c r="N34" s="21"/>
      <c r="P34" s="22"/>
      <c r="S34" s="21"/>
    </row>
    <row r="35" spans="1:19" x14ac:dyDescent="0.35">
      <c r="A35" s="25">
        <v>44494</v>
      </c>
      <c r="B35" s="24">
        <v>23463.94</v>
      </c>
      <c r="C35" s="24">
        <v>23463.94</v>
      </c>
      <c r="D35" s="23">
        <f t="shared" si="0"/>
        <v>-4.2378563729110153E-3</v>
      </c>
      <c r="F35" s="22"/>
      <c r="I35" s="21"/>
      <c r="K35" s="22"/>
      <c r="L35" s="24"/>
      <c r="M35" s="24"/>
      <c r="N35" s="21"/>
      <c r="P35" s="22"/>
      <c r="S35" s="21"/>
    </row>
    <row r="36" spans="1:19" x14ac:dyDescent="0.35">
      <c r="A36" s="25">
        <v>44495</v>
      </c>
      <c r="B36" s="24">
        <v>23731.73</v>
      </c>
      <c r="C36" s="24">
        <v>23731.73</v>
      </c>
      <c r="D36" s="23">
        <f t="shared" si="0"/>
        <v>1.1412831775055719E-2</v>
      </c>
      <c r="F36" s="22"/>
      <c r="I36" s="21"/>
      <c r="K36" s="22"/>
      <c r="L36" s="24"/>
      <c r="M36" s="24"/>
      <c r="N36" s="21"/>
      <c r="P36" s="22"/>
      <c r="S36" s="21"/>
    </row>
    <row r="37" spans="1:19" x14ac:dyDescent="0.35">
      <c r="A37" s="25">
        <v>44496</v>
      </c>
      <c r="B37" s="24">
        <v>23708.68</v>
      </c>
      <c r="C37" s="24">
        <v>23708.68</v>
      </c>
      <c r="D37" s="23">
        <f t="shared" si="0"/>
        <v>-9.7127348069438147E-4</v>
      </c>
      <c r="F37" s="22"/>
      <c r="I37" s="21"/>
      <c r="K37" s="22"/>
      <c r="L37" s="24"/>
      <c r="M37" s="24"/>
      <c r="N37" s="21"/>
      <c r="P37" s="22"/>
      <c r="S37" s="21"/>
    </row>
    <row r="38" spans="1:19" x14ac:dyDescent="0.35">
      <c r="A38" s="25">
        <v>44497</v>
      </c>
      <c r="B38" s="24">
        <v>23259.72</v>
      </c>
      <c r="C38" s="24">
        <v>23259.72</v>
      </c>
      <c r="D38" s="23">
        <f t="shared" si="0"/>
        <v>-1.8936524513384935E-2</v>
      </c>
      <c r="F38" s="22"/>
      <c r="I38" s="21"/>
      <c r="K38" s="22"/>
      <c r="L38" s="24"/>
      <c r="M38" s="24"/>
      <c r="N38" s="21"/>
      <c r="P38" s="22"/>
      <c r="S38" s="21"/>
    </row>
    <row r="39" spans="1:19" x14ac:dyDescent="0.35">
      <c r="A39" s="25">
        <v>44498</v>
      </c>
      <c r="B39" s="24">
        <v>23100.97</v>
      </c>
      <c r="C39" s="24">
        <v>23100.97</v>
      </c>
      <c r="D39" s="23">
        <f t="shared" si="0"/>
        <v>-6.8251036555900067E-3</v>
      </c>
      <c r="F39" s="22"/>
      <c r="I39" s="21"/>
      <c r="K39" s="22"/>
      <c r="N39" s="21"/>
      <c r="P39" s="22"/>
      <c r="S39" s="21"/>
    </row>
    <row r="40" spans="1:19" x14ac:dyDescent="0.35">
      <c r="A40" s="25">
        <v>44501</v>
      </c>
      <c r="B40" s="24">
        <v>23431.96</v>
      </c>
      <c r="C40" s="24">
        <v>23431.96</v>
      </c>
      <c r="D40" s="23">
        <f t="shared" si="0"/>
        <v>1.4327969777892354E-2</v>
      </c>
      <c r="F40" s="22"/>
      <c r="I40" s="21"/>
      <c r="K40" s="22"/>
      <c r="L40" s="24"/>
      <c r="M40" s="24"/>
      <c r="N40" s="21"/>
      <c r="P40" s="22"/>
      <c r="S40" s="21"/>
    </row>
    <row r="41" spans="1:19" x14ac:dyDescent="0.35">
      <c r="A41" s="25">
        <v>44502</v>
      </c>
      <c r="B41" s="24">
        <v>23452.89</v>
      </c>
      <c r="C41" s="24">
        <v>23452.89</v>
      </c>
      <c r="D41" s="23">
        <f t="shared" si="0"/>
        <v>8.9322446777820937E-4</v>
      </c>
      <c r="F41" s="22"/>
      <c r="I41" s="21"/>
      <c r="K41" s="22"/>
      <c r="L41" s="24"/>
      <c r="M41" s="24"/>
      <c r="N41" s="21"/>
      <c r="P41" s="22"/>
      <c r="S41" s="21"/>
    </row>
    <row r="42" spans="1:19" x14ac:dyDescent="0.35">
      <c r="A42" s="25">
        <v>44503</v>
      </c>
      <c r="B42" s="24">
        <v>23404.31</v>
      </c>
      <c r="C42" s="24">
        <v>23404.31</v>
      </c>
      <c r="D42" s="23">
        <f t="shared" si="0"/>
        <v>-2.0713865114277219E-3</v>
      </c>
      <c r="F42" s="22"/>
      <c r="I42" s="21"/>
      <c r="K42" s="22"/>
      <c r="L42" s="24"/>
      <c r="M42" s="24"/>
      <c r="N42" s="21"/>
      <c r="P42" s="22"/>
      <c r="S42" s="21"/>
    </row>
    <row r="43" spans="1:19" x14ac:dyDescent="0.35">
      <c r="A43" s="25">
        <v>44508</v>
      </c>
      <c r="B43" s="24">
        <v>23768.47</v>
      </c>
      <c r="C43" s="24">
        <v>23768.47</v>
      </c>
      <c r="D43" s="23">
        <f t="shared" si="0"/>
        <v>1.5559527283649885E-2</v>
      </c>
      <c r="F43" s="22"/>
      <c r="I43" s="21"/>
      <c r="K43" s="22"/>
      <c r="L43" s="24"/>
      <c r="M43" s="24"/>
      <c r="N43" s="21"/>
      <c r="P43" s="22"/>
      <c r="S43" s="21"/>
    </row>
    <row r="44" spans="1:19" x14ac:dyDescent="0.35">
      <c r="A44" s="25">
        <v>44509</v>
      </c>
      <c r="B44" s="24">
        <v>23803.67</v>
      </c>
      <c r="C44" s="24">
        <v>23803.67</v>
      </c>
      <c r="D44" s="23">
        <f t="shared" si="0"/>
        <v>1.4809535489662181E-3</v>
      </c>
      <c r="F44" s="22"/>
      <c r="I44" s="21"/>
      <c r="K44" s="22"/>
      <c r="L44" s="24"/>
      <c r="M44" s="24"/>
      <c r="N44" s="21"/>
      <c r="P44" s="22"/>
      <c r="S44" s="21"/>
    </row>
    <row r="45" spans="1:19" x14ac:dyDescent="0.35">
      <c r="A45" s="25">
        <v>44510</v>
      </c>
      <c r="B45" s="24">
        <v>23772.02</v>
      </c>
      <c r="C45" s="24">
        <v>23772.02</v>
      </c>
      <c r="D45" s="23">
        <f t="shared" si="0"/>
        <v>-1.3296269020700515E-3</v>
      </c>
      <c r="F45" s="22"/>
      <c r="I45" s="21"/>
      <c r="K45" s="22"/>
      <c r="L45" s="24"/>
      <c r="M45" s="24"/>
      <c r="N45" s="21"/>
      <c r="P45" s="22"/>
      <c r="S45" s="21"/>
    </row>
    <row r="46" spans="1:19" x14ac:dyDescent="0.35">
      <c r="A46" s="25">
        <v>44511</v>
      </c>
      <c r="B46" s="24">
        <v>23608.35</v>
      </c>
      <c r="C46" s="24">
        <v>23608.35</v>
      </c>
      <c r="D46" s="23">
        <f t="shared" si="0"/>
        <v>-6.8849849528984869E-3</v>
      </c>
      <c r="F46" s="22"/>
      <c r="I46" s="21"/>
      <c r="K46" s="22"/>
      <c r="L46" s="24"/>
      <c r="M46" s="24"/>
      <c r="N46" s="21"/>
      <c r="P46" s="22"/>
      <c r="S46" s="21"/>
    </row>
    <row r="47" spans="1:19" x14ac:dyDescent="0.35">
      <c r="A47" s="25">
        <v>44512</v>
      </c>
      <c r="B47" s="24">
        <v>23865.63</v>
      </c>
      <c r="C47" s="24">
        <v>23865.63</v>
      </c>
      <c r="D47" s="23">
        <f t="shared" si="0"/>
        <v>1.0897839112009203E-2</v>
      </c>
      <c r="F47" s="22"/>
      <c r="I47" s="21"/>
      <c r="K47" s="22"/>
      <c r="L47" s="24"/>
      <c r="M47" s="24"/>
      <c r="N47" s="21"/>
      <c r="P47" s="22"/>
      <c r="S47" s="21"/>
    </row>
    <row r="48" spans="1:19" x14ac:dyDescent="0.35">
      <c r="A48" s="25">
        <v>44515</v>
      </c>
      <c r="B48" s="24">
        <v>23886.54</v>
      </c>
      <c r="C48" s="24">
        <v>23886.54</v>
      </c>
      <c r="D48" s="23">
        <f t="shared" si="0"/>
        <v>8.7615537490524464E-4</v>
      </c>
      <c r="F48" s="22"/>
      <c r="I48" s="21"/>
      <c r="K48" s="22"/>
      <c r="L48" s="24"/>
      <c r="M48" s="24"/>
      <c r="N48" s="21"/>
      <c r="P48" s="22"/>
      <c r="S48" s="21"/>
    </row>
    <row r="49" spans="1:19" x14ac:dyDescent="0.35">
      <c r="A49" s="25">
        <v>44516</v>
      </c>
      <c r="B49" s="24">
        <v>23783.599999999999</v>
      </c>
      <c r="C49" s="24">
        <v>23783.599999999999</v>
      </c>
      <c r="D49" s="23">
        <f t="shared" si="0"/>
        <v>-4.3095400170975922E-3</v>
      </c>
      <c r="F49" s="22"/>
      <c r="I49" s="21"/>
      <c r="K49" s="22"/>
      <c r="L49" s="24"/>
      <c r="M49" s="24"/>
      <c r="N49" s="21"/>
      <c r="P49" s="22"/>
      <c r="S49" s="21"/>
    </row>
    <row r="50" spans="1:19" x14ac:dyDescent="0.35">
      <c r="A50" s="25">
        <v>44517</v>
      </c>
      <c r="B50" s="24">
        <v>23677.24</v>
      </c>
      <c r="C50" s="24">
        <v>23677.24</v>
      </c>
      <c r="D50" s="23">
        <f t="shared" si="0"/>
        <v>-4.4719891017338401E-3</v>
      </c>
      <c r="F50" s="22"/>
      <c r="I50" s="21"/>
      <c r="K50" s="22"/>
      <c r="L50" s="24"/>
      <c r="M50" s="24"/>
      <c r="N50" s="21"/>
      <c r="P50" s="22"/>
      <c r="S50" s="21"/>
    </row>
    <row r="51" spans="1:19" x14ac:dyDescent="0.35">
      <c r="A51" s="25">
        <v>44518</v>
      </c>
      <c r="B51" s="24">
        <v>23443.759999999998</v>
      </c>
      <c r="C51" s="24">
        <v>23443.759999999998</v>
      </c>
      <c r="D51" s="23">
        <f t="shared" si="0"/>
        <v>-9.8609466306040401E-3</v>
      </c>
      <c r="F51" s="22"/>
      <c r="I51" s="21"/>
      <c r="K51" s="22"/>
      <c r="N51" s="21"/>
      <c r="P51" s="22"/>
      <c r="S51" s="21"/>
    </row>
    <row r="52" spans="1:19" x14ac:dyDescent="0.35">
      <c r="A52" s="25">
        <v>44522</v>
      </c>
      <c r="B52" s="24">
        <v>22948.81</v>
      </c>
      <c r="C52" s="24">
        <v>22948.81</v>
      </c>
      <c r="D52" s="23">
        <f t="shared" si="0"/>
        <v>-2.1112227731387677E-2</v>
      </c>
      <c r="F52" s="22"/>
      <c r="I52" s="21"/>
      <c r="K52" s="22"/>
      <c r="N52" s="21"/>
      <c r="P52" s="22"/>
      <c r="S52" s="21"/>
    </row>
    <row r="53" spans="1:19" x14ac:dyDescent="0.35">
      <c r="A53" s="25">
        <v>44523</v>
      </c>
      <c r="B53" s="24">
        <v>23150.31</v>
      </c>
      <c r="C53" s="24">
        <v>23150.31</v>
      </c>
      <c r="D53" s="23">
        <f t="shared" si="0"/>
        <v>8.7804117076223116E-3</v>
      </c>
      <c r="F53" s="22"/>
      <c r="I53" s="21"/>
      <c r="K53" s="22"/>
      <c r="N53" s="21"/>
      <c r="P53" s="22"/>
      <c r="S53" s="21"/>
    </row>
    <row r="54" spans="1:19" x14ac:dyDescent="0.35">
      <c r="A54" s="25">
        <v>44524</v>
      </c>
      <c r="B54" s="24">
        <v>23057.77</v>
      </c>
      <c r="C54" s="24">
        <v>23057.77</v>
      </c>
      <c r="D54" s="23">
        <f t="shared" si="0"/>
        <v>-3.9973546790518519E-3</v>
      </c>
      <c r="F54" s="22"/>
      <c r="I54" s="21"/>
      <c r="K54" s="22"/>
      <c r="N54" s="21"/>
      <c r="P54" s="22"/>
      <c r="S54" s="21"/>
    </row>
    <row r="55" spans="1:19" x14ac:dyDescent="0.35">
      <c r="A55" s="25">
        <v>44525</v>
      </c>
      <c r="B55" s="24">
        <v>23217.37</v>
      </c>
      <c r="C55" s="24">
        <v>23217.37</v>
      </c>
      <c r="D55" s="23">
        <f t="shared" si="0"/>
        <v>6.9217448174736127E-3</v>
      </c>
      <c r="F55" s="22"/>
      <c r="I55" s="21"/>
      <c r="K55" s="22"/>
      <c r="N55" s="21"/>
      <c r="P55" s="22"/>
      <c r="S55" s="21"/>
    </row>
    <row r="56" spans="1:19" x14ac:dyDescent="0.35">
      <c r="A56" s="25">
        <v>44526</v>
      </c>
      <c r="B56" s="24">
        <v>22537.919999999998</v>
      </c>
      <c r="C56" s="24">
        <v>22537.919999999998</v>
      </c>
      <c r="D56" s="23">
        <f t="shared" si="0"/>
        <v>-2.9264727227933256E-2</v>
      </c>
      <c r="F56" s="22"/>
      <c r="I56" s="21"/>
      <c r="K56" s="22"/>
      <c r="N56" s="21"/>
      <c r="P56" s="22"/>
      <c r="S56" s="21"/>
    </row>
    <row r="57" spans="1:19" x14ac:dyDescent="0.35">
      <c r="A57" s="25">
        <v>44529</v>
      </c>
      <c r="B57" s="24">
        <v>22460.1</v>
      </c>
      <c r="C57" s="24">
        <v>22460.1</v>
      </c>
      <c r="D57" s="23">
        <f t="shared" si="0"/>
        <v>-3.4528474677343658E-3</v>
      </c>
      <c r="F57" s="22"/>
      <c r="I57" s="21"/>
      <c r="K57" s="22"/>
      <c r="N57" s="21"/>
      <c r="P57" s="22"/>
      <c r="S57" s="21"/>
    </row>
    <row r="58" spans="1:19" x14ac:dyDescent="0.35">
      <c r="A58" s="25">
        <v>44530</v>
      </c>
      <c r="B58" s="24">
        <v>22447.74</v>
      </c>
      <c r="C58" s="24">
        <v>22447.74</v>
      </c>
      <c r="D58" s="23">
        <f t="shared" si="0"/>
        <v>-5.5030921500781138E-4</v>
      </c>
      <c r="F58" s="22"/>
      <c r="I58" s="21"/>
      <c r="K58" s="22"/>
      <c r="N58" s="21"/>
      <c r="P58" s="22"/>
      <c r="S58" s="21"/>
    </row>
    <row r="59" spans="1:19" x14ac:dyDescent="0.35">
      <c r="A59" s="25">
        <v>44531</v>
      </c>
      <c r="B59" s="24">
        <v>22656.71</v>
      </c>
      <c r="C59" s="24">
        <v>22656.71</v>
      </c>
      <c r="D59" s="23">
        <f t="shared" si="0"/>
        <v>9.3091776722288092E-3</v>
      </c>
      <c r="F59" s="22"/>
      <c r="I59" s="21"/>
      <c r="K59" s="22"/>
      <c r="N59" s="21"/>
      <c r="P59" s="22"/>
      <c r="S59" s="21"/>
    </row>
    <row r="60" spans="1:19" x14ac:dyDescent="0.35">
      <c r="A60" s="25">
        <v>44532</v>
      </c>
      <c r="B60" s="24">
        <v>22946.71</v>
      </c>
      <c r="C60" s="24">
        <v>22946.71</v>
      </c>
      <c r="D60" s="23">
        <f t="shared" si="0"/>
        <v>1.2799740121138506E-2</v>
      </c>
      <c r="F60" s="22"/>
      <c r="I60" s="21"/>
      <c r="K60" s="22"/>
      <c r="N60" s="21"/>
      <c r="P60" s="22"/>
      <c r="S60" s="21"/>
    </row>
    <row r="61" spans="1:19" x14ac:dyDescent="0.35">
      <c r="A61" s="25">
        <v>44533</v>
      </c>
      <c r="B61" s="24">
        <v>22766.46</v>
      </c>
      <c r="C61" s="24">
        <v>22766.46</v>
      </c>
      <c r="D61" s="23">
        <f t="shared" si="0"/>
        <v>-7.8551565780018134E-3</v>
      </c>
      <c r="F61" s="22"/>
      <c r="I61" s="21"/>
      <c r="K61" s="22"/>
      <c r="N61" s="21"/>
      <c r="P61" s="22"/>
      <c r="S61" s="21"/>
    </row>
    <row r="62" spans="1:19" x14ac:dyDescent="0.35">
      <c r="A62" s="25">
        <v>44536</v>
      </c>
      <c r="B62" s="24">
        <v>22401.81</v>
      </c>
      <c r="C62" s="24">
        <v>22401.81</v>
      </c>
      <c r="D62" s="23">
        <f t="shared" si="0"/>
        <v>-1.6016982877443301E-2</v>
      </c>
      <c r="F62" s="22"/>
      <c r="I62" s="21"/>
      <c r="K62" s="22"/>
      <c r="N62" s="21"/>
      <c r="P62" s="22"/>
      <c r="S62" s="21"/>
    </row>
    <row r="63" spans="1:19" x14ac:dyDescent="0.35">
      <c r="A63" s="25">
        <v>44538</v>
      </c>
      <c r="B63" s="24">
        <v>23098.91</v>
      </c>
      <c r="C63" s="24">
        <v>23098.91</v>
      </c>
      <c r="D63" s="23">
        <f t="shared" si="0"/>
        <v>3.1118021267031479E-2</v>
      </c>
      <c r="F63" s="22"/>
      <c r="I63" s="21"/>
      <c r="K63" s="22"/>
      <c r="N63" s="21"/>
      <c r="P63" s="22"/>
      <c r="S63" s="21"/>
    </row>
    <row r="64" spans="1:19" x14ac:dyDescent="0.35">
      <c r="A64" s="25">
        <v>44539</v>
      </c>
      <c r="B64" s="24">
        <v>23180.65</v>
      </c>
      <c r="C64" s="24">
        <v>23180.65</v>
      </c>
      <c r="D64" s="23">
        <f t="shared" si="0"/>
        <v>3.5386951159167945E-3</v>
      </c>
      <c r="F64" s="22"/>
      <c r="I64" s="21"/>
      <c r="K64" s="22"/>
      <c r="N64" s="21"/>
      <c r="P64" s="22"/>
      <c r="S64" s="21"/>
    </row>
    <row r="65" spans="1:19" x14ac:dyDescent="0.35">
      <c r="A65" s="25">
        <v>44540</v>
      </c>
      <c r="B65" s="24">
        <v>23224.15</v>
      </c>
      <c r="C65" s="24">
        <v>23224.15</v>
      </c>
      <c r="D65" s="23">
        <f t="shared" si="0"/>
        <v>1.876565152400817E-3</v>
      </c>
      <c r="F65" s="22"/>
      <c r="I65" s="21"/>
      <c r="K65" s="22"/>
      <c r="N65" s="21"/>
      <c r="P65" s="22"/>
      <c r="S65" s="21"/>
    </row>
    <row r="66" spans="1:19" x14ac:dyDescent="0.35">
      <c r="A66" s="25">
        <v>44543</v>
      </c>
      <c r="B66" s="24">
        <v>23085.13</v>
      </c>
      <c r="C66" s="24">
        <v>23085.13</v>
      </c>
      <c r="D66" s="23">
        <f t="shared" si="0"/>
        <v>-5.9860102522589819E-3</v>
      </c>
      <c r="F66" s="22"/>
      <c r="I66" s="21"/>
      <c r="K66" s="22"/>
      <c r="N66" s="21"/>
      <c r="P66" s="22"/>
      <c r="S66" s="21"/>
    </row>
    <row r="67" spans="1:19" x14ac:dyDescent="0.35">
      <c r="A67" s="25">
        <v>44544</v>
      </c>
      <c r="B67" s="24">
        <v>23052.95</v>
      </c>
      <c r="C67" s="24">
        <v>23052.95</v>
      </c>
      <c r="D67" s="23">
        <f t="shared" ref="D67:D130" si="1">(B67-B66)/B66</f>
        <v>-1.3939709241403574E-3</v>
      </c>
      <c r="F67" s="22"/>
      <c r="I67" s="21"/>
      <c r="K67" s="22"/>
      <c r="N67" s="21"/>
      <c r="P67" s="22"/>
      <c r="S67" s="21"/>
    </row>
    <row r="68" spans="1:19" x14ac:dyDescent="0.35">
      <c r="A68" s="25">
        <v>44545</v>
      </c>
      <c r="B68" s="24">
        <v>22914.799999999999</v>
      </c>
      <c r="C68" s="24">
        <v>22914.799999999999</v>
      </c>
      <c r="D68" s="23">
        <f t="shared" si="1"/>
        <v>-5.9927254429477115E-3</v>
      </c>
      <c r="F68" s="22"/>
      <c r="I68" s="21"/>
      <c r="K68" s="22"/>
      <c r="N68" s="21"/>
      <c r="P68" s="22"/>
      <c r="S68" s="21"/>
    </row>
    <row r="69" spans="1:19" x14ac:dyDescent="0.35">
      <c r="A69" s="25">
        <v>44546</v>
      </c>
      <c r="B69" s="24">
        <v>22889.27</v>
      </c>
      <c r="C69" s="24">
        <v>22889.27</v>
      </c>
      <c r="D69" s="23">
        <f t="shared" si="1"/>
        <v>-1.1141271143539912E-3</v>
      </c>
      <c r="F69" s="22"/>
      <c r="I69" s="21"/>
      <c r="K69" s="22"/>
      <c r="N69" s="21"/>
      <c r="P69" s="22"/>
      <c r="S69" s="21"/>
    </row>
    <row r="70" spans="1:19" x14ac:dyDescent="0.35">
      <c r="A70" s="25">
        <v>44547</v>
      </c>
      <c r="B70" s="24">
        <v>22489.29</v>
      </c>
      <c r="C70" s="24">
        <v>22489.29</v>
      </c>
      <c r="D70" s="23">
        <f t="shared" si="1"/>
        <v>-1.7474563408968462E-2</v>
      </c>
      <c r="F70" s="22"/>
      <c r="I70" s="21"/>
      <c r="K70" s="22"/>
      <c r="N70" s="21"/>
      <c r="P70" s="22"/>
      <c r="S70" s="21"/>
    </row>
    <row r="71" spans="1:19" x14ac:dyDescent="0.35">
      <c r="A71" s="25">
        <v>44550</v>
      </c>
      <c r="B71" s="24">
        <v>21918.48</v>
      </c>
      <c r="C71" s="24">
        <v>21918.48</v>
      </c>
      <c r="D71" s="23">
        <f t="shared" si="1"/>
        <v>-2.5381414886819515E-2</v>
      </c>
      <c r="F71" s="22"/>
      <c r="I71" s="21"/>
      <c r="K71" s="22"/>
      <c r="N71" s="21"/>
      <c r="P71" s="22"/>
      <c r="S71" s="21"/>
    </row>
    <row r="72" spans="1:19" x14ac:dyDescent="0.35">
      <c r="A72" s="25">
        <v>44551</v>
      </c>
      <c r="B72" s="24">
        <v>22164.77</v>
      </c>
      <c r="C72" s="24">
        <v>22164.77</v>
      </c>
      <c r="D72" s="23">
        <f t="shared" si="1"/>
        <v>1.1236636847080678E-2</v>
      </c>
      <c r="F72" s="22"/>
      <c r="I72" s="21"/>
      <c r="K72" s="22"/>
      <c r="N72" s="21"/>
      <c r="P72" s="22"/>
      <c r="S72" s="21"/>
    </row>
    <row r="73" spans="1:19" x14ac:dyDescent="0.35">
      <c r="A73" s="25">
        <v>44552</v>
      </c>
      <c r="B73" s="24">
        <v>22442.93</v>
      </c>
      <c r="C73" s="24">
        <v>22442.93</v>
      </c>
      <c r="D73" s="23">
        <f t="shared" si="1"/>
        <v>1.2549645225283179E-2</v>
      </c>
      <c r="F73" s="22"/>
      <c r="I73" s="21"/>
      <c r="K73" s="22"/>
      <c r="N73" s="21"/>
      <c r="P73" s="22"/>
      <c r="S73" s="21"/>
    </row>
    <row r="74" spans="1:19" x14ac:dyDescent="0.35">
      <c r="A74" s="25">
        <v>44553</v>
      </c>
      <c r="B74" s="24">
        <v>22614.17</v>
      </c>
      <c r="C74" s="24">
        <v>22614.17</v>
      </c>
      <c r="D74" s="23">
        <f t="shared" si="1"/>
        <v>7.630019787968771E-3</v>
      </c>
      <c r="F74" s="22"/>
      <c r="I74" s="21"/>
      <c r="K74" s="22"/>
      <c r="N74" s="21"/>
      <c r="P74" s="22"/>
      <c r="S74" s="21"/>
    </row>
    <row r="75" spans="1:19" x14ac:dyDescent="0.35">
      <c r="A75" s="25">
        <v>44554</v>
      </c>
      <c r="B75" s="24">
        <v>22481.33</v>
      </c>
      <c r="C75" s="24">
        <v>22481.33</v>
      </c>
      <c r="D75" s="23">
        <f t="shared" si="1"/>
        <v>-5.8741930391430029E-3</v>
      </c>
      <c r="F75" s="22"/>
      <c r="I75" s="21"/>
      <c r="K75" s="22"/>
      <c r="N75" s="21"/>
      <c r="P75" s="22"/>
      <c r="S75" s="21"/>
    </row>
    <row r="76" spans="1:19" x14ac:dyDescent="0.35">
      <c r="A76" s="25">
        <v>44557</v>
      </c>
      <c r="B76" s="24">
        <v>22577.599999999999</v>
      </c>
      <c r="C76" s="24">
        <v>22577.599999999999</v>
      </c>
      <c r="D76" s="23">
        <f t="shared" si="1"/>
        <v>4.282219957626919E-3</v>
      </c>
      <c r="F76" s="22"/>
      <c r="I76" s="21"/>
      <c r="K76" s="22"/>
      <c r="N76" s="21"/>
      <c r="P76" s="22"/>
      <c r="S76" s="21"/>
    </row>
    <row r="77" spans="1:19" x14ac:dyDescent="0.35">
      <c r="A77" s="25">
        <v>44558</v>
      </c>
      <c r="B77" s="24">
        <v>22792.66</v>
      </c>
      <c r="C77" s="24">
        <v>22792.66</v>
      </c>
      <c r="D77" s="23">
        <f t="shared" si="1"/>
        <v>9.5253702785061886E-3</v>
      </c>
      <c r="F77" s="22"/>
      <c r="I77" s="21"/>
      <c r="K77" s="22"/>
      <c r="N77" s="21"/>
      <c r="P77" s="22"/>
      <c r="S77" s="21"/>
    </row>
    <row r="78" spans="1:19" x14ac:dyDescent="0.35">
      <c r="A78" s="25">
        <v>44559</v>
      </c>
      <c r="B78" s="24">
        <v>22785.85</v>
      </c>
      <c r="C78" s="24">
        <v>22785.85</v>
      </c>
      <c r="D78" s="23">
        <f t="shared" si="1"/>
        <v>-2.9878039684711263E-4</v>
      </c>
      <c r="F78" s="22"/>
      <c r="I78" s="21"/>
      <c r="K78" s="22"/>
      <c r="N78" s="21"/>
      <c r="P78" s="22"/>
      <c r="S78" s="21"/>
    </row>
    <row r="79" spans="1:19" x14ac:dyDescent="0.35">
      <c r="A79" s="25">
        <v>44560</v>
      </c>
      <c r="B79" s="24">
        <v>22754.58</v>
      </c>
      <c r="C79" s="24">
        <v>22754.58</v>
      </c>
      <c r="D79" s="23">
        <f t="shared" si="1"/>
        <v>-1.3723429233492191E-3</v>
      </c>
      <c r="F79" s="22"/>
      <c r="I79" s="21"/>
      <c r="K79" s="22"/>
      <c r="N79" s="21"/>
      <c r="P79" s="22"/>
      <c r="S79" s="21"/>
    </row>
    <row r="80" spans="1:19" x14ac:dyDescent="0.35">
      <c r="A80" s="25">
        <v>44561</v>
      </c>
      <c r="B80" s="24">
        <v>22990.880000000001</v>
      </c>
      <c r="C80" s="24">
        <v>22990.880000000001</v>
      </c>
      <c r="D80" s="23">
        <f t="shared" si="1"/>
        <v>1.0384722548163897E-2</v>
      </c>
      <c r="F80" s="22"/>
      <c r="I80" s="21"/>
      <c r="K80" s="22"/>
      <c r="N80" s="21"/>
      <c r="P80" s="22"/>
      <c r="S80" s="21"/>
    </row>
    <row r="81" spans="1:19" x14ac:dyDescent="0.35">
      <c r="A81" s="25">
        <v>44564</v>
      </c>
      <c r="B81" s="24">
        <v>23310.38</v>
      </c>
      <c r="C81" s="24">
        <v>23310.38</v>
      </c>
      <c r="D81" s="23">
        <f t="shared" si="1"/>
        <v>1.3896814736973965E-2</v>
      </c>
      <c r="F81" s="22"/>
      <c r="I81" s="21"/>
      <c r="K81" s="22"/>
      <c r="N81" s="21"/>
      <c r="P81" s="22"/>
      <c r="S81" s="21"/>
    </row>
    <row r="82" spans="1:19" x14ac:dyDescent="0.35">
      <c r="A82" s="25">
        <v>44565</v>
      </c>
      <c r="B82" s="24">
        <v>23485.37</v>
      </c>
      <c r="C82" s="24">
        <v>23485.37</v>
      </c>
      <c r="D82" s="23">
        <f t="shared" si="1"/>
        <v>7.506956128557233E-3</v>
      </c>
      <c r="F82" s="22"/>
      <c r="I82" s="21"/>
      <c r="K82" s="22"/>
      <c r="N82" s="21"/>
      <c r="P82" s="22"/>
      <c r="S82" s="21"/>
    </row>
    <row r="83" spans="1:19" x14ac:dyDescent="0.35">
      <c r="A83" s="25">
        <v>44566</v>
      </c>
      <c r="B83" s="24">
        <v>23604.46</v>
      </c>
      <c r="C83" s="24">
        <v>23604.46</v>
      </c>
      <c r="D83" s="23">
        <f t="shared" si="1"/>
        <v>5.0708164274184371E-3</v>
      </c>
      <c r="F83" s="22"/>
      <c r="I83" s="21"/>
      <c r="K83" s="22"/>
      <c r="L83" s="24"/>
      <c r="M83" s="24"/>
      <c r="N83" s="21"/>
      <c r="P83" s="22"/>
      <c r="S83" s="21"/>
    </row>
    <row r="84" spans="1:19" x14ac:dyDescent="0.35">
      <c r="A84" s="25">
        <v>44567</v>
      </c>
      <c r="B84" s="24">
        <v>23441.51</v>
      </c>
      <c r="C84" s="24">
        <v>23441.51</v>
      </c>
      <c r="D84" s="23">
        <f t="shared" si="1"/>
        <v>-6.9033563995957005E-3</v>
      </c>
      <c r="F84" s="22"/>
      <c r="I84" s="21"/>
      <c r="K84" s="22"/>
      <c r="L84" s="24"/>
      <c r="M84" s="24"/>
      <c r="N84" s="21"/>
      <c r="P84" s="22"/>
      <c r="S84" s="21"/>
    </row>
    <row r="85" spans="1:19" x14ac:dyDescent="0.35">
      <c r="A85" s="25">
        <v>44568</v>
      </c>
      <c r="B85" s="24">
        <v>23531.13</v>
      </c>
      <c r="C85" s="24">
        <v>23531.13</v>
      </c>
      <c r="D85" s="23">
        <f t="shared" si="1"/>
        <v>3.8231325541743097E-3</v>
      </c>
      <c r="F85" s="22"/>
      <c r="I85" s="21"/>
      <c r="K85" s="22"/>
      <c r="L85" s="24"/>
      <c r="M85" s="24"/>
      <c r="N85" s="21"/>
      <c r="P85" s="22"/>
      <c r="S85" s="21"/>
    </row>
    <row r="86" spans="1:19" x14ac:dyDescent="0.35">
      <c r="A86" s="25">
        <v>44571</v>
      </c>
      <c r="B86" s="24">
        <v>23756.45</v>
      </c>
      <c r="C86" s="24">
        <v>23756.45</v>
      </c>
      <c r="D86" s="23">
        <f t="shared" si="1"/>
        <v>9.5754007563597539E-3</v>
      </c>
      <c r="F86" s="22"/>
      <c r="I86" s="21"/>
      <c r="K86" s="22"/>
      <c r="L86" s="24"/>
      <c r="M86" s="24"/>
      <c r="N86" s="21"/>
      <c r="P86" s="22"/>
      <c r="S86" s="21"/>
    </row>
    <row r="87" spans="1:19" x14ac:dyDescent="0.35">
      <c r="A87" s="25">
        <v>44572</v>
      </c>
      <c r="B87" s="24">
        <v>23810.11</v>
      </c>
      <c r="C87" s="24">
        <v>23810.11</v>
      </c>
      <c r="D87" s="23">
        <f t="shared" si="1"/>
        <v>2.2587549907498745E-3</v>
      </c>
      <c r="F87" s="22"/>
      <c r="I87" s="21"/>
      <c r="K87" s="22"/>
      <c r="L87" s="24"/>
      <c r="M87" s="24"/>
      <c r="N87" s="21"/>
      <c r="P87" s="22"/>
      <c r="S87" s="21"/>
    </row>
    <row r="88" spans="1:19" x14ac:dyDescent="0.35">
      <c r="A88" s="25">
        <v>44573</v>
      </c>
      <c r="B88" s="24">
        <v>24020.69</v>
      </c>
      <c r="C88" s="24">
        <v>24020.69</v>
      </c>
      <c r="D88" s="23">
        <f t="shared" si="1"/>
        <v>8.8441422572175469E-3</v>
      </c>
      <c r="F88" s="22"/>
      <c r="I88" s="21"/>
      <c r="K88" s="22"/>
      <c r="L88" s="24"/>
      <c r="M88" s="24"/>
      <c r="N88" s="21"/>
      <c r="P88" s="22"/>
      <c r="S88" s="21"/>
    </row>
    <row r="89" spans="1:19" x14ac:dyDescent="0.35">
      <c r="A89" s="25">
        <v>44574</v>
      </c>
      <c r="B89" s="24">
        <v>24102.2</v>
      </c>
      <c r="C89" s="24">
        <v>24102.2</v>
      </c>
      <c r="D89" s="23">
        <f t="shared" si="1"/>
        <v>3.39332467135632E-3</v>
      </c>
      <c r="F89" s="22"/>
      <c r="I89" s="21"/>
      <c r="K89" s="22"/>
      <c r="L89" s="24"/>
      <c r="M89" s="24"/>
      <c r="N89" s="21"/>
      <c r="P89" s="22"/>
      <c r="S89" s="21"/>
    </row>
    <row r="90" spans="1:19" x14ac:dyDescent="0.35">
      <c r="A90" s="25">
        <v>44575</v>
      </c>
      <c r="B90" s="24">
        <v>24116.52</v>
      </c>
      <c r="C90" s="24">
        <v>24116.52</v>
      </c>
      <c r="D90" s="23">
        <f t="shared" si="1"/>
        <v>5.9413663483000344E-4</v>
      </c>
      <c r="F90" s="22"/>
      <c r="I90" s="21"/>
      <c r="K90" s="22"/>
      <c r="L90" s="24"/>
      <c r="M90" s="24"/>
      <c r="N90" s="21"/>
      <c r="P90" s="22"/>
      <c r="S90" s="21"/>
    </row>
    <row r="91" spans="1:19" x14ac:dyDescent="0.35">
      <c r="A91" s="25">
        <v>44578</v>
      </c>
      <c r="B91" s="24">
        <v>24194.84</v>
      </c>
      <c r="C91" s="24">
        <v>24194.84</v>
      </c>
      <c r="D91" s="23">
        <f t="shared" si="1"/>
        <v>3.2475663984687553E-3</v>
      </c>
      <c r="F91" s="22"/>
      <c r="I91" s="21"/>
      <c r="K91" s="22"/>
      <c r="L91" s="24"/>
      <c r="M91" s="24"/>
      <c r="N91" s="21"/>
      <c r="P91" s="22"/>
      <c r="S91" s="21"/>
    </row>
    <row r="92" spans="1:19" x14ac:dyDescent="0.35">
      <c r="A92" s="25">
        <v>44579</v>
      </c>
      <c r="B92" s="24">
        <v>23875.7</v>
      </c>
      <c r="C92" s="24">
        <v>23875.7</v>
      </c>
      <c r="D92" s="23">
        <f t="shared" si="1"/>
        <v>-1.3190415807668058E-2</v>
      </c>
      <c r="F92" s="22"/>
      <c r="I92" s="21"/>
      <c r="K92" s="22"/>
      <c r="L92" s="24"/>
      <c r="M92" s="24"/>
      <c r="N92" s="21"/>
      <c r="P92" s="22"/>
      <c r="S92" s="21"/>
    </row>
    <row r="93" spans="1:19" x14ac:dyDescent="0.35">
      <c r="A93" s="25">
        <v>44580</v>
      </c>
      <c r="B93" s="24">
        <v>23722.89</v>
      </c>
      <c r="C93" s="24">
        <v>23722.89</v>
      </c>
      <c r="D93" s="23">
        <f t="shared" si="1"/>
        <v>-6.4002311974099739E-3</v>
      </c>
      <c r="F93" s="22"/>
      <c r="I93" s="21"/>
      <c r="K93" s="22"/>
      <c r="L93" s="24"/>
      <c r="M93" s="24"/>
      <c r="N93" s="21"/>
      <c r="P93" s="22"/>
      <c r="S93" s="21"/>
    </row>
    <row r="94" spans="1:19" x14ac:dyDescent="0.35">
      <c r="A94" s="25">
        <v>44581</v>
      </c>
      <c r="B94" s="24">
        <v>23554.44</v>
      </c>
      <c r="C94" s="24">
        <v>23554.44</v>
      </c>
      <c r="D94" s="23">
        <f t="shared" si="1"/>
        <v>-7.1007368832381188E-3</v>
      </c>
      <c r="F94" s="22"/>
      <c r="I94" s="21"/>
      <c r="K94" s="22"/>
      <c r="L94" s="24"/>
      <c r="M94" s="24"/>
      <c r="N94" s="21"/>
      <c r="P94" s="22"/>
      <c r="S94" s="21"/>
    </row>
    <row r="95" spans="1:19" x14ac:dyDescent="0.35">
      <c r="A95" s="25">
        <v>44582</v>
      </c>
      <c r="B95" s="24">
        <v>23278.25</v>
      </c>
      <c r="C95" s="24">
        <v>23278.25</v>
      </c>
      <c r="D95" s="23">
        <f t="shared" si="1"/>
        <v>-1.1725602476645537E-2</v>
      </c>
      <c r="F95" s="22"/>
      <c r="I95" s="21"/>
      <c r="K95" s="22"/>
      <c r="L95" s="24"/>
      <c r="M95" s="24"/>
      <c r="N95" s="21"/>
      <c r="P95" s="22"/>
      <c r="S95" s="21"/>
    </row>
    <row r="96" spans="1:19" x14ac:dyDescent="0.35">
      <c r="A96" s="25">
        <v>44585</v>
      </c>
      <c r="B96" s="24">
        <v>22560.17</v>
      </c>
      <c r="C96" s="24">
        <v>22560.17</v>
      </c>
      <c r="D96" s="23">
        <f t="shared" si="1"/>
        <v>-3.0847679701008528E-2</v>
      </c>
      <c r="F96" s="22"/>
      <c r="I96" s="21"/>
      <c r="K96" s="22"/>
      <c r="L96" s="24"/>
      <c r="M96" s="24"/>
      <c r="N96" s="21"/>
      <c r="P96" s="22"/>
      <c r="S96" s="21"/>
    </row>
    <row r="97" spans="1:19" x14ac:dyDescent="0.35">
      <c r="A97" s="25">
        <v>44586</v>
      </c>
      <c r="B97" s="24">
        <v>22744.48</v>
      </c>
      <c r="C97" s="24">
        <v>22744.48</v>
      </c>
      <c r="D97" s="23">
        <f t="shared" si="1"/>
        <v>8.169707941030644E-3</v>
      </c>
      <c r="F97" s="22"/>
      <c r="I97" s="21"/>
      <c r="K97" s="22"/>
      <c r="N97" s="21"/>
      <c r="P97" s="22"/>
      <c r="S97" s="21"/>
    </row>
    <row r="98" spans="1:19" x14ac:dyDescent="0.35">
      <c r="A98" s="25">
        <v>44588</v>
      </c>
      <c r="B98" s="24">
        <v>22510.82</v>
      </c>
      <c r="C98" s="24">
        <v>22510.82</v>
      </c>
      <c r="D98" s="23">
        <f t="shared" si="1"/>
        <v>-1.0273261907944252E-2</v>
      </c>
      <c r="F98" s="22"/>
      <c r="I98" s="21"/>
      <c r="K98" s="22"/>
      <c r="L98" s="24"/>
      <c r="M98" s="24"/>
      <c r="N98" s="21"/>
      <c r="P98" s="22"/>
      <c r="S98" s="21"/>
    </row>
    <row r="99" spans="1:19" x14ac:dyDescent="0.35">
      <c r="A99" s="25">
        <v>44589</v>
      </c>
      <c r="B99" s="24">
        <v>22577.57</v>
      </c>
      <c r="C99" s="24">
        <v>22577.57</v>
      </c>
      <c r="D99" s="23">
        <f t="shared" si="1"/>
        <v>2.9652407153537719E-3</v>
      </c>
      <c r="F99" s="22"/>
      <c r="I99" s="21"/>
      <c r="K99" s="22"/>
      <c r="L99" s="24"/>
      <c r="M99" s="24"/>
      <c r="N99" s="21"/>
      <c r="P99" s="22"/>
      <c r="S99" s="21"/>
    </row>
    <row r="100" spans="1:19" x14ac:dyDescent="0.35">
      <c r="A100" s="25">
        <v>44592</v>
      </c>
      <c r="B100" s="24">
        <v>22881.58</v>
      </c>
      <c r="C100" s="24">
        <v>22881.58</v>
      </c>
      <c r="D100" s="23">
        <f t="shared" si="1"/>
        <v>1.3465133758858994E-2</v>
      </c>
      <c r="F100" s="22"/>
      <c r="I100" s="21"/>
      <c r="K100" s="22"/>
      <c r="L100" s="24"/>
      <c r="M100" s="24"/>
      <c r="N100" s="21"/>
      <c r="P100" s="22"/>
      <c r="S100" s="21"/>
    </row>
    <row r="101" spans="1:19" x14ac:dyDescent="0.35">
      <c r="A101" s="25">
        <v>44593</v>
      </c>
      <c r="B101" s="24">
        <v>23180.44</v>
      </c>
      <c r="C101" s="24">
        <v>23180.44</v>
      </c>
      <c r="D101" s="23">
        <f t="shared" si="1"/>
        <v>1.306116098626043E-2</v>
      </c>
      <c r="F101" s="22"/>
      <c r="I101" s="21"/>
      <c r="K101" s="22"/>
      <c r="L101" s="24"/>
      <c r="M101" s="24"/>
      <c r="N101" s="21"/>
      <c r="P101" s="22"/>
      <c r="S101" s="21"/>
    </row>
    <row r="102" spans="1:19" x14ac:dyDescent="0.35">
      <c r="A102" s="25">
        <v>44594</v>
      </c>
      <c r="B102" s="24">
        <v>23452.49</v>
      </c>
      <c r="C102" s="24">
        <v>23452.49</v>
      </c>
      <c r="D102" s="23">
        <f t="shared" si="1"/>
        <v>1.1736187923956703E-2</v>
      </c>
      <c r="F102" s="22"/>
      <c r="I102" s="21"/>
      <c r="K102" s="22"/>
      <c r="L102" s="24"/>
      <c r="M102" s="24"/>
      <c r="N102" s="21"/>
      <c r="P102" s="22"/>
      <c r="S102" s="21"/>
    </row>
    <row r="103" spans="1:19" x14ac:dyDescent="0.35">
      <c r="A103" s="25">
        <v>44595</v>
      </c>
      <c r="B103" s="24">
        <v>23215.34</v>
      </c>
      <c r="C103" s="24">
        <v>23215.34</v>
      </c>
      <c r="D103" s="23">
        <f t="shared" si="1"/>
        <v>-1.0111932677511063E-2</v>
      </c>
      <c r="F103" s="22"/>
      <c r="I103" s="21"/>
      <c r="K103" s="22"/>
      <c r="L103" s="24"/>
      <c r="M103" s="24"/>
      <c r="N103" s="21"/>
      <c r="P103" s="22"/>
      <c r="S103" s="21"/>
    </row>
    <row r="104" spans="1:19" x14ac:dyDescent="0.35">
      <c r="A104" s="25">
        <v>44596</v>
      </c>
      <c r="B104" s="24">
        <v>23138.74</v>
      </c>
      <c r="C104" s="24">
        <v>23138.74</v>
      </c>
      <c r="D104" s="23">
        <f t="shared" si="1"/>
        <v>-3.2995424577024735E-3</v>
      </c>
      <c r="F104" s="22"/>
      <c r="I104" s="21"/>
      <c r="K104" s="22"/>
      <c r="L104" s="24"/>
      <c r="M104" s="24"/>
      <c r="N104" s="21"/>
      <c r="P104" s="22"/>
      <c r="S104" s="21"/>
    </row>
    <row r="105" spans="1:19" x14ac:dyDescent="0.35">
      <c r="A105" s="25">
        <v>44599</v>
      </c>
      <c r="B105" s="24">
        <v>22809.5</v>
      </c>
      <c r="C105" s="24">
        <v>22809.5</v>
      </c>
      <c r="D105" s="23">
        <f t="shared" si="1"/>
        <v>-1.4228951101053973E-2</v>
      </c>
      <c r="F105" s="22"/>
      <c r="I105" s="21"/>
      <c r="K105" s="22"/>
      <c r="L105" s="24"/>
      <c r="M105" s="24"/>
      <c r="N105" s="21"/>
      <c r="P105" s="22"/>
      <c r="S105" s="21"/>
    </row>
    <row r="106" spans="1:19" x14ac:dyDescent="0.35">
      <c r="A106" s="25">
        <v>44600</v>
      </c>
      <c r="B106" s="24">
        <v>22788.92</v>
      </c>
      <c r="C106" s="24">
        <v>22788.92</v>
      </c>
      <c r="D106" s="23">
        <f t="shared" si="1"/>
        <v>-9.0225563909782092E-4</v>
      </c>
      <c r="F106" s="22"/>
      <c r="I106" s="21"/>
      <c r="K106" s="22"/>
      <c r="L106" s="24"/>
      <c r="M106" s="24"/>
      <c r="N106" s="21"/>
      <c r="P106" s="22"/>
      <c r="S106" s="21"/>
    </row>
    <row r="107" spans="1:19" x14ac:dyDescent="0.35">
      <c r="A107" s="25">
        <v>44601</v>
      </c>
      <c r="B107" s="24">
        <v>23037.24</v>
      </c>
      <c r="C107" s="24">
        <v>23037.24</v>
      </c>
      <c r="D107" s="23">
        <f t="shared" si="1"/>
        <v>1.0896523398212963E-2</v>
      </c>
      <c r="F107" s="22"/>
      <c r="I107" s="21"/>
      <c r="K107" s="22"/>
      <c r="L107" s="24"/>
      <c r="M107" s="24"/>
      <c r="N107" s="21"/>
      <c r="P107" s="22"/>
      <c r="S107" s="21"/>
    </row>
    <row r="108" spans="1:19" x14ac:dyDescent="0.35">
      <c r="A108" s="25">
        <v>44602</v>
      </c>
      <c r="B108" s="24">
        <v>23186.39</v>
      </c>
      <c r="C108" s="24">
        <v>23186.39</v>
      </c>
      <c r="D108" s="23">
        <f t="shared" si="1"/>
        <v>6.4742998727277141E-3</v>
      </c>
      <c r="F108" s="22"/>
      <c r="I108" s="21"/>
      <c r="K108" s="22"/>
      <c r="L108" s="24"/>
      <c r="M108" s="24"/>
      <c r="N108" s="21"/>
      <c r="P108" s="22"/>
      <c r="S108" s="21"/>
    </row>
    <row r="109" spans="1:19" x14ac:dyDescent="0.35">
      <c r="A109" s="25">
        <v>44603</v>
      </c>
      <c r="B109" s="24">
        <v>22847.57</v>
      </c>
      <c r="C109" s="24">
        <v>22847.57</v>
      </c>
      <c r="D109" s="23">
        <f t="shared" si="1"/>
        <v>-1.4612882816169301E-2</v>
      </c>
      <c r="F109" s="22"/>
      <c r="I109" s="21"/>
      <c r="K109" s="22"/>
      <c r="L109" s="24"/>
      <c r="M109" s="24"/>
      <c r="N109" s="21"/>
      <c r="P109" s="22"/>
      <c r="S109" s="21"/>
    </row>
    <row r="110" spans="1:19" x14ac:dyDescent="0.35">
      <c r="A110" s="25">
        <v>44606</v>
      </c>
      <c r="B110" s="24">
        <v>22103.72</v>
      </c>
      <c r="C110" s="24">
        <v>22103.72</v>
      </c>
      <c r="D110" s="23">
        <f t="shared" si="1"/>
        <v>-3.255707280905578E-2</v>
      </c>
      <c r="F110" s="22"/>
      <c r="I110" s="21"/>
      <c r="K110" s="22"/>
      <c r="L110" s="24"/>
      <c r="M110" s="24"/>
      <c r="N110" s="21"/>
      <c r="P110" s="22"/>
      <c r="S110" s="21"/>
    </row>
    <row r="111" spans="1:19" x14ac:dyDescent="0.35">
      <c r="A111" s="25">
        <v>44607</v>
      </c>
      <c r="B111" s="24">
        <v>22726.82</v>
      </c>
      <c r="C111" s="24">
        <v>22726.82</v>
      </c>
      <c r="D111" s="23">
        <f t="shared" si="1"/>
        <v>2.8189825061120867E-2</v>
      </c>
      <c r="F111" s="22"/>
      <c r="I111" s="21"/>
      <c r="K111" s="22"/>
      <c r="N111" s="21"/>
      <c r="P111" s="22"/>
      <c r="S111" s="21"/>
    </row>
    <row r="112" spans="1:19" x14ac:dyDescent="0.35">
      <c r="A112" s="25">
        <v>44608</v>
      </c>
      <c r="B112" s="24">
        <v>22706.7</v>
      </c>
      <c r="C112" s="24">
        <v>22706.7</v>
      </c>
      <c r="D112" s="23">
        <f t="shared" si="1"/>
        <v>-8.8529763512884693E-4</v>
      </c>
      <c r="F112" s="22"/>
      <c r="I112" s="21"/>
      <c r="K112" s="22"/>
      <c r="L112" s="24"/>
      <c r="M112" s="24"/>
      <c r="N112" s="21"/>
      <c r="P112" s="22"/>
      <c r="S112" s="21"/>
    </row>
    <row r="113" spans="1:19" x14ac:dyDescent="0.35">
      <c r="A113" s="25">
        <v>44609</v>
      </c>
      <c r="B113" s="24">
        <v>22682.48</v>
      </c>
      <c r="C113" s="24">
        <v>22682.48</v>
      </c>
      <c r="D113" s="23">
        <f t="shared" si="1"/>
        <v>-1.0666455275315729E-3</v>
      </c>
      <c r="F113" s="22"/>
      <c r="I113" s="21"/>
      <c r="K113" s="22"/>
      <c r="L113" s="24"/>
      <c r="M113" s="24"/>
      <c r="N113" s="21"/>
      <c r="P113" s="22"/>
      <c r="S113" s="21"/>
    </row>
    <row r="114" spans="1:19" x14ac:dyDescent="0.35">
      <c r="A114" s="25">
        <v>44610</v>
      </c>
      <c r="B114" s="24">
        <v>22588.37</v>
      </c>
      <c r="C114" s="24">
        <v>22588.37</v>
      </c>
      <c r="D114" s="23">
        <f t="shared" si="1"/>
        <v>-4.1490172150488213E-3</v>
      </c>
      <c r="F114" s="22"/>
      <c r="I114" s="21"/>
      <c r="K114" s="22"/>
      <c r="N114" s="21"/>
      <c r="P114" s="22"/>
      <c r="S114" s="21"/>
    </row>
    <row r="115" spans="1:19" x14ac:dyDescent="0.35">
      <c r="A115" s="25">
        <v>44613</v>
      </c>
      <c r="B115" s="24">
        <v>22419.75</v>
      </c>
      <c r="C115" s="24">
        <v>22419.75</v>
      </c>
      <c r="D115" s="23">
        <f t="shared" si="1"/>
        <v>-7.4649033994041618E-3</v>
      </c>
      <c r="F115" s="22"/>
      <c r="I115" s="21"/>
      <c r="K115" s="22"/>
      <c r="N115" s="21"/>
      <c r="P115" s="22"/>
      <c r="S115" s="21"/>
    </row>
    <row r="116" spans="1:19" x14ac:dyDescent="0.35">
      <c r="A116" s="25">
        <v>44614</v>
      </c>
      <c r="B116" s="24">
        <v>22254.97</v>
      </c>
      <c r="C116" s="24">
        <v>22254.97</v>
      </c>
      <c r="D116" s="23">
        <f t="shared" si="1"/>
        <v>-7.3497697342744155E-3</v>
      </c>
      <c r="F116" s="22"/>
      <c r="I116" s="21"/>
      <c r="K116" s="22"/>
      <c r="N116" s="21"/>
      <c r="P116" s="22"/>
      <c r="S116" s="21"/>
    </row>
    <row r="117" spans="1:19" x14ac:dyDescent="0.35">
      <c r="A117" s="25">
        <v>44615</v>
      </c>
      <c r="B117" s="24">
        <v>22282.639999999999</v>
      </c>
      <c r="C117" s="24">
        <v>22282.639999999999</v>
      </c>
      <c r="D117" s="23">
        <f t="shared" si="1"/>
        <v>1.2433177847464298E-3</v>
      </c>
      <c r="F117" s="22"/>
      <c r="I117" s="21"/>
      <c r="K117" s="22"/>
      <c r="N117" s="21"/>
      <c r="P117" s="22"/>
      <c r="S117" s="21"/>
    </row>
    <row r="118" spans="1:19" x14ac:dyDescent="0.35">
      <c r="A118" s="25">
        <v>44616</v>
      </c>
      <c r="B118" s="24">
        <v>21159.69</v>
      </c>
      <c r="C118" s="24">
        <v>21159.69</v>
      </c>
      <c r="D118" s="23">
        <f t="shared" si="1"/>
        <v>-5.0395734078188259E-2</v>
      </c>
      <c r="F118" s="22"/>
      <c r="I118" s="21"/>
      <c r="K118" s="22"/>
      <c r="N118" s="21"/>
      <c r="P118" s="22"/>
      <c r="S118" s="21"/>
    </row>
    <row r="119" spans="1:19" x14ac:dyDescent="0.35">
      <c r="A119" s="25">
        <v>44617</v>
      </c>
      <c r="B119" s="24">
        <v>21793.49</v>
      </c>
      <c r="C119" s="24">
        <v>21793.49</v>
      </c>
      <c r="D119" s="23">
        <f t="shared" si="1"/>
        <v>2.9953179843372136E-2</v>
      </c>
      <c r="F119" s="22"/>
      <c r="I119" s="21"/>
      <c r="K119" s="22"/>
      <c r="N119" s="21"/>
      <c r="P119" s="22"/>
      <c r="S119" s="21"/>
    </row>
    <row r="120" spans="1:19" x14ac:dyDescent="0.35">
      <c r="A120" s="25">
        <v>44620</v>
      </c>
      <c r="B120" s="24">
        <v>21978.65</v>
      </c>
      <c r="C120" s="24">
        <v>21978.65</v>
      </c>
      <c r="D120" s="23">
        <f t="shared" si="1"/>
        <v>8.4961151242871086E-3</v>
      </c>
      <c r="F120" s="22"/>
      <c r="I120" s="21"/>
      <c r="K120" s="22"/>
      <c r="N120" s="21"/>
      <c r="P120" s="22"/>
      <c r="S120" s="21"/>
    </row>
    <row r="121" spans="1:19" x14ac:dyDescent="0.35">
      <c r="A121" s="25">
        <v>44622</v>
      </c>
      <c r="B121" s="24">
        <v>21812.5</v>
      </c>
      <c r="C121" s="24">
        <v>21812.5</v>
      </c>
      <c r="D121" s="23">
        <f t="shared" si="1"/>
        <v>-7.5596089841733433E-3</v>
      </c>
      <c r="F121" s="22"/>
      <c r="I121" s="21"/>
      <c r="K121" s="22"/>
      <c r="N121" s="21"/>
      <c r="P121" s="22"/>
      <c r="S121" s="21"/>
    </row>
    <row r="122" spans="1:19" x14ac:dyDescent="0.35">
      <c r="A122" s="25">
        <v>44623</v>
      </c>
      <c r="B122" s="24">
        <v>21714.47</v>
      </c>
      <c r="C122" s="24">
        <v>21714.47</v>
      </c>
      <c r="D122" s="23">
        <f t="shared" si="1"/>
        <v>-4.4942120343839011E-3</v>
      </c>
      <c r="F122" s="22"/>
      <c r="I122" s="21"/>
      <c r="K122" s="22"/>
      <c r="N122" s="21"/>
      <c r="P122" s="22"/>
      <c r="S122" s="21"/>
    </row>
    <row r="123" spans="1:19" x14ac:dyDescent="0.35">
      <c r="A123" s="25">
        <v>44624</v>
      </c>
      <c r="B123" s="24">
        <v>21341.5</v>
      </c>
      <c r="C123" s="24">
        <v>21341.5</v>
      </c>
      <c r="D123" s="23">
        <f t="shared" si="1"/>
        <v>-1.7176104229115478E-2</v>
      </c>
      <c r="F123" s="22"/>
      <c r="I123" s="21"/>
      <c r="K123" s="22"/>
      <c r="N123" s="21"/>
      <c r="P123" s="22"/>
      <c r="S123" s="21"/>
    </row>
    <row r="124" spans="1:19" x14ac:dyDescent="0.35">
      <c r="A124" s="25">
        <v>44627</v>
      </c>
      <c r="B124" s="24">
        <v>20836.23</v>
      </c>
      <c r="C124" s="24">
        <v>20836.23</v>
      </c>
      <c r="D124" s="23">
        <f t="shared" si="1"/>
        <v>-2.3675467984912046E-2</v>
      </c>
      <c r="F124" s="22"/>
      <c r="I124" s="21"/>
      <c r="K124" s="22"/>
      <c r="N124" s="21"/>
      <c r="P124" s="22"/>
      <c r="S124" s="21"/>
    </row>
    <row r="125" spans="1:19" x14ac:dyDescent="0.35">
      <c r="A125" s="25">
        <v>44628</v>
      </c>
      <c r="B125" s="24">
        <v>21055.17</v>
      </c>
      <c r="C125" s="24">
        <v>21055.17</v>
      </c>
      <c r="D125" s="23">
        <f t="shared" si="1"/>
        <v>1.050765901509048E-2</v>
      </c>
      <c r="F125" s="22"/>
      <c r="I125" s="21"/>
      <c r="K125" s="22"/>
      <c r="N125" s="21"/>
      <c r="P125" s="22"/>
      <c r="S125" s="21"/>
    </row>
    <row r="126" spans="1:19" x14ac:dyDescent="0.35">
      <c r="A126" s="25">
        <v>44629</v>
      </c>
      <c r="B126" s="24">
        <v>21477.68</v>
      </c>
      <c r="C126" s="24">
        <v>21477.68</v>
      </c>
      <c r="D126" s="23">
        <f t="shared" si="1"/>
        <v>2.0066805444933576E-2</v>
      </c>
      <c r="F126" s="22"/>
      <c r="I126" s="21"/>
      <c r="K126" s="22"/>
      <c r="N126" s="21"/>
      <c r="P126" s="22"/>
      <c r="S126" s="21"/>
    </row>
    <row r="127" spans="1:19" x14ac:dyDescent="0.35">
      <c r="A127" s="25">
        <v>44630</v>
      </c>
      <c r="B127" s="24">
        <v>21799.49</v>
      </c>
      <c r="C127" s="24">
        <v>21799.49</v>
      </c>
      <c r="D127" s="23">
        <f t="shared" si="1"/>
        <v>1.4983461900913009E-2</v>
      </c>
      <c r="F127" s="22"/>
      <c r="I127" s="21"/>
      <c r="K127" s="22"/>
      <c r="N127" s="21"/>
      <c r="P127" s="22"/>
      <c r="S127" s="21"/>
    </row>
    <row r="128" spans="1:19" x14ac:dyDescent="0.35">
      <c r="A128" s="25">
        <v>44631</v>
      </c>
      <c r="B128" s="24">
        <v>21873.99</v>
      </c>
      <c r="C128" s="24">
        <v>21873.99</v>
      </c>
      <c r="D128" s="23">
        <f t="shared" si="1"/>
        <v>3.4175111436093226E-3</v>
      </c>
      <c r="F128" s="22"/>
      <c r="I128" s="21"/>
      <c r="K128" s="22"/>
      <c r="N128" s="21"/>
      <c r="P128" s="22"/>
      <c r="S128" s="21"/>
    </row>
    <row r="129" spans="1:19" x14ac:dyDescent="0.35">
      <c r="A129" s="25">
        <v>44634</v>
      </c>
      <c r="B129" s="24">
        <v>22085.19</v>
      </c>
      <c r="C129" s="24">
        <v>22085.19</v>
      </c>
      <c r="D129" s="23">
        <f t="shared" si="1"/>
        <v>9.6553029419871299E-3</v>
      </c>
      <c r="F129" s="22"/>
      <c r="I129" s="21"/>
      <c r="K129" s="22"/>
      <c r="N129" s="21"/>
      <c r="P129" s="22"/>
      <c r="S129" s="21"/>
    </row>
    <row r="130" spans="1:19" x14ac:dyDescent="0.35">
      <c r="A130" s="25">
        <v>44635</v>
      </c>
      <c r="B130" s="24">
        <v>21841.279999999999</v>
      </c>
      <c r="C130" s="24">
        <v>21841.279999999999</v>
      </c>
      <c r="D130" s="23">
        <f t="shared" si="1"/>
        <v>-1.1044052598143818E-2</v>
      </c>
      <c r="F130" s="22"/>
      <c r="I130" s="21"/>
      <c r="K130" s="22"/>
      <c r="N130" s="21"/>
      <c r="P130" s="22"/>
      <c r="S130" s="21"/>
    </row>
    <row r="131" spans="1:19" x14ac:dyDescent="0.35">
      <c r="A131" s="25">
        <v>44636</v>
      </c>
      <c r="B131" s="24">
        <v>22250.14</v>
      </c>
      <c r="C131" s="24">
        <v>22250.14</v>
      </c>
      <c r="D131" s="23">
        <f t="shared" ref="D131:D194" si="2">(B131-B130)/B130</f>
        <v>1.8719598851349398E-2</v>
      </c>
      <c r="F131" s="22"/>
      <c r="I131" s="21"/>
      <c r="K131" s="22"/>
      <c r="N131" s="21"/>
      <c r="P131" s="22"/>
      <c r="S131" s="21"/>
    </row>
    <row r="132" spans="1:19" x14ac:dyDescent="0.35">
      <c r="A132" s="25">
        <v>44637</v>
      </c>
      <c r="B132" s="24">
        <v>22618.83</v>
      </c>
      <c r="C132" s="24">
        <v>22618.83</v>
      </c>
      <c r="D132" s="23">
        <f t="shared" si="2"/>
        <v>1.6570232816512719E-2</v>
      </c>
      <c r="F132" s="22"/>
      <c r="I132" s="21"/>
      <c r="K132" s="22"/>
      <c r="N132" s="21"/>
      <c r="P132" s="22"/>
      <c r="S132" s="21"/>
    </row>
    <row r="133" spans="1:19" x14ac:dyDescent="0.35">
      <c r="A133" s="25">
        <v>44641</v>
      </c>
      <c r="B133" s="24">
        <v>22437.279999999999</v>
      </c>
      <c r="C133" s="24">
        <v>22437.279999999999</v>
      </c>
      <c r="D133" s="23">
        <f t="shared" si="2"/>
        <v>-8.0264982759940678E-3</v>
      </c>
      <c r="F133" s="22"/>
      <c r="I133" s="21"/>
      <c r="K133" s="22"/>
      <c r="L133" s="24"/>
      <c r="M133" s="24"/>
      <c r="N133" s="21"/>
      <c r="P133" s="22"/>
      <c r="S133" s="21"/>
    </row>
    <row r="134" spans="1:19" x14ac:dyDescent="0.35">
      <c r="A134" s="25">
        <v>44642</v>
      </c>
      <c r="B134" s="24">
        <v>22624.23</v>
      </c>
      <c r="C134" s="24">
        <v>22624.23</v>
      </c>
      <c r="D134" s="23">
        <f t="shared" si="2"/>
        <v>8.3321151226887005E-3</v>
      </c>
      <c r="F134" s="22"/>
      <c r="I134" s="21"/>
      <c r="K134" s="22"/>
      <c r="N134" s="21"/>
      <c r="P134" s="22"/>
      <c r="S134" s="21"/>
    </row>
    <row r="135" spans="1:19" x14ac:dyDescent="0.35">
      <c r="A135" s="25">
        <v>44643</v>
      </c>
      <c r="B135" s="24">
        <v>22579.87</v>
      </c>
      <c r="C135" s="24">
        <v>22579.87</v>
      </c>
      <c r="D135" s="23">
        <f t="shared" si="2"/>
        <v>-1.960729713232255E-3</v>
      </c>
      <c r="F135" s="22"/>
      <c r="I135" s="21"/>
      <c r="K135" s="22"/>
      <c r="L135" s="24"/>
      <c r="M135" s="24"/>
      <c r="N135" s="21"/>
      <c r="P135" s="22"/>
      <c r="S135" s="21"/>
    </row>
    <row r="136" spans="1:19" x14ac:dyDescent="0.35">
      <c r="A136" s="25">
        <v>44644</v>
      </c>
      <c r="B136" s="24">
        <v>22586.94</v>
      </c>
      <c r="C136" s="24">
        <v>22586.94</v>
      </c>
      <c r="D136" s="23">
        <f t="shared" si="2"/>
        <v>3.13110748644687E-4</v>
      </c>
      <c r="F136" s="22"/>
      <c r="I136" s="21"/>
      <c r="K136" s="22"/>
      <c r="N136" s="21"/>
      <c r="P136" s="22"/>
      <c r="S136" s="21"/>
    </row>
    <row r="137" spans="1:19" x14ac:dyDescent="0.35">
      <c r="A137" s="25">
        <v>44645</v>
      </c>
      <c r="B137" s="24">
        <v>22513.87</v>
      </c>
      <c r="C137" s="24">
        <v>22513.87</v>
      </c>
      <c r="D137" s="23">
        <f t="shared" si="2"/>
        <v>-3.2350553018691205E-3</v>
      </c>
      <c r="F137" s="22"/>
      <c r="I137" s="21"/>
      <c r="K137" s="22"/>
      <c r="L137" s="24"/>
      <c r="M137" s="24"/>
      <c r="N137" s="21"/>
      <c r="P137" s="22"/>
      <c r="S137" s="21"/>
    </row>
    <row r="138" spans="1:19" x14ac:dyDescent="0.35">
      <c r="A138" s="25">
        <v>44648</v>
      </c>
      <c r="B138" s="24">
        <v>22551.67</v>
      </c>
      <c r="C138" s="24">
        <v>22551.67</v>
      </c>
      <c r="D138" s="23">
        <f t="shared" si="2"/>
        <v>1.6789650113463066E-3</v>
      </c>
      <c r="F138" s="22"/>
      <c r="I138" s="21"/>
      <c r="K138" s="22"/>
      <c r="N138" s="21"/>
      <c r="P138" s="22"/>
      <c r="S138" s="21"/>
    </row>
    <row r="139" spans="1:19" x14ac:dyDescent="0.35">
      <c r="A139" s="25">
        <v>44649</v>
      </c>
      <c r="B139" s="24">
        <v>22684.14</v>
      </c>
      <c r="C139" s="24">
        <v>22684.14</v>
      </c>
      <c r="D139" s="23">
        <f t="shared" si="2"/>
        <v>5.8740660891189508E-3</v>
      </c>
      <c r="F139" s="22"/>
      <c r="I139" s="21"/>
      <c r="K139" s="22"/>
      <c r="L139" s="24"/>
      <c r="M139" s="24"/>
      <c r="N139" s="21"/>
      <c r="P139" s="22"/>
      <c r="S139" s="21"/>
    </row>
    <row r="140" spans="1:19" x14ac:dyDescent="0.35">
      <c r="A140" s="25">
        <v>44650</v>
      </c>
      <c r="B140" s="24">
        <v>22892.81</v>
      </c>
      <c r="C140" s="24">
        <v>22892.81</v>
      </c>
      <c r="D140" s="23">
        <f t="shared" si="2"/>
        <v>9.1989381127079058E-3</v>
      </c>
      <c r="F140" s="22"/>
      <c r="I140" s="21"/>
      <c r="K140" s="22"/>
      <c r="L140" s="24"/>
      <c r="M140" s="24"/>
      <c r="N140" s="21"/>
      <c r="P140" s="22"/>
      <c r="S140" s="21"/>
    </row>
    <row r="141" spans="1:19" x14ac:dyDescent="0.35">
      <c r="A141" s="25">
        <v>44651</v>
      </c>
      <c r="B141" s="24">
        <v>22889.14</v>
      </c>
      <c r="C141" s="24">
        <v>22889.14</v>
      </c>
      <c r="D141" s="23">
        <f t="shared" si="2"/>
        <v>-1.6031234260896289E-4</v>
      </c>
      <c r="F141" s="22"/>
      <c r="I141" s="21"/>
      <c r="K141" s="22"/>
      <c r="L141" s="24"/>
      <c r="M141" s="24"/>
      <c r="N141" s="21"/>
      <c r="P141" s="22"/>
      <c r="S141" s="21"/>
    </row>
    <row r="142" spans="1:19" x14ac:dyDescent="0.35">
      <c r="A142" s="25">
        <v>44652</v>
      </c>
      <c r="B142" s="24">
        <v>23185.39</v>
      </c>
      <c r="C142" s="24">
        <v>23185.39</v>
      </c>
      <c r="D142" s="23">
        <f t="shared" si="2"/>
        <v>1.2942819171012979E-2</v>
      </c>
      <c r="F142" s="22"/>
      <c r="I142" s="21"/>
      <c r="K142" s="22"/>
      <c r="L142" s="24"/>
      <c r="M142" s="24"/>
      <c r="N142" s="21"/>
      <c r="P142" s="22"/>
      <c r="S142" s="21"/>
    </row>
    <row r="143" spans="1:19" x14ac:dyDescent="0.35">
      <c r="A143" s="25">
        <v>44655</v>
      </c>
      <c r="B143" s="24">
        <v>23642.61</v>
      </c>
      <c r="C143" s="24">
        <v>23642.61</v>
      </c>
      <c r="D143" s="23">
        <f t="shared" si="2"/>
        <v>1.9720177232300219E-2</v>
      </c>
      <c r="F143" s="22"/>
      <c r="I143" s="21"/>
      <c r="K143" s="22"/>
      <c r="L143" s="24"/>
      <c r="M143" s="24"/>
      <c r="N143" s="21"/>
      <c r="P143" s="22"/>
      <c r="S143" s="21"/>
    </row>
    <row r="144" spans="1:19" x14ac:dyDescent="0.35">
      <c r="A144" s="25">
        <v>44656</v>
      </c>
      <c r="B144" s="24">
        <v>23653.78</v>
      </c>
      <c r="C144" s="24">
        <v>23653.78</v>
      </c>
      <c r="D144" s="23">
        <f t="shared" si="2"/>
        <v>4.7245206853212284E-4</v>
      </c>
      <c r="F144" s="22"/>
      <c r="I144" s="21"/>
      <c r="K144" s="22"/>
      <c r="L144" s="24"/>
      <c r="M144" s="24"/>
      <c r="N144" s="21"/>
      <c r="P144" s="22"/>
      <c r="S144" s="21"/>
    </row>
    <row r="145" spans="1:19" x14ac:dyDescent="0.35">
      <c r="A145" s="25">
        <v>44657</v>
      </c>
      <c r="B145" s="24">
        <v>23557.599999999999</v>
      </c>
      <c r="C145" s="24">
        <v>23557.599999999999</v>
      </c>
      <c r="D145" s="23">
        <f t="shared" si="2"/>
        <v>-4.0661577134817476E-3</v>
      </c>
      <c r="F145" s="22"/>
      <c r="I145" s="21"/>
      <c r="K145" s="22"/>
      <c r="L145" s="24"/>
      <c r="M145" s="24"/>
      <c r="N145" s="21"/>
      <c r="P145" s="22"/>
      <c r="S145" s="21"/>
    </row>
    <row r="146" spans="1:19" x14ac:dyDescent="0.35">
      <c r="A146" s="25">
        <v>44658</v>
      </c>
      <c r="B146" s="24">
        <v>23362.93</v>
      </c>
      <c r="C146" s="24">
        <v>23362.93</v>
      </c>
      <c r="D146" s="23">
        <f t="shared" si="2"/>
        <v>-8.2635752368661608E-3</v>
      </c>
      <c r="F146" s="22"/>
      <c r="I146" s="21"/>
      <c r="K146" s="22"/>
      <c r="L146" s="24"/>
      <c r="M146" s="24"/>
      <c r="N146" s="21"/>
      <c r="P146" s="22"/>
      <c r="S146" s="21"/>
    </row>
    <row r="147" spans="1:19" x14ac:dyDescent="0.35">
      <c r="A147" s="25">
        <v>44659</v>
      </c>
      <c r="B147" s="24">
        <v>23579.95</v>
      </c>
      <c r="C147" s="24">
        <v>23579.95</v>
      </c>
      <c r="D147" s="23">
        <f t="shared" si="2"/>
        <v>9.2890746152130936E-3</v>
      </c>
      <c r="F147" s="22"/>
      <c r="I147" s="21"/>
      <c r="K147" s="22"/>
      <c r="L147" s="24"/>
      <c r="M147" s="24"/>
      <c r="N147" s="21"/>
      <c r="P147" s="22"/>
      <c r="S147" s="21"/>
    </row>
    <row r="148" spans="1:19" x14ac:dyDescent="0.35">
      <c r="A148" s="25">
        <v>44662</v>
      </c>
      <c r="B148" s="24">
        <v>23553.95</v>
      </c>
      <c r="C148" s="24">
        <v>23553.95</v>
      </c>
      <c r="D148" s="23">
        <f t="shared" si="2"/>
        <v>-1.1026316849696459E-3</v>
      </c>
      <c r="F148" s="22"/>
      <c r="I148" s="21"/>
      <c r="K148" s="22"/>
      <c r="L148" s="24"/>
      <c r="M148" s="24"/>
      <c r="N148" s="21"/>
      <c r="P148" s="22"/>
      <c r="S148" s="21"/>
    </row>
    <row r="149" spans="1:19" x14ac:dyDescent="0.35">
      <c r="A149" s="25">
        <v>44663</v>
      </c>
      <c r="B149" s="24">
        <v>23306.86</v>
      </c>
      <c r="C149" s="24">
        <v>23306.86</v>
      </c>
      <c r="D149" s="23">
        <f t="shared" si="2"/>
        <v>-1.0490384839910084E-2</v>
      </c>
      <c r="F149" s="22"/>
      <c r="I149" s="21"/>
      <c r="K149" s="22"/>
      <c r="L149" s="24"/>
      <c r="M149" s="24"/>
      <c r="N149" s="21"/>
      <c r="P149" s="22"/>
      <c r="S149" s="21"/>
    </row>
    <row r="150" spans="1:19" x14ac:dyDescent="0.35">
      <c r="A150" s="25">
        <v>44664</v>
      </c>
      <c r="B150" s="24">
        <v>23266.65</v>
      </c>
      <c r="C150" s="24">
        <v>23266.65</v>
      </c>
      <c r="D150" s="23">
        <f t="shared" si="2"/>
        <v>-1.7252431258435981E-3</v>
      </c>
      <c r="F150" s="22"/>
      <c r="I150" s="21"/>
      <c r="K150" s="22"/>
      <c r="L150" s="24"/>
      <c r="M150" s="24"/>
      <c r="N150" s="21"/>
      <c r="P150" s="22"/>
      <c r="S150" s="21"/>
    </row>
    <row r="151" spans="1:19" x14ac:dyDescent="0.35">
      <c r="A151" s="25">
        <v>44669</v>
      </c>
      <c r="B151" s="24">
        <v>22940.09</v>
      </c>
      <c r="C151" s="24">
        <v>22940.09</v>
      </c>
      <c r="D151" s="23">
        <f t="shared" si="2"/>
        <v>-1.4035540140071788E-2</v>
      </c>
      <c r="F151" s="22"/>
      <c r="I151" s="21"/>
      <c r="K151" s="22"/>
      <c r="L151" s="24"/>
      <c r="M151" s="24"/>
      <c r="N151" s="21"/>
      <c r="P151" s="22"/>
      <c r="S151" s="21"/>
    </row>
    <row r="152" spans="1:19" x14ac:dyDescent="0.35">
      <c r="A152" s="25">
        <v>44670</v>
      </c>
      <c r="B152" s="24">
        <v>22634.01</v>
      </c>
      <c r="C152" s="24">
        <v>22634.01</v>
      </c>
      <c r="D152" s="23">
        <f t="shared" si="2"/>
        <v>-1.3342580608881733E-2</v>
      </c>
      <c r="F152" s="22"/>
      <c r="I152" s="21"/>
      <c r="K152" s="22"/>
      <c r="L152" s="24"/>
      <c r="M152" s="24"/>
      <c r="N152" s="21"/>
      <c r="P152" s="22"/>
      <c r="S152" s="21"/>
    </row>
    <row r="153" spans="1:19" x14ac:dyDescent="0.35">
      <c r="A153" s="25">
        <v>44671</v>
      </c>
      <c r="B153" s="24">
        <v>22824.1</v>
      </c>
      <c r="C153" s="24">
        <v>22824.1</v>
      </c>
      <c r="D153" s="23">
        <f t="shared" si="2"/>
        <v>8.3984234344687565E-3</v>
      </c>
      <c r="F153" s="22"/>
      <c r="I153" s="21"/>
      <c r="K153" s="22"/>
      <c r="L153" s="24"/>
      <c r="M153" s="24"/>
      <c r="N153" s="21"/>
      <c r="P153" s="22"/>
      <c r="S153" s="21"/>
    </row>
    <row r="154" spans="1:19" x14ac:dyDescent="0.35">
      <c r="A154" s="25">
        <v>44672</v>
      </c>
      <c r="B154" s="24">
        <v>23137.67</v>
      </c>
      <c r="C154" s="24">
        <v>23137.67</v>
      </c>
      <c r="D154" s="23">
        <f t="shared" si="2"/>
        <v>1.3738548288870086E-2</v>
      </c>
      <c r="F154" s="22"/>
      <c r="I154" s="21"/>
      <c r="K154" s="22"/>
      <c r="L154" s="24"/>
      <c r="M154" s="24"/>
      <c r="N154" s="21"/>
      <c r="P154" s="22"/>
      <c r="S154" s="21"/>
    </row>
    <row r="155" spans="1:19" x14ac:dyDescent="0.35">
      <c r="A155" s="25">
        <v>44673</v>
      </c>
      <c r="B155" s="24">
        <v>22893.200000000001</v>
      </c>
      <c r="C155" s="24">
        <v>22893.200000000001</v>
      </c>
      <c r="D155" s="23">
        <f t="shared" si="2"/>
        <v>-1.0565886712015408E-2</v>
      </c>
      <c r="F155" s="22"/>
      <c r="I155" s="21"/>
      <c r="K155" s="22"/>
      <c r="L155" s="24"/>
      <c r="M155" s="24"/>
      <c r="N155" s="21"/>
      <c r="P155" s="22"/>
      <c r="S155" s="21"/>
    </row>
    <row r="156" spans="1:19" x14ac:dyDescent="0.35">
      <c r="A156" s="25">
        <v>44676</v>
      </c>
      <c r="B156" s="24">
        <v>22552.63</v>
      </c>
      <c r="C156" s="24">
        <v>22552.63</v>
      </c>
      <c r="D156" s="23">
        <f t="shared" si="2"/>
        <v>-1.4876469868781984E-2</v>
      </c>
      <c r="F156" s="22"/>
      <c r="I156" s="21"/>
      <c r="K156" s="22"/>
      <c r="L156" s="24"/>
      <c r="M156" s="24"/>
      <c r="N156" s="21"/>
      <c r="P156" s="22"/>
      <c r="S156" s="21"/>
    </row>
    <row r="157" spans="1:19" x14ac:dyDescent="0.35">
      <c r="A157" s="25">
        <v>44677</v>
      </c>
      <c r="B157" s="24">
        <v>22899.02</v>
      </c>
      <c r="C157" s="24">
        <v>22899.02</v>
      </c>
      <c r="D157" s="23">
        <f t="shared" si="2"/>
        <v>1.5359184272521626E-2</v>
      </c>
      <c r="F157" s="22"/>
      <c r="I157" s="21"/>
      <c r="K157" s="22"/>
      <c r="L157" s="24"/>
      <c r="M157" s="24"/>
      <c r="N157" s="21"/>
      <c r="P157" s="22"/>
      <c r="S157" s="21"/>
    </row>
    <row r="158" spans="1:19" x14ac:dyDescent="0.35">
      <c r="A158" s="25">
        <v>44678</v>
      </c>
      <c r="B158" s="24">
        <v>22680.26</v>
      </c>
      <c r="C158" s="24">
        <v>22680.26</v>
      </c>
      <c r="D158" s="23">
        <f t="shared" si="2"/>
        <v>-9.5532472568695976E-3</v>
      </c>
      <c r="F158" s="22"/>
      <c r="I158" s="21"/>
      <c r="K158" s="22"/>
      <c r="L158" s="24"/>
      <c r="M158" s="24"/>
      <c r="N158" s="21"/>
      <c r="P158" s="22"/>
      <c r="S158" s="21"/>
    </row>
    <row r="159" spans="1:19" x14ac:dyDescent="0.35">
      <c r="A159" s="25">
        <v>44679</v>
      </c>
      <c r="B159" s="24">
        <v>22926.74</v>
      </c>
      <c r="C159" s="24">
        <v>22926.74</v>
      </c>
      <c r="D159" s="23">
        <f t="shared" si="2"/>
        <v>1.0867600283242044E-2</v>
      </c>
      <c r="F159" s="22"/>
      <c r="I159" s="21"/>
      <c r="K159" s="22"/>
      <c r="L159" s="24"/>
      <c r="M159" s="24"/>
      <c r="N159" s="21"/>
      <c r="P159" s="22"/>
      <c r="S159" s="21"/>
    </row>
    <row r="160" spans="1:19" x14ac:dyDescent="0.35">
      <c r="A160" s="25">
        <v>44680</v>
      </c>
      <c r="B160" s="24">
        <v>22726.01</v>
      </c>
      <c r="C160" s="24">
        <v>22726.01</v>
      </c>
      <c r="D160" s="23">
        <f t="shared" si="2"/>
        <v>-8.7552787705536504E-3</v>
      </c>
      <c r="F160" s="22"/>
      <c r="I160" s="21"/>
      <c r="K160" s="22"/>
      <c r="L160" s="24"/>
      <c r="M160" s="24"/>
      <c r="N160" s="21"/>
      <c r="P160" s="22"/>
      <c r="S160" s="21"/>
    </row>
    <row r="161" spans="1:19" x14ac:dyDescent="0.35">
      <c r="A161" s="25">
        <v>44683</v>
      </c>
      <c r="B161" s="24">
        <v>22653.68</v>
      </c>
      <c r="C161" s="24">
        <v>22653.68</v>
      </c>
      <c r="D161" s="23">
        <f t="shared" si="2"/>
        <v>-3.1826968306358271E-3</v>
      </c>
      <c r="F161" s="22"/>
      <c r="I161" s="21"/>
      <c r="K161" s="22"/>
      <c r="L161" s="24"/>
      <c r="M161" s="24"/>
      <c r="N161" s="21"/>
      <c r="P161" s="22"/>
      <c r="S161" s="21"/>
    </row>
    <row r="162" spans="1:19" x14ac:dyDescent="0.35">
      <c r="A162" s="25">
        <v>44685</v>
      </c>
      <c r="B162" s="24">
        <v>22126.53</v>
      </c>
      <c r="C162" s="24">
        <v>22126.53</v>
      </c>
      <c r="D162" s="23">
        <f t="shared" si="2"/>
        <v>-2.3269949959565134E-2</v>
      </c>
      <c r="F162" s="22"/>
      <c r="I162" s="21"/>
      <c r="K162" s="22"/>
      <c r="L162" s="24"/>
      <c r="M162" s="24"/>
      <c r="N162" s="21"/>
      <c r="P162" s="22"/>
      <c r="S162" s="21"/>
    </row>
    <row r="163" spans="1:19" x14ac:dyDescent="0.35">
      <c r="A163" s="25">
        <v>44686</v>
      </c>
      <c r="B163" s="24">
        <v>22130.39</v>
      </c>
      <c r="C163" s="24">
        <v>22130.39</v>
      </c>
      <c r="D163" s="23">
        <f t="shared" si="2"/>
        <v>1.7445121309127921E-4</v>
      </c>
      <c r="F163" s="22"/>
      <c r="I163" s="21"/>
      <c r="K163" s="22"/>
      <c r="N163" s="21"/>
      <c r="P163" s="22"/>
      <c r="S163" s="21"/>
    </row>
    <row r="164" spans="1:19" x14ac:dyDescent="0.35">
      <c r="A164" s="25">
        <v>44687</v>
      </c>
      <c r="B164" s="24">
        <v>21746.45</v>
      </c>
      <c r="C164" s="24">
        <v>21746.45</v>
      </c>
      <c r="D164" s="23">
        <f t="shared" si="2"/>
        <v>-1.734899384963386E-2</v>
      </c>
      <c r="F164" s="22"/>
      <c r="I164" s="21"/>
      <c r="K164" s="22"/>
      <c r="N164" s="21"/>
      <c r="P164" s="22"/>
      <c r="S164" s="21"/>
    </row>
    <row r="165" spans="1:19" x14ac:dyDescent="0.35">
      <c r="A165" s="25">
        <v>44690</v>
      </c>
      <c r="B165" s="24">
        <v>21509.71</v>
      </c>
      <c r="C165" s="24">
        <v>21509.71</v>
      </c>
      <c r="D165" s="23">
        <f t="shared" si="2"/>
        <v>-1.08863745576865E-2</v>
      </c>
      <c r="F165" s="22"/>
      <c r="I165" s="21"/>
      <c r="K165" s="22"/>
      <c r="N165" s="21"/>
      <c r="P165" s="22"/>
      <c r="S165" s="21"/>
    </row>
    <row r="166" spans="1:19" x14ac:dyDescent="0.35">
      <c r="A166" s="25">
        <v>44691</v>
      </c>
      <c r="B166" s="24">
        <v>21301.05</v>
      </c>
      <c r="C166" s="24">
        <v>21301.05</v>
      </c>
      <c r="D166" s="23">
        <f t="shared" si="2"/>
        <v>-9.7007351563549605E-3</v>
      </c>
      <c r="F166" s="22"/>
      <c r="I166" s="21"/>
      <c r="K166" s="22"/>
      <c r="N166" s="21"/>
      <c r="P166" s="22"/>
      <c r="S166" s="21"/>
    </row>
    <row r="167" spans="1:19" x14ac:dyDescent="0.35">
      <c r="A167" s="25">
        <v>44692</v>
      </c>
      <c r="B167" s="24">
        <v>21171.75</v>
      </c>
      <c r="C167" s="24">
        <v>21171.75</v>
      </c>
      <c r="D167" s="23">
        <f t="shared" si="2"/>
        <v>-6.0701233037807655E-3</v>
      </c>
      <c r="F167" s="22"/>
      <c r="I167" s="21"/>
      <c r="K167" s="22"/>
      <c r="N167" s="21"/>
      <c r="P167" s="22"/>
      <c r="S167" s="21"/>
    </row>
    <row r="168" spans="1:19" x14ac:dyDescent="0.35">
      <c r="A168" s="25">
        <v>44693</v>
      </c>
      <c r="B168" s="24">
        <v>20714.03</v>
      </c>
      <c r="C168" s="24">
        <v>20714.03</v>
      </c>
      <c r="D168" s="23">
        <f t="shared" si="2"/>
        <v>-2.161937487453806E-2</v>
      </c>
      <c r="F168" s="22"/>
      <c r="I168" s="21"/>
      <c r="K168" s="22"/>
      <c r="N168" s="21"/>
      <c r="P168" s="22"/>
      <c r="S168" s="21"/>
    </row>
    <row r="169" spans="1:19" x14ac:dyDescent="0.35">
      <c r="A169" s="25">
        <v>44694</v>
      </c>
      <c r="B169" s="24">
        <v>20723.68</v>
      </c>
      <c r="C169" s="24">
        <v>20723.68</v>
      </c>
      <c r="D169" s="23">
        <f t="shared" si="2"/>
        <v>4.6586782002350365E-4</v>
      </c>
      <c r="F169" s="22"/>
      <c r="I169" s="21"/>
      <c r="K169" s="22"/>
      <c r="N169" s="21"/>
      <c r="P169" s="22"/>
      <c r="S169" s="21"/>
    </row>
    <row r="170" spans="1:19" x14ac:dyDescent="0.35">
      <c r="A170" s="25">
        <v>44697</v>
      </c>
      <c r="B170" s="24">
        <v>20877.04</v>
      </c>
      <c r="C170" s="24">
        <v>20877.04</v>
      </c>
      <c r="D170" s="23">
        <f t="shared" si="2"/>
        <v>7.400230074967408E-3</v>
      </c>
      <c r="F170" s="22"/>
      <c r="I170" s="21"/>
      <c r="K170" s="22"/>
      <c r="N170" s="21"/>
      <c r="P170" s="22"/>
      <c r="S170" s="21"/>
    </row>
    <row r="171" spans="1:19" x14ac:dyDescent="0.35">
      <c r="A171" s="25">
        <v>44698</v>
      </c>
      <c r="B171" s="24">
        <v>21423.03</v>
      </c>
      <c r="C171" s="24">
        <v>21423.03</v>
      </c>
      <c r="D171" s="23">
        <f t="shared" si="2"/>
        <v>2.615265382448843E-2</v>
      </c>
      <c r="F171" s="22"/>
      <c r="I171" s="21"/>
      <c r="K171" s="22"/>
      <c r="N171" s="21"/>
      <c r="P171" s="22"/>
      <c r="S171" s="21"/>
    </row>
    <row r="172" spans="1:19" x14ac:dyDescent="0.35">
      <c r="A172" s="25">
        <v>44699</v>
      </c>
      <c r="B172" s="24">
        <v>21410.98</v>
      </c>
      <c r="C172" s="24">
        <v>21410.98</v>
      </c>
      <c r="D172" s="23">
        <f t="shared" si="2"/>
        <v>-5.6247879034848354E-4</v>
      </c>
      <c r="F172" s="22"/>
      <c r="I172" s="21"/>
      <c r="K172" s="22"/>
      <c r="N172" s="21"/>
      <c r="P172" s="22"/>
      <c r="S172" s="21"/>
    </row>
    <row r="173" spans="1:19" x14ac:dyDescent="0.35">
      <c r="A173" s="25">
        <v>44700</v>
      </c>
      <c r="B173" s="24">
        <v>20845.900000000001</v>
      </c>
      <c r="C173" s="24">
        <v>20845.900000000001</v>
      </c>
      <c r="D173" s="23">
        <f t="shared" si="2"/>
        <v>-2.6392066126818957E-2</v>
      </c>
      <c r="F173" s="22"/>
      <c r="I173" s="21"/>
      <c r="K173" s="22"/>
      <c r="N173" s="21"/>
      <c r="P173" s="22"/>
      <c r="S173" s="21"/>
    </row>
    <row r="174" spans="1:19" x14ac:dyDescent="0.35">
      <c r="A174" s="25">
        <v>44701</v>
      </c>
      <c r="B174" s="24">
        <v>21375.43</v>
      </c>
      <c r="C174" s="24">
        <v>21375.43</v>
      </c>
      <c r="D174" s="23">
        <f t="shared" si="2"/>
        <v>2.5402117442758471E-2</v>
      </c>
      <c r="F174" s="22"/>
      <c r="I174" s="21"/>
      <c r="K174" s="22"/>
      <c r="N174" s="21"/>
      <c r="P174" s="22"/>
      <c r="S174" s="21"/>
    </row>
    <row r="175" spans="1:19" x14ac:dyDescent="0.35">
      <c r="A175" s="25">
        <v>44704</v>
      </c>
      <c r="B175" s="24">
        <v>21284.62</v>
      </c>
      <c r="C175" s="24">
        <v>21284.62</v>
      </c>
      <c r="D175" s="23">
        <f t="shared" si="2"/>
        <v>-4.2483355890385035E-3</v>
      </c>
      <c r="F175" s="22"/>
      <c r="I175" s="21"/>
      <c r="K175" s="22"/>
      <c r="N175" s="21"/>
      <c r="P175" s="22"/>
      <c r="S175" s="21"/>
    </row>
    <row r="176" spans="1:19" x14ac:dyDescent="0.35">
      <c r="A176" s="25">
        <v>44705</v>
      </c>
      <c r="B176" s="24">
        <v>21148.400000000001</v>
      </c>
      <c r="C176" s="24">
        <v>21148.400000000001</v>
      </c>
      <c r="D176" s="23">
        <f t="shared" si="2"/>
        <v>-6.3999263317831151E-3</v>
      </c>
      <c r="F176" s="22"/>
      <c r="I176" s="21"/>
      <c r="K176" s="22"/>
      <c r="N176" s="21"/>
      <c r="P176" s="22"/>
      <c r="S176" s="21"/>
    </row>
    <row r="177" spans="1:19" x14ac:dyDescent="0.35">
      <c r="A177" s="25">
        <v>44706</v>
      </c>
      <c r="B177" s="24">
        <v>20912.97</v>
      </c>
      <c r="C177" s="24">
        <v>20912.97</v>
      </c>
      <c r="D177" s="23">
        <f t="shared" si="2"/>
        <v>-1.1132284238996816E-2</v>
      </c>
      <c r="F177" s="22"/>
      <c r="I177" s="21"/>
      <c r="K177" s="22"/>
      <c r="N177" s="21"/>
      <c r="P177" s="22"/>
      <c r="S177" s="21"/>
    </row>
    <row r="178" spans="1:19" x14ac:dyDescent="0.35">
      <c r="A178" s="25">
        <v>44707</v>
      </c>
      <c r="B178" s="24">
        <v>21131.35</v>
      </c>
      <c r="C178" s="24">
        <v>21131.35</v>
      </c>
      <c r="D178" s="23">
        <f t="shared" si="2"/>
        <v>1.0442323591531829E-2</v>
      </c>
      <c r="F178" s="22"/>
      <c r="I178" s="21"/>
      <c r="K178" s="22"/>
      <c r="N178" s="21"/>
      <c r="P178" s="22"/>
      <c r="S178" s="21"/>
    </row>
    <row r="179" spans="1:19" x14ac:dyDescent="0.35">
      <c r="A179" s="25">
        <v>44708</v>
      </c>
      <c r="B179" s="24">
        <v>21363.35</v>
      </c>
      <c r="C179" s="24">
        <v>21363.35</v>
      </c>
      <c r="D179" s="23">
        <f t="shared" si="2"/>
        <v>1.0978948339788987E-2</v>
      </c>
      <c r="F179" s="22"/>
      <c r="I179" s="21"/>
      <c r="K179" s="22"/>
      <c r="N179" s="21"/>
      <c r="P179" s="22"/>
      <c r="S179" s="21"/>
    </row>
    <row r="180" spans="1:19" x14ac:dyDescent="0.35">
      <c r="A180" s="25">
        <v>44711</v>
      </c>
      <c r="B180" s="24">
        <v>21797.25</v>
      </c>
      <c r="C180" s="24">
        <v>21797.25</v>
      </c>
      <c r="D180" s="23">
        <f t="shared" si="2"/>
        <v>2.0310485012884284E-2</v>
      </c>
      <c r="F180" s="22"/>
      <c r="I180" s="21"/>
      <c r="K180" s="22"/>
      <c r="N180" s="21"/>
      <c r="P180" s="22"/>
      <c r="S180" s="21"/>
    </row>
    <row r="181" spans="1:19" x14ac:dyDescent="0.35">
      <c r="A181" s="25">
        <v>44712</v>
      </c>
      <c r="B181" s="24">
        <v>21765.82</v>
      </c>
      <c r="C181" s="24">
        <v>21765.82</v>
      </c>
      <c r="D181" s="23">
        <f t="shared" si="2"/>
        <v>-1.441925013476484E-3</v>
      </c>
      <c r="F181" s="22"/>
      <c r="I181" s="21"/>
      <c r="K181" s="22"/>
      <c r="N181" s="21"/>
      <c r="P181" s="22"/>
      <c r="S181" s="21"/>
    </row>
    <row r="182" spans="1:19" x14ac:dyDescent="0.35">
      <c r="A182" s="25">
        <v>44713</v>
      </c>
      <c r="B182" s="24">
        <v>21709.49</v>
      </c>
      <c r="C182" s="24">
        <v>21709.49</v>
      </c>
      <c r="D182" s="23">
        <f t="shared" si="2"/>
        <v>-2.5880026573773976E-3</v>
      </c>
      <c r="F182" s="22"/>
      <c r="I182" s="21"/>
      <c r="K182" s="22"/>
      <c r="N182" s="21"/>
      <c r="P182" s="22"/>
      <c r="S182" s="21"/>
    </row>
    <row r="183" spans="1:19" x14ac:dyDescent="0.35">
      <c r="A183" s="25">
        <v>44714</v>
      </c>
      <c r="B183" s="24">
        <v>21841.16</v>
      </c>
      <c r="C183" s="24">
        <v>21841.16</v>
      </c>
      <c r="D183" s="23">
        <f t="shared" si="2"/>
        <v>6.0650895069390507E-3</v>
      </c>
      <c r="F183" s="22"/>
      <c r="I183" s="21"/>
      <c r="K183" s="22"/>
      <c r="N183" s="21"/>
      <c r="P183" s="22"/>
      <c r="S183" s="21"/>
    </row>
    <row r="184" spans="1:19" x14ac:dyDescent="0.35">
      <c r="A184" s="25">
        <v>44715</v>
      </c>
      <c r="B184" s="24">
        <v>21702.58</v>
      </c>
      <c r="C184" s="24">
        <v>21702.58</v>
      </c>
      <c r="D184" s="23">
        <f t="shared" si="2"/>
        <v>-6.3449010949966989E-3</v>
      </c>
      <c r="F184" s="22"/>
      <c r="I184" s="21"/>
      <c r="K184" s="22"/>
      <c r="L184" s="24"/>
      <c r="M184" s="24"/>
      <c r="N184" s="21"/>
      <c r="P184" s="22"/>
      <c r="S184" s="21"/>
    </row>
    <row r="185" spans="1:19" x14ac:dyDescent="0.35">
      <c r="A185" s="25">
        <v>44718</v>
      </c>
      <c r="B185" s="24">
        <v>21666.17</v>
      </c>
      <c r="C185" s="24">
        <v>21666.17</v>
      </c>
      <c r="D185" s="23">
        <f t="shared" si="2"/>
        <v>-1.6776807181451924E-3</v>
      </c>
      <c r="F185" s="22"/>
      <c r="I185" s="21"/>
      <c r="K185" s="22"/>
      <c r="N185" s="21"/>
      <c r="P185" s="22"/>
      <c r="S185" s="21"/>
    </row>
    <row r="186" spans="1:19" x14ac:dyDescent="0.35">
      <c r="A186" s="25">
        <v>44719</v>
      </c>
      <c r="B186" s="24">
        <v>21483.599999999999</v>
      </c>
      <c r="C186" s="24">
        <v>21483.599999999999</v>
      </c>
      <c r="D186" s="23">
        <f t="shared" si="2"/>
        <v>-8.4265008536349405E-3</v>
      </c>
      <c r="F186" s="22"/>
      <c r="I186" s="21"/>
      <c r="K186" s="22"/>
      <c r="N186" s="21"/>
      <c r="P186" s="22"/>
      <c r="S186" s="21"/>
    </row>
    <row r="187" spans="1:19" x14ac:dyDescent="0.35">
      <c r="A187" s="25">
        <v>44720</v>
      </c>
      <c r="B187" s="24">
        <v>21483.599999999999</v>
      </c>
      <c r="C187" s="24">
        <v>21483.599999999999</v>
      </c>
      <c r="D187" s="23">
        <f t="shared" si="2"/>
        <v>0</v>
      </c>
      <c r="F187" s="22"/>
      <c r="I187" s="21"/>
      <c r="K187" s="22"/>
      <c r="N187" s="21"/>
      <c r="P187" s="22"/>
      <c r="S187" s="21"/>
    </row>
    <row r="188" spans="1:19" x14ac:dyDescent="0.35">
      <c r="A188" s="25">
        <v>44721</v>
      </c>
      <c r="B188" s="24">
        <v>21551</v>
      </c>
      <c r="C188" s="24">
        <v>21551</v>
      </c>
      <c r="D188" s="23">
        <f t="shared" si="2"/>
        <v>3.1372768064943241E-3</v>
      </c>
      <c r="F188" s="22"/>
      <c r="I188" s="21"/>
      <c r="K188" s="22"/>
      <c r="N188" s="21"/>
      <c r="P188" s="22"/>
      <c r="S188" s="21"/>
    </row>
    <row r="189" spans="1:19" x14ac:dyDescent="0.35">
      <c r="A189" s="25">
        <v>44722</v>
      </c>
      <c r="B189" s="24">
        <v>21250.32</v>
      </c>
      <c r="C189" s="24">
        <v>21250.32</v>
      </c>
      <c r="D189" s="23">
        <f t="shared" si="2"/>
        <v>-1.3952020787898487E-2</v>
      </c>
      <c r="F189" s="22"/>
      <c r="I189" s="21"/>
      <c r="K189" s="22"/>
      <c r="N189" s="21"/>
      <c r="P189" s="22"/>
      <c r="S189" s="21"/>
    </row>
    <row r="190" spans="1:19" x14ac:dyDescent="0.35">
      <c r="A190" s="25">
        <v>44725</v>
      </c>
      <c r="B190" s="24">
        <v>20687.8</v>
      </c>
      <c r="C190" s="24">
        <v>20687.8</v>
      </c>
      <c r="D190" s="23">
        <f t="shared" si="2"/>
        <v>-2.6471130787677571E-2</v>
      </c>
      <c r="F190" s="22"/>
      <c r="I190" s="21"/>
      <c r="K190" s="22"/>
      <c r="N190" s="21"/>
      <c r="P190" s="22"/>
      <c r="S190" s="21"/>
    </row>
    <row r="191" spans="1:19" x14ac:dyDescent="0.35">
      <c r="A191" s="25">
        <v>44726</v>
      </c>
      <c r="B191" s="24">
        <v>20644.23</v>
      </c>
      <c r="C191" s="24">
        <v>20644.23</v>
      </c>
      <c r="D191" s="23">
        <f t="shared" si="2"/>
        <v>-2.1060721778052623E-3</v>
      </c>
      <c r="F191" s="22"/>
      <c r="I191" s="21"/>
      <c r="K191" s="22"/>
      <c r="N191" s="21"/>
      <c r="P191" s="22"/>
      <c r="S191" s="21"/>
    </row>
    <row r="192" spans="1:19" x14ac:dyDescent="0.35">
      <c r="A192" s="25">
        <v>44727</v>
      </c>
      <c r="B192" s="24">
        <v>20646.77</v>
      </c>
      <c r="C192" s="24">
        <v>20646.77</v>
      </c>
      <c r="D192" s="23">
        <f t="shared" si="2"/>
        <v>1.2303680011319741E-4</v>
      </c>
      <c r="F192" s="22"/>
      <c r="I192" s="21"/>
      <c r="K192" s="22"/>
      <c r="N192" s="21"/>
      <c r="P192" s="22"/>
      <c r="S192" s="21"/>
    </row>
    <row r="193" spans="1:19" x14ac:dyDescent="0.35">
      <c r="A193" s="25">
        <v>44728</v>
      </c>
      <c r="B193" s="24">
        <v>20197</v>
      </c>
      <c r="C193" s="24">
        <v>20197</v>
      </c>
      <c r="D193" s="23">
        <f t="shared" si="2"/>
        <v>-2.1784036921997988E-2</v>
      </c>
      <c r="F193" s="22"/>
      <c r="I193" s="21"/>
      <c r="K193" s="22"/>
      <c r="N193" s="21"/>
      <c r="P193" s="22"/>
      <c r="S193" s="21"/>
    </row>
    <row r="194" spans="1:19" x14ac:dyDescent="0.35">
      <c r="A194" s="25">
        <v>44729</v>
      </c>
      <c r="B194" s="24">
        <v>20052.330000000002</v>
      </c>
      <c r="C194" s="24">
        <v>20052.330000000002</v>
      </c>
      <c r="D194" s="23">
        <f t="shared" si="2"/>
        <v>-7.1629449918303835E-3</v>
      </c>
      <c r="F194" s="22"/>
      <c r="I194" s="21"/>
      <c r="K194" s="22"/>
      <c r="N194" s="21"/>
      <c r="P194" s="22"/>
      <c r="S194" s="21"/>
    </row>
    <row r="195" spans="1:19" x14ac:dyDescent="0.35">
      <c r="A195" s="25">
        <v>44732</v>
      </c>
      <c r="B195" s="24">
        <v>19985.84</v>
      </c>
      <c r="C195" s="24">
        <v>19985.84</v>
      </c>
      <c r="D195" s="23">
        <f t="shared" ref="D195:D258" si="3">(B195-B194)/B194</f>
        <v>-3.3158241461217521E-3</v>
      </c>
      <c r="F195" s="22"/>
      <c r="I195" s="21"/>
      <c r="K195" s="22"/>
      <c r="N195" s="21"/>
      <c r="P195" s="22"/>
      <c r="S195" s="21"/>
    </row>
    <row r="196" spans="1:19" x14ac:dyDescent="0.35">
      <c r="A196" s="25">
        <v>44733</v>
      </c>
      <c r="B196" s="24">
        <v>20435.5</v>
      </c>
      <c r="C196" s="24">
        <v>20435.5</v>
      </c>
      <c r="D196" s="23">
        <f t="shared" si="3"/>
        <v>2.2498929241903259E-2</v>
      </c>
      <c r="F196" s="22"/>
      <c r="I196" s="21"/>
      <c r="K196" s="22"/>
      <c r="N196" s="21"/>
      <c r="P196" s="22"/>
      <c r="S196" s="21"/>
    </row>
    <row r="197" spans="1:19" x14ac:dyDescent="0.35">
      <c r="A197" s="25">
        <v>44734</v>
      </c>
      <c r="B197" s="24">
        <v>20136.400000000001</v>
      </c>
      <c r="C197" s="24">
        <v>20136.400000000001</v>
      </c>
      <c r="D197" s="23">
        <f t="shared" si="3"/>
        <v>-1.4636294683271687E-2</v>
      </c>
      <c r="F197" s="22"/>
      <c r="I197" s="21"/>
      <c r="K197" s="22"/>
      <c r="N197" s="21"/>
      <c r="P197" s="22"/>
      <c r="S197" s="21"/>
    </row>
    <row r="198" spans="1:19" x14ac:dyDescent="0.35">
      <c r="A198" s="25">
        <v>44735</v>
      </c>
      <c r="B198" s="24">
        <v>20339.150000000001</v>
      </c>
      <c r="C198" s="24">
        <v>20339.150000000001</v>
      </c>
      <c r="D198" s="23">
        <f t="shared" si="3"/>
        <v>1.0068830575475259E-2</v>
      </c>
      <c r="F198" s="22"/>
      <c r="I198" s="21"/>
      <c r="K198" s="22"/>
      <c r="N198" s="21"/>
      <c r="P198" s="22"/>
      <c r="S198" s="21"/>
    </row>
    <row r="199" spans="1:19" x14ac:dyDescent="0.35">
      <c r="A199" s="25">
        <v>44736</v>
      </c>
      <c r="B199" s="24">
        <v>20561.02</v>
      </c>
      <c r="C199" s="24">
        <v>20561.02</v>
      </c>
      <c r="D199" s="23">
        <f t="shared" si="3"/>
        <v>1.0908518792574861E-2</v>
      </c>
      <c r="F199" s="22"/>
      <c r="I199" s="21"/>
      <c r="K199" s="22"/>
      <c r="N199" s="21"/>
      <c r="P199" s="22"/>
      <c r="S199" s="21"/>
    </row>
    <row r="200" spans="1:19" x14ac:dyDescent="0.35">
      <c r="A200" s="25">
        <v>44739</v>
      </c>
      <c r="B200" s="24">
        <v>20749.400000000001</v>
      </c>
      <c r="C200" s="24">
        <v>20749.400000000001</v>
      </c>
      <c r="D200" s="23">
        <f t="shared" si="3"/>
        <v>9.1619968270057143E-3</v>
      </c>
      <c r="F200" s="22"/>
      <c r="I200" s="21"/>
      <c r="K200" s="22"/>
      <c r="N200" s="21"/>
      <c r="P200" s="22"/>
      <c r="S200" s="21"/>
    </row>
    <row r="201" spans="1:19" x14ac:dyDescent="0.35">
      <c r="A201" s="25">
        <v>44740</v>
      </c>
      <c r="B201" s="24">
        <v>20779.919999999998</v>
      </c>
      <c r="C201" s="24">
        <v>20779.919999999998</v>
      </c>
      <c r="D201" s="23">
        <f t="shared" si="3"/>
        <v>1.4708859051344519E-3</v>
      </c>
      <c r="F201" s="22"/>
      <c r="I201" s="21"/>
      <c r="K201" s="22"/>
      <c r="N201" s="21"/>
      <c r="P201" s="22"/>
      <c r="S201" s="21"/>
    </row>
    <row r="202" spans="1:19" x14ac:dyDescent="0.35">
      <c r="A202" s="25">
        <v>44741</v>
      </c>
      <c r="B202" s="24">
        <v>20708.330000000002</v>
      </c>
      <c r="C202" s="24">
        <v>20708.330000000002</v>
      </c>
      <c r="D202" s="23">
        <f t="shared" si="3"/>
        <v>-3.4451528206074188E-3</v>
      </c>
      <c r="F202" s="22"/>
      <c r="I202" s="21"/>
      <c r="K202" s="22"/>
      <c r="N202" s="21"/>
      <c r="P202" s="22"/>
      <c r="S202" s="21"/>
    </row>
    <row r="203" spans="1:19" x14ac:dyDescent="0.35">
      <c r="A203" s="25">
        <v>44742</v>
      </c>
      <c r="B203" s="24">
        <v>20667.27</v>
      </c>
      <c r="C203" s="24">
        <v>20667.27</v>
      </c>
      <c r="D203" s="23">
        <f t="shared" si="3"/>
        <v>-1.9827769791190939E-3</v>
      </c>
      <c r="F203" s="22"/>
      <c r="I203" s="21"/>
      <c r="K203" s="22"/>
      <c r="N203" s="21"/>
      <c r="P203" s="22"/>
      <c r="S203" s="21"/>
    </row>
    <row r="204" spans="1:19" x14ac:dyDescent="0.35">
      <c r="A204" s="25">
        <v>44743</v>
      </c>
      <c r="B204" s="24">
        <v>20678.080000000002</v>
      </c>
      <c r="C204" s="24">
        <v>20678.080000000002</v>
      </c>
      <c r="D204" s="23">
        <f t="shared" si="3"/>
        <v>5.2304924646561011E-4</v>
      </c>
      <c r="F204" s="22"/>
      <c r="I204" s="21"/>
      <c r="K204" s="22"/>
      <c r="N204" s="21"/>
      <c r="P204" s="22"/>
      <c r="S204" s="21"/>
    </row>
    <row r="205" spans="1:19" x14ac:dyDescent="0.35">
      <c r="A205" s="25">
        <v>44746</v>
      </c>
      <c r="B205" s="24">
        <v>20802.77</v>
      </c>
      <c r="C205" s="24">
        <v>20802.77</v>
      </c>
      <c r="D205" s="23">
        <f t="shared" si="3"/>
        <v>6.0300569491944459E-3</v>
      </c>
      <c r="F205" s="22"/>
      <c r="I205" s="21"/>
      <c r="K205" s="22"/>
      <c r="N205" s="21"/>
      <c r="P205" s="22"/>
      <c r="S205" s="21"/>
    </row>
    <row r="206" spans="1:19" x14ac:dyDescent="0.35">
      <c r="A206" s="25">
        <v>44747</v>
      </c>
      <c r="B206" s="24">
        <v>20787.259999999998</v>
      </c>
      <c r="C206" s="24">
        <v>20787.259999999998</v>
      </c>
      <c r="D206" s="23">
        <f t="shared" si="3"/>
        <v>-7.4557378656794438E-4</v>
      </c>
      <c r="F206" s="22"/>
      <c r="I206" s="21"/>
      <c r="K206" s="22"/>
      <c r="N206" s="21"/>
      <c r="P206" s="22"/>
      <c r="S206" s="21"/>
    </row>
    <row r="207" spans="1:19" x14ac:dyDescent="0.35">
      <c r="A207" s="25">
        <v>44748</v>
      </c>
      <c r="B207" s="24">
        <v>21048.95</v>
      </c>
      <c r="C207" s="24">
        <v>21048.95</v>
      </c>
      <c r="D207" s="23">
        <f t="shared" si="3"/>
        <v>1.2588960738452415E-2</v>
      </c>
      <c r="F207" s="22"/>
      <c r="I207" s="21"/>
      <c r="K207" s="22"/>
      <c r="N207" s="21"/>
      <c r="P207" s="22"/>
      <c r="S207" s="21"/>
    </row>
    <row r="208" spans="1:19" x14ac:dyDescent="0.35">
      <c r="A208" s="25">
        <v>44749</v>
      </c>
      <c r="B208" s="24">
        <v>21257.79</v>
      </c>
      <c r="C208" s="24">
        <v>21257.79</v>
      </c>
      <c r="D208" s="23">
        <f t="shared" si="3"/>
        <v>9.9216350459286635E-3</v>
      </c>
      <c r="F208" s="22"/>
      <c r="I208" s="21"/>
      <c r="K208" s="22"/>
      <c r="N208" s="21"/>
      <c r="P208" s="22"/>
      <c r="S208" s="21"/>
    </row>
    <row r="209" spans="1:19" x14ac:dyDescent="0.35">
      <c r="A209" s="25">
        <v>44750</v>
      </c>
      <c r="B209" s="24">
        <v>21355.42</v>
      </c>
      <c r="C209" s="24">
        <v>21355.42</v>
      </c>
      <c r="D209" s="23">
        <f t="shared" si="3"/>
        <v>4.5926693226340728E-3</v>
      </c>
      <c r="F209" s="22"/>
      <c r="I209" s="21"/>
      <c r="K209" s="22"/>
      <c r="N209" s="21"/>
      <c r="P209" s="22"/>
      <c r="S209" s="21"/>
    </row>
    <row r="210" spans="1:19" x14ac:dyDescent="0.35">
      <c r="A210" s="25">
        <v>44753</v>
      </c>
      <c r="B210" s="24">
        <v>21446.79</v>
      </c>
      <c r="C210" s="24">
        <v>21446.79</v>
      </c>
      <c r="D210" s="23">
        <f t="shared" si="3"/>
        <v>4.2785391249623109E-3</v>
      </c>
      <c r="F210" s="22"/>
      <c r="I210" s="21"/>
      <c r="K210" s="22"/>
      <c r="N210" s="21"/>
      <c r="P210" s="22"/>
      <c r="S210" s="21"/>
    </row>
    <row r="211" spans="1:19" x14ac:dyDescent="0.35">
      <c r="A211" s="25">
        <v>44754</v>
      </c>
      <c r="B211" s="24">
        <v>21281.05</v>
      </c>
      <c r="C211" s="24">
        <v>21281.05</v>
      </c>
      <c r="D211" s="23">
        <f t="shared" si="3"/>
        <v>-7.7279630191745058E-3</v>
      </c>
      <c r="F211" s="22"/>
      <c r="I211" s="21"/>
      <c r="K211" s="22"/>
      <c r="N211" s="21"/>
      <c r="P211" s="22"/>
      <c r="S211" s="21"/>
    </row>
    <row r="212" spans="1:19" x14ac:dyDescent="0.35">
      <c r="A212" s="25">
        <v>44755</v>
      </c>
      <c r="B212" s="24">
        <v>21200.87</v>
      </c>
      <c r="C212" s="24">
        <v>21200.87</v>
      </c>
      <c r="D212" s="23">
        <f t="shared" si="3"/>
        <v>-3.7676712380263328E-3</v>
      </c>
      <c r="F212" s="22"/>
      <c r="I212" s="21"/>
      <c r="K212" s="22"/>
      <c r="N212" s="21"/>
      <c r="P212" s="22"/>
      <c r="S212" s="21"/>
    </row>
    <row r="213" spans="1:19" x14ac:dyDescent="0.35">
      <c r="A213" s="25">
        <v>44756</v>
      </c>
      <c r="B213" s="24">
        <v>21171.19</v>
      </c>
      <c r="C213" s="24">
        <v>21171.19</v>
      </c>
      <c r="D213" s="23">
        <f t="shared" si="3"/>
        <v>-1.3999425495274625E-3</v>
      </c>
      <c r="F213" s="22"/>
      <c r="I213" s="21"/>
      <c r="K213" s="22"/>
      <c r="N213" s="21"/>
      <c r="P213" s="22"/>
      <c r="S213" s="21"/>
    </row>
    <row r="214" spans="1:19" x14ac:dyDescent="0.35">
      <c r="A214" s="25">
        <v>44757</v>
      </c>
      <c r="B214" s="24">
        <v>21306.94</v>
      </c>
      <c r="C214" s="24">
        <v>21306.94</v>
      </c>
      <c r="D214" s="23">
        <f t="shared" si="3"/>
        <v>6.41201557399466E-3</v>
      </c>
      <c r="F214" s="22"/>
      <c r="I214" s="21"/>
      <c r="K214" s="22"/>
      <c r="N214" s="21"/>
      <c r="P214" s="22"/>
      <c r="S214" s="21"/>
    </row>
    <row r="215" spans="1:19" x14ac:dyDescent="0.35">
      <c r="A215" s="25">
        <v>44760</v>
      </c>
      <c r="B215" s="24">
        <v>21606.99</v>
      </c>
      <c r="C215" s="24">
        <v>21606.99</v>
      </c>
      <c r="D215" s="23">
        <f t="shared" si="3"/>
        <v>1.4082266153657114E-2</v>
      </c>
      <c r="F215" s="22"/>
      <c r="I215" s="21"/>
      <c r="K215" s="22"/>
      <c r="N215" s="21"/>
      <c r="P215" s="22"/>
      <c r="S215" s="21"/>
    </row>
    <row r="216" spans="1:19" x14ac:dyDescent="0.35">
      <c r="A216" s="25">
        <v>44761</v>
      </c>
      <c r="B216" s="24">
        <v>21714.15</v>
      </c>
      <c r="C216" s="24">
        <v>21714.15</v>
      </c>
      <c r="D216" s="23">
        <f t="shared" si="3"/>
        <v>4.959506159812165E-3</v>
      </c>
      <c r="F216" s="22"/>
      <c r="I216" s="21"/>
      <c r="K216" s="22"/>
      <c r="N216" s="21"/>
      <c r="P216" s="22"/>
      <c r="S216" s="21"/>
    </row>
    <row r="217" spans="1:19" x14ac:dyDescent="0.35">
      <c r="A217" s="25">
        <v>44762</v>
      </c>
      <c r="B217" s="24">
        <v>21888.95</v>
      </c>
      <c r="C217" s="24">
        <v>21888.95</v>
      </c>
      <c r="D217" s="23">
        <f t="shared" si="3"/>
        <v>8.0500503128144215E-3</v>
      </c>
      <c r="F217" s="22"/>
      <c r="I217" s="21"/>
      <c r="K217" s="22"/>
      <c r="L217" s="24"/>
      <c r="M217" s="24"/>
      <c r="N217" s="21"/>
      <c r="P217" s="22"/>
      <c r="S217" s="21"/>
    </row>
    <row r="218" spans="1:19" x14ac:dyDescent="0.35">
      <c r="A218" s="25">
        <v>44763</v>
      </c>
      <c r="B218" s="24">
        <v>22064.83</v>
      </c>
      <c r="C218" s="24">
        <v>22064.83</v>
      </c>
      <c r="D218" s="23">
        <f t="shared" si="3"/>
        <v>8.0351044705205595E-3</v>
      </c>
      <c r="F218" s="22"/>
      <c r="I218" s="21"/>
      <c r="K218" s="22"/>
      <c r="L218" s="24"/>
      <c r="M218" s="24"/>
      <c r="N218" s="21"/>
      <c r="P218" s="22"/>
      <c r="S218" s="21"/>
    </row>
    <row r="219" spans="1:19" x14ac:dyDescent="0.35">
      <c r="A219" s="25">
        <v>44764</v>
      </c>
      <c r="B219" s="24">
        <v>22165.119999999999</v>
      </c>
      <c r="C219" s="24">
        <v>22165.119999999999</v>
      </c>
      <c r="D219" s="23">
        <f t="shared" si="3"/>
        <v>4.5452423608066421E-3</v>
      </c>
      <c r="F219" s="22"/>
      <c r="I219" s="21"/>
      <c r="K219" s="22"/>
      <c r="L219" s="24"/>
      <c r="M219" s="24"/>
      <c r="N219" s="21"/>
      <c r="P219" s="22"/>
      <c r="S219" s="21"/>
    </row>
    <row r="220" spans="1:19" x14ac:dyDescent="0.35">
      <c r="A220" s="25">
        <v>44767</v>
      </c>
      <c r="B220" s="24">
        <v>22077.13</v>
      </c>
      <c r="C220" s="24">
        <v>22077.13</v>
      </c>
      <c r="D220" s="23">
        <f t="shared" si="3"/>
        <v>-3.9697506713249455E-3</v>
      </c>
      <c r="F220" s="22"/>
      <c r="I220" s="21"/>
      <c r="K220" s="22"/>
      <c r="L220" s="24"/>
      <c r="M220" s="24"/>
      <c r="N220" s="21"/>
      <c r="P220" s="22"/>
      <c r="S220" s="21"/>
    </row>
    <row r="221" spans="1:19" x14ac:dyDescent="0.35">
      <c r="A221" s="25">
        <v>44768</v>
      </c>
      <c r="B221" s="24">
        <v>21864.15</v>
      </c>
      <c r="C221" s="24">
        <v>21864.15</v>
      </c>
      <c r="D221" s="23">
        <f t="shared" si="3"/>
        <v>-9.6470872799136274E-3</v>
      </c>
      <c r="F221" s="22"/>
      <c r="I221" s="21"/>
      <c r="K221" s="22"/>
      <c r="L221" s="24"/>
      <c r="M221" s="24"/>
      <c r="N221" s="21"/>
      <c r="P221" s="22"/>
      <c r="S221" s="21"/>
    </row>
    <row r="222" spans="1:19" x14ac:dyDescent="0.35">
      <c r="A222" s="25">
        <v>44769</v>
      </c>
      <c r="B222" s="24">
        <v>22053.68</v>
      </c>
      <c r="C222" s="24">
        <v>22053.68</v>
      </c>
      <c r="D222" s="23">
        <f t="shared" si="3"/>
        <v>8.6685281613965697E-3</v>
      </c>
      <c r="F222" s="22"/>
      <c r="I222" s="21"/>
      <c r="K222" s="22"/>
      <c r="L222" s="24"/>
      <c r="M222" s="24"/>
      <c r="N222" s="21"/>
      <c r="P222" s="22"/>
      <c r="S222" s="21"/>
    </row>
    <row r="223" spans="1:19" x14ac:dyDescent="0.35">
      <c r="A223" s="25">
        <v>44770</v>
      </c>
      <c r="B223" s="24">
        <v>22374.32</v>
      </c>
      <c r="C223" s="24">
        <v>22374.32</v>
      </c>
      <c r="D223" s="23">
        <f t="shared" si="3"/>
        <v>1.4539070123444225E-2</v>
      </c>
      <c r="F223" s="22"/>
      <c r="I223" s="21"/>
      <c r="K223" s="22"/>
      <c r="L223" s="24"/>
      <c r="M223" s="24"/>
      <c r="N223" s="21"/>
      <c r="P223" s="22"/>
      <c r="S223" s="21"/>
    </row>
    <row r="224" spans="1:19" x14ac:dyDescent="0.35">
      <c r="A224" s="25">
        <v>44771</v>
      </c>
      <c r="B224" s="24">
        <v>22678.29</v>
      </c>
      <c r="C224" s="24">
        <v>22678.29</v>
      </c>
      <c r="D224" s="23">
        <f t="shared" si="3"/>
        <v>1.3585664279406086E-2</v>
      </c>
      <c r="F224" s="22"/>
      <c r="I224" s="21"/>
      <c r="K224" s="22"/>
      <c r="L224" s="24"/>
      <c r="M224" s="24"/>
      <c r="N224" s="21"/>
      <c r="P224" s="22"/>
      <c r="S224" s="21"/>
    </row>
    <row r="225" spans="1:19" x14ac:dyDescent="0.35">
      <c r="A225" s="25">
        <v>44774</v>
      </c>
      <c r="B225" s="24">
        <v>22960.55</v>
      </c>
      <c r="C225" s="24">
        <v>22960.55</v>
      </c>
      <c r="D225" s="23">
        <f t="shared" si="3"/>
        <v>1.2446264687505027E-2</v>
      </c>
      <c r="F225" s="22"/>
      <c r="I225" s="21"/>
      <c r="K225" s="22"/>
      <c r="L225" s="24"/>
      <c r="M225" s="24"/>
      <c r="N225" s="21"/>
      <c r="P225" s="22"/>
      <c r="S225" s="21"/>
    </row>
    <row r="226" spans="1:19" x14ac:dyDescent="0.35">
      <c r="A226" s="25">
        <v>44775</v>
      </c>
      <c r="B226" s="24">
        <v>23008.71</v>
      </c>
      <c r="C226" s="24">
        <v>23008.71</v>
      </c>
      <c r="D226" s="23">
        <f t="shared" si="3"/>
        <v>2.097510730361418E-3</v>
      </c>
      <c r="F226" s="22"/>
      <c r="I226" s="21"/>
      <c r="K226" s="22"/>
      <c r="L226" s="24"/>
      <c r="M226" s="24"/>
      <c r="N226" s="21"/>
      <c r="P226" s="22"/>
      <c r="S226" s="21"/>
    </row>
    <row r="227" spans="1:19" x14ac:dyDescent="0.35">
      <c r="A227" s="25">
        <v>44776</v>
      </c>
      <c r="B227" s="24">
        <v>23012.66</v>
      </c>
      <c r="C227" s="24">
        <v>23012.66</v>
      </c>
      <c r="D227" s="23">
        <f t="shared" si="3"/>
        <v>1.716741181926639E-4</v>
      </c>
      <c r="F227" s="22"/>
      <c r="I227" s="21"/>
      <c r="K227" s="22"/>
      <c r="L227" s="24"/>
      <c r="M227" s="24"/>
      <c r="N227" s="21"/>
      <c r="P227" s="22"/>
      <c r="S227" s="21"/>
    </row>
    <row r="228" spans="1:19" x14ac:dyDescent="0.35">
      <c r="A228" s="25">
        <v>44777</v>
      </c>
      <c r="B228" s="24">
        <v>23035.97</v>
      </c>
      <c r="C228" s="24">
        <v>23035.97</v>
      </c>
      <c r="D228" s="23">
        <f t="shared" si="3"/>
        <v>1.0129207140765696E-3</v>
      </c>
      <c r="F228" s="22"/>
      <c r="I228" s="21"/>
      <c r="K228" s="22"/>
      <c r="L228" s="24"/>
      <c r="M228" s="24"/>
      <c r="N228" s="21"/>
      <c r="P228" s="22"/>
      <c r="S228" s="21"/>
    </row>
    <row r="229" spans="1:19" x14ac:dyDescent="0.35">
      <c r="A229" s="25">
        <v>44778</v>
      </c>
      <c r="B229" s="24">
        <v>23048.31</v>
      </c>
      <c r="C229" s="24">
        <v>23048.31</v>
      </c>
      <c r="D229" s="23">
        <f t="shared" si="3"/>
        <v>5.3568397597323421E-4</v>
      </c>
      <c r="F229" s="22"/>
      <c r="I229" s="21"/>
      <c r="K229" s="22"/>
      <c r="L229" s="24"/>
      <c r="M229" s="24"/>
      <c r="N229" s="21"/>
      <c r="P229" s="22"/>
      <c r="S229" s="21"/>
    </row>
    <row r="230" spans="1:19" x14ac:dyDescent="0.35">
      <c r="A230" s="25">
        <v>44781</v>
      </c>
      <c r="B230" s="24">
        <v>23199.97</v>
      </c>
      <c r="C230" s="24">
        <v>23199.97</v>
      </c>
      <c r="D230" s="23">
        <f t="shared" si="3"/>
        <v>6.5800919893909725E-3</v>
      </c>
      <c r="F230" s="22"/>
      <c r="I230" s="21"/>
      <c r="K230" s="22"/>
      <c r="L230" s="24"/>
      <c r="M230" s="24"/>
      <c r="N230" s="21"/>
      <c r="P230" s="22"/>
      <c r="S230" s="21"/>
    </row>
    <row r="231" spans="1:19" x14ac:dyDescent="0.35">
      <c r="A231" s="25">
        <v>44783</v>
      </c>
      <c r="B231" s="24">
        <v>23191.7</v>
      </c>
      <c r="C231" s="24">
        <v>23191.7</v>
      </c>
      <c r="D231" s="23">
        <f t="shared" si="3"/>
        <v>-3.564659781887837E-4</v>
      </c>
      <c r="F231" s="22"/>
      <c r="I231" s="21"/>
      <c r="K231" s="22"/>
      <c r="L231" s="24"/>
      <c r="M231" s="24"/>
      <c r="N231" s="21"/>
      <c r="P231" s="22"/>
      <c r="S231" s="21"/>
    </row>
    <row r="232" spans="1:19" x14ac:dyDescent="0.35">
      <c r="A232" s="25">
        <v>44784</v>
      </c>
      <c r="B232" s="24">
        <v>23369.29</v>
      </c>
      <c r="C232" s="24">
        <v>23369.29</v>
      </c>
      <c r="D232" s="23">
        <f t="shared" si="3"/>
        <v>7.6574809091183547E-3</v>
      </c>
      <c r="F232" s="22"/>
      <c r="I232" s="21"/>
      <c r="K232" s="22"/>
      <c r="L232" s="24"/>
      <c r="M232" s="24"/>
      <c r="N232" s="21"/>
      <c r="P232" s="22"/>
      <c r="S232" s="21"/>
    </row>
    <row r="233" spans="1:19" x14ac:dyDescent="0.35">
      <c r="A233" s="25">
        <v>44785</v>
      </c>
      <c r="B233" s="24">
        <v>23440.39</v>
      </c>
      <c r="C233" s="24">
        <v>23440.39</v>
      </c>
      <c r="D233" s="23">
        <f t="shared" si="3"/>
        <v>3.0424544348586773E-3</v>
      </c>
      <c r="F233" s="22"/>
      <c r="I233" s="21"/>
      <c r="K233" s="22"/>
      <c r="L233" s="24"/>
      <c r="M233" s="24"/>
      <c r="N233" s="21"/>
      <c r="P233" s="22"/>
      <c r="S233" s="21"/>
    </row>
    <row r="234" spans="1:19" x14ac:dyDescent="0.35">
      <c r="A234" s="25">
        <v>44789</v>
      </c>
      <c r="B234" s="24">
        <v>23657</v>
      </c>
      <c r="C234" s="24">
        <v>23657</v>
      </c>
      <c r="D234" s="23">
        <f t="shared" si="3"/>
        <v>9.2408872036685644E-3</v>
      </c>
      <c r="F234" s="22"/>
      <c r="I234" s="21"/>
      <c r="K234" s="22"/>
      <c r="L234" s="24"/>
      <c r="M234" s="24"/>
      <c r="N234" s="21"/>
      <c r="P234" s="22"/>
      <c r="S234" s="21"/>
    </row>
    <row r="235" spans="1:19" x14ac:dyDescent="0.35">
      <c r="A235" s="25">
        <v>44790</v>
      </c>
      <c r="B235" s="24">
        <v>23809.95</v>
      </c>
      <c r="C235" s="24">
        <v>23809.95</v>
      </c>
      <c r="D235" s="23">
        <f t="shared" si="3"/>
        <v>6.4653168195460426E-3</v>
      </c>
      <c r="F235" s="22"/>
      <c r="I235" s="21"/>
      <c r="K235" s="22"/>
      <c r="L235" s="24"/>
      <c r="M235" s="24"/>
      <c r="N235" s="21"/>
      <c r="P235" s="22"/>
      <c r="S235" s="21"/>
    </row>
    <row r="236" spans="1:19" x14ac:dyDescent="0.35">
      <c r="A236" s="25">
        <v>44791</v>
      </c>
      <c r="B236" s="24">
        <v>23858.77</v>
      </c>
      <c r="C236" s="24">
        <v>23858.77</v>
      </c>
      <c r="D236" s="23">
        <f t="shared" si="3"/>
        <v>2.0504032977809576E-3</v>
      </c>
      <c r="F236" s="22"/>
      <c r="I236" s="21"/>
      <c r="K236" s="22"/>
      <c r="L236" s="24"/>
      <c r="M236" s="24"/>
      <c r="N236" s="21"/>
      <c r="P236" s="22"/>
      <c r="S236" s="21"/>
    </row>
    <row r="237" spans="1:19" x14ac:dyDescent="0.35">
      <c r="A237" s="25">
        <v>44792</v>
      </c>
      <c r="B237" s="24">
        <v>23602.41</v>
      </c>
      <c r="C237" s="24">
        <v>23602.41</v>
      </c>
      <c r="D237" s="23">
        <f t="shared" si="3"/>
        <v>-1.0744895902010061E-2</v>
      </c>
      <c r="F237" s="22"/>
      <c r="I237" s="21"/>
      <c r="K237" s="22"/>
      <c r="L237" s="24"/>
      <c r="M237" s="24"/>
      <c r="N237" s="21"/>
      <c r="P237" s="22"/>
      <c r="S237" s="21"/>
    </row>
    <row r="238" spans="1:19" x14ac:dyDescent="0.35">
      <c r="A238" s="25">
        <v>44795</v>
      </c>
      <c r="B238" s="24">
        <v>23238.86</v>
      </c>
      <c r="C238" s="24">
        <v>23238.86</v>
      </c>
      <c r="D238" s="23">
        <f t="shared" si="3"/>
        <v>-1.5403088074480499E-2</v>
      </c>
      <c r="F238" s="22"/>
      <c r="I238" s="21"/>
      <c r="K238" s="22"/>
      <c r="L238" s="24"/>
      <c r="M238" s="24"/>
      <c r="N238" s="21"/>
      <c r="P238" s="22"/>
      <c r="S238" s="21"/>
    </row>
    <row r="239" spans="1:19" x14ac:dyDescent="0.35">
      <c r="A239" s="25">
        <v>44796</v>
      </c>
      <c r="B239" s="24">
        <v>23376.55</v>
      </c>
      <c r="C239" s="24">
        <v>23376.55</v>
      </c>
      <c r="D239" s="23">
        <f t="shared" si="3"/>
        <v>5.9249894357984289E-3</v>
      </c>
      <c r="F239" s="22"/>
      <c r="I239" s="21"/>
      <c r="K239" s="22"/>
      <c r="L239" s="24"/>
      <c r="M239" s="24"/>
      <c r="N239" s="21"/>
      <c r="P239" s="22"/>
      <c r="S239" s="21"/>
    </row>
    <row r="240" spans="1:19" x14ac:dyDescent="0.35">
      <c r="A240" s="25">
        <v>44797</v>
      </c>
      <c r="B240" s="24">
        <v>23453.99</v>
      </c>
      <c r="C240" s="24">
        <v>23453.99</v>
      </c>
      <c r="D240" s="23">
        <f t="shared" si="3"/>
        <v>3.3127215093759488E-3</v>
      </c>
      <c r="F240" s="22"/>
      <c r="I240" s="21"/>
      <c r="K240" s="22"/>
      <c r="L240" s="24"/>
      <c r="M240" s="24"/>
      <c r="N240" s="21"/>
      <c r="P240" s="22"/>
      <c r="S240" s="21"/>
    </row>
    <row r="241" spans="1:19" x14ac:dyDescent="0.35">
      <c r="A241" s="25">
        <v>44798</v>
      </c>
      <c r="B241" s="24">
        <v>23392.71</v>
      </c>
      <c r="C241" s="24">
        <v>23392.71</v>
      </c>
      <c r="D241" s="23">
        <f t="shared" si="3"/>
        <v>-2.6127750544791086E-3</v>
      </c>
      <c r="F241" s="22"/>
      <c r="I241" s="21"/>
      <c r="K241" s="22"/>
      <c r="L241" s="24"/>
      <c r="M241" s="24"/>
      <c r="N241" s="21"/>
      <c r="P241" s="22"/>
      <c r="S241" s="21"/>
    </row>
    <row r="242" spans="1:19" x14ac:dyDescent="0.35">
      <c r="A242" s="25">
        <v>44799</v>
      </c>
      <c r="B242" s="24">
        <v>23465.33</v>
      </c>
      <c r="C242" s="24">
        <v>23465.33</v>
      </c>
      <c r="D242" s="23">
        <f t="shared" si="3"/>
        <v>3.1043859390383851E-3</v>
      </c>
      <c r="F242" s="22"/>
      <c r="I242" s="21"/>
      <c r="K242" s="22"/>
      <c r="L242" s="24"/>
      <c r="M242" s="24"/>
      <c r="N242" s="21"/>
      <c r="P242" s="22"/>
      <c r="S242" s="21"/>
    </row>
    <row r="243" spans="1:19" x14ac:dyDescent="0.35">
      <c r="A243" s="25">
        <v>44802</v>
      </c>
      <c r="B243" s="24">
        <v>23194.58</v>
      </c>
      <c r="C243" s="24">
        <v>23194.58</v>
      </c>
      <c r="D243" s="23">
        <f t="shared" si="3"/>
        <v>-1.1538299269603283E-2</v>
      </c>
      <c r="F243" s="22"/>
      <c r="I243" s="21"/>
      <c r="K243" s="22"/>
      <c r="L243" s="24"/>
      <c r="M243" s="24"/>
      <c r="N243" s="21"/>
      <c r="P243" s="22"/>
      <c r="S243" s="21"/>
    </row>
    <row r="244" spans="1:19" x14ac:dyDescent="0.35">
      <c r="A244" s="25">
        <v>44803</v>
      </c>
      <c r="B244" s="24">
        <v>23740.37</v>
      </c>
      <c r="C244" s="24">
        <v>23740.37</v>
      </c>
      <c r="D244" s="23">
        <f t="shared" si="3"/>
        <v>2.35309283461911E-2</v>
      </c>
      <c r="F244" s="22"/>
      <c r="I244" s="21"/>
      <c r="K244" s="22"/>
      <c r="L244" s="24"/>
      <c r="M244" s="24"/>
      <c r="N244" s="21"/>
      <c r="P244" s="22"/>
      <c r="S244" s="21"/>
    </row>
    <row r="245" spans="1:19" x14ac:dyDescent="0.35">
      <c r="A245" s="25">
        <v>44805</v>
      </c>
      <c r="B245" s="24">
        <v>23564.7</v>
      </c>
      <c r="C245" s="24">
        <v>23564.7</v>
      </c>
      <c r="D245" s="23">
        <f t="shared" si="3"/>
        <v>-7.3996319349697694E-3</v>
      </c>
      <c r="F245" s="22"/>
      <c r="I245" s="21"/>
      <c r="K245" s="22"/>
      <c r="L245" s="24"/>
      <c r="M245" s="24"/>
      <c r="N245" s="21"/>
      <c r="P245" s="22"/>
      <c r="S245" s="21"/>
    </row>
    <row r="246" spans="1:19" x14ac:dyDescent="0.35">
      <c r="A246" s="25">
        <v>44806</v>
      </c>
      <c r="B246" s="24">
        <v>23550.07</v>
      </c>
      <c r="C246" s="24">
        <v>23550.07</v>
      </c>
      <c r="D246" s="23">
        <f t="shared" si="3"/>
        <v>-6.2084388937695017E-4</v>
      </c>
      <c r="F246" s="22"/>
      <c r="I246" s="21"/>
      <c r="K246" s="22"/>
      <c r="L246" s="24"/>
      <c r="M246" s="24"/>
      <c r="N246" s="21"/>
      <c r="P246" s="22"/>
      <c r="S246" s="21"/>
    </row>
    <row r="247" spans="1:19" x14ac:dyDescent="0.35">
      <c r="A247" s="25">
        <v>44809</v>
      </c>
      <c r="B247" s="24">
        <v>23693.79</v>
      </c>
      <c r="C247" s="24">
        <v>23693.79</v>
      </c>
      <c r="D247" s="23">
        <f t="shared" si="3"/>
        <v>6.1027419451407643E-3</v>
      </c>
      <c r="F247" s="22"/>
      <c r="I247" s="21"/>
      <c r="K247" s="22"/>
      <c r="L247" s="24"/>
      <c r="M247" s="24"/>
      <c r="N247" s="21"/>
      <c r="P247" s="22"/>
      <c r="S247" s="21"/>
    </row>
    <row r="248" spans="1:19" x14ac:dyDescent="0.35">
      <c r="A248" s="25">
        <v>44810</v>
      </c>
      <c r="B248" s="24">
        <v>23722.71</v>
      </c>
      <c r="C248" s="24">
        <v>23722.71</v>
      </c>
      <c r="D248" s="23">
        <f t="shared" si="3"/>
        <v>1.2205729855796921E-3</v>
      </c>
      <c r="F248" s="22"/>
      <c r="I248" s="21"/>
      <c r="K248" s="22"/>
      <c r="L248" s="24"/>
      <c r="M248" s="24"/>
      <c r="N248" s="21"/>
      <c r="P248" s="22"/>
      <c r="S248" s="21"/>
    </row>
    <row r="249" spans="1:19" x14ac:dyDescent="0.35">
      <c r="A249" s="25">
        <v>44811</v>
      </c>
      <c r="B249" s="24">
        <v>23732.85</v>
      </c>
      <c r="C249" s="24">
        <v>23732.85</v>
      </c>
      <c r="D249" s="23">
        <f t="shared" si="3"/>
        <v>4.2743851777471539E-4</v>
      </c>
      <c r="F249" s="22"/>
      <c r="I249" s="21"/>
      <c r="K249" s="22"/>
      <c r="L249" s="24"/>
      <c r="M249" s="24"/>
      <c r="N249" s="21"/>
      <c r="P249" s="22"/>
      <c r="S249" s="21"/>
    </row>
    <row r="250" spans="1:19" x14ac:dyDescent="0.35">
      <c r="A250" s="25">
        <v>44812</v>
      </c>
      <c r="B250" s="24">
        <v>23921</v>
      </c>
      <c r="C250" s="24">
        <v>23921</v>
      </c>
      <c r="D250" s="23">
        <f t="shared" si="3"/>
        <v>7.927829990919821E-3</v>
      </c>
      <c r="F250" s="22"/>
      <c r="I250" s="21"/>
      <c r="K250" s="22"/>
      <c r="L250" s="24"/>
      <c r="M250" s="24"/>
      <c r="N250" s="21"/>
      <c r="P250" s="22"/>
      <c r="S250" s="21"/>
    </row>
    <row r="251" spans="1:19" x14ac:dyDescent="0.35">
      <c r="A251" s="25">
        <v>44813</v>
      </c>
      <c r="B251" s="24">
        <v>23962.62</v>
      </c>
      <c r="C251" s="24">
        <v>23962.62</v>
      </c>
      <c r="D251" s="23">
        <f t="shared" si="3"/>
        <v>1.7398938171480699E-3</v>
      </c>
      <c r="F251" s="22"/>
      <c r="I251" s="21"/>
      <c r="K251" s="22"/>
      <c r="L251" s="24"/>
      <c r="M251" s="24"/>
      <c r="N251" s="21"/>
      <c r="P251" s="22"/>
      <c r="S251" s="21"/>
    </row>
    <row r="252" spans="1:19" x14ac:dyDescent="0.35">
      <c r="A252" s="25">
        <v>44816</v>
      </c>
      <c r="B252" s="24">
        <v>24133.13</v>
      </c>
      <c r="C252" s="24">
        <v>24133.13</v>
      </c>
      <c r="D252" s="23">
        <f t="shared" si="3"/>
        <v>7.1156659831020999E-3</v>
      </c>
      <c r="F252" s="22"/>
      <c r="I252" s="21"/>
      <c r="K252" s="22"/>
      <c r="L252" s="24"/>
      <c r="M252" s="24"/>
      <c r="N252" s="21"/>
      <c r="P252" s="22"/>
      <c r="S252" s="21"/>
    </row>
    <row r="253" spans="1:19" x14ac:dyDescent="0.35">
      <c r="A253" s="25">
        <v>44817</v>
      </c>
      <c r="B253" s="24">
        <v>24276.42</v>
      </c>
      <c r="C253" s="24">
        <v>24276.42</v>
      </c>
      <c r="D253" s="23">
        <f t="shared" si="3"/>
        <v>5.9374809649638165E-3</v>
      </c>
      <c r="F253" s="22"/>
      <c r="I253" s="21"/>
      <c r="K253" s="22"/>
      <c r="L253" s="24"/>
      <c r="M253" s="24"/>
      <c r="N253" s="21"/>
      <c r="P253" s="22"/>
      <c r="S253" s="21"/>
    </row>
    <row r="254" spans="1:19" x14ac:dyDescent="0.35">
      <c r="A254" s="25">
        <v>44818</v>
      </c>
      <c r="B254" s="24">
        <v>24215.82</v>
      </c>
      <c r="C254" s="24">
        <v>24215.82</v>
      </c>
      <c r="D254" s="23">
        <f t="shared" si="3"/>
        <v>-2.4962494469941842E-3</v>
      </c>
      <c r="F254" s="22"/>
      <c r="I254" s="21"/>
      <c r="K254" s="22"/>
      <c r="L254" s="24"/>
      <c r="M254" s="24"/>
      <c r="N254" s="21"/>
      <c r="P254" s="22"/>
      <c r="S254" s="21"/>
    </row>
    <row r="255" spans="1:19" x14ac:dyDescent="0.35">
      <c r="A255" s="25">
        <v>44819</v>
      </c>
      <c r="B255" s="24">
        <v>24139.94</v>
      </c>
      <c r="C255" s="24">
        <v>24139.94</v>
      </c>
      <c r="D255" s="23">
        <f t="shared" si="3"/>
        <v>-3.1334887689122657E-3</v>
      </c>
      <c r="F255" s="22"/>
      <c r="I255" s="21"/>
      <c r="K255" s="22"/>
      <c r="L255" s="24"/>
      <c r="M255" s="24"/>
      <c r="N255" s="21"/>
      <c r="P255" s="22"/>
      <c r="S255" s="21"/>
    </row>
    <row r="256" spans="1:19" x14ac:dyDescent="0.35">
      <c r="A256" s="25">
        <v>44820</v>
      </c>
      <c r="B256" s="24">
        <v>23618.75</v>
      </c>
      <c r="C256" s="24">
        <v>23618.75</v>
      </c>
      <c r="D256" s="23">
        <f t="shared" si="3"/>
        <v>-2.1590360208020347E-2</v>
      </c>
      <c r="F256" s="22"/>
      <c r="I256" s="21"/>
      <c r="K256" s="22"/>
      <c r="L256" s="24"/>
      <c r="M256" s="24"/>
      <c r="N256" s="21"/>
      <c r="P256" s="22"/>
      <c r="S256" s="21"/>
    </row>
    <row r="257" spans="1:19" x14ac:dyDescent="0.35">
      <c r="A257" s="25">
        <v>44823</v>
      </c>
      <c r="B257" s="24">
        <v>23696.71</v>
      </c>
      <c r="C257" s="24">
        <v>23696.71</v>
      </c>
      <c r="D257" s="23">
        <f t="shared" si="3"/>
        <v>3.30076739878271E-3</v>
      </c>
      <c r="F257" s="22"/>
      <c r="I257" s="21"/>
      <c r="K257" s="22"/>
      <c r="L257" s="24"/>
      <c r="M257" s="24"/>
      <c r="N257" s="21"/>
      <c r="P257" s="22"/>
      <c r="S257" s="21"/>
    </row>
    <row r="258" spans="1:19" x14ac:dyDescent="0.35">
      <c r="A258" s="25">
        <v>44824</v>
      </c>
      <c r="B258" s="24">
        <v>23971.119999999999</v>
      </c>
      <c r="C258" s="24">
        <v>23971.119999999999</v>
      </c>
      <c r="D258" s="23">
        <f t="shared" si="3"/>
        <v>1.1580088543937106E-2</v>
      </c>
      <c r="F258" s="22"/>
      <c r="I258" s="21"/>
      <c r="K258" s="22"/>
      <c r="L258" s="24"/>
      <c r="M258" s="24"/>
      <c r="N258" s="21"/>
      <c r="P258" s="22"/>
      <c r="S258" s="21"/>
    </row>
    <row r="259" spans="1:19" x14ac:dyDescent="0.35">
      <c r="A259" s="25">
        <v>44825</v>
      </c>
      <c r="B259" s="24">
        <v>23802.29</v>
      </c>
      <c r="C259" s="24">
        <v>23802.29</v>
      </c>
      <c r="D259" s="23">
        <f t="shared" ref="D259:D322" si="4">(B259-B258)/B258</f>
        <v>-7.0430584803713014E-3</v>
      </c>
      <c r="F259" s="22"/>
      <c r="I259" s="21"/>
      <c r="K259" s="22"/>
      <c r="L259" s="24"/>
      <c r="M259" s="24"/>
      <c r="N259" s="21"/>
      <c r="P259" s="22"/>
      <c r="S259" s="21"/>
    </row>
    <row r="260" spans="1:19" x14ac:dyDescent="0.35">
      <c r="A260" s="25">
        <v>44826</v>
      </c>
      <c r="B260" s="24">
        <v>23763.439999999999</v>
      </c>
      <c r="C260" s="24">
        <v>23763.439999999999</v>
      </c>
      <c r="D260" s="23">
        <f t="shared" si="4"/>
        <v>-1.6321958937565327E-3</v>
      </c>
      <c r="F260" s="22"/>
      <c r="I260" s="21"/>
      <c r="K260" s="22"/>
      <c r="L260" s="24"/>
      <c r="M260" s="24"/>
      <c r="N260" s="21"/>
      <c r="P260" s="22"/>
      <c r="S260" s="21"/>
    </row>
    <row r="261" spans="1:19" x14ac:dyDescent="0.35">
      <c r="A261" s="25">
        <v>44827</v>
      </c>
      <c r="B261" s="24">
        <v>23333.25</v>
      </c>
      <c r="C261" s="24">
        <v>23333.25</v>
      </c>
      <c r="D261" s="23">
        <f t="shared" si="4"/>
        <v>-1.8103018754860353E-2</v>
      </c>
      <c r="F261" s="22"/>
      <c r="I261" s="21"/>
      <c r="K261" s="22"/>
      <c r="L261" s="24"/>
      <c r="M261" s="24"/>
      <c r="N261" s="21"/>
      <c r="P261" s="22"/>
      <c r="S261" s="21"/>
    </row>
    <row r="262" spans="1:19" x14ac:dyDescent="0.35">
      <c r="A262" s="25">
        <v>44830</v>
      </c>
      <c r="B262" s="24">
        <v>22818.87</v>
      </c>
      <c r="C262" s="24">
        <v>22818.87</v>
      </c>
      <c r="D262" s="23">
        <f t="shared" si="4"/>
        <v>-2.2044935874771025E-2</v>
      </c>
      <c r="F262" s="22"/>
      <c r="I262" s="21"/>
      <c r="K262" s="22"/>
      <c r="L262" s="24"/>
      <c r="M262" s="24"/>
      <c r="N262" s="21"/>
      <c r="P262" s="22"/>
      <c r="S262" s="21"/>
    </row>
    <row r="263" spans="1:19" x14ac:dyDescent="0.35">
      <c r="A263" s="25">
        <v>44831</v>
      </c>
      <c r="B263" s="24">
        <v>22821.33</v>
      </c>
      <c r="C263" s="24">
        <v>22821.33</v>
      </c>
      <c r="D263" s="23">
        <f t="shared" si="4"/>
        <v>1.0780551359479084E-4</v>
      </c>
      <c r="F263" s="22"/>
      <c r="I263" s="21"/>
      <c r="K263" s="22"/>
      <c r="L263" s="24"/>
      <c r="M263" s="24"/>
      <c r="N263" s="21"/>
      <c r="P263" s="22"/>
      <c r="S263" s="21"/>
    </row>
    <row r="264" spans="1:19" x14ac:dyDescent="0.35">
      <c r="A264" s="25">
        <v>44832</v>
      </c>
      <c r="B264" s="24">
        <v>22656</v>
      </c>
      <c r="C264" s="24">
        <v>22656</v>
      </c>
      <c r="D264" s="23">
        <f t="shared" si="4"/>
        <v>-7.2445383332172897E-3</v>
      </c>
      <c r="F264" s="22"/>
      <c r="I264" s="21"/>
      <c r="K264" s="22"/>
      <c r="L264" s="24"/>
      <c r="M264" s="24"/>
      <c r="N264" s="21"/>
      <c r="P264" s="22"/>
      <c r="S264" s="21"/>
    </row>
    <row r="265" spans="1:19" x14ac:dyDescent="0.35">
      <c r="A265" s="25">
        <v>44833</v>
      </c>
      <c r="B265" s="24">
        <v>22627.96</v>
      </c>
      <c r="C265" s="24">
        <v>22627.96</v>
      </c>
      <c r="D265" s="23">
        <f t="shared" si="4"/>
        <v>-1.2376412429378916E-3</v>
      </c>
      <c r="F265" s="22"/>
      <c r="I265" s="21"/>
      <c r="K265" s="22"/>
      <c r="L265" s="24"/>
      <c r="M265" s="24"/>
      <c r="N265" s="21"/>
      <c r="P265" s="22"/>
      <c r="S265" s="21"/>
    </row>
    <row r="266" spans="1:19" x14ac:dyDescent="0.35">
      <c r="A266" s="25">
        <v>44834</v>
      </c>
      <c r="B266" s="24">
        <v>22979.45</v>
      </c>
      <c r="C266" s="24">
        <v>22979.45</v>
      </c>
      <c r="D266" s="23">
        <f t="shared" si="4"/>
        <v>1.5533437393384185E-2</v>
      </c>
      <c r="F266" s="22"/>
      <c r="I266" s="21"/>
      <c r="K266" s="22"/>
      <c r="L266" s="24"/>
      <c r="M266" s="24"/>
      <c r="N266" s="21"/>
      <c r="P266" s="22"/>
      <c r="S266" s="21"/>
    </row>
    <row r="267" spans="1:19" x14ac:dyDescent="0.35">
      <c r="A267" s="25">
        <v>44837</v>
      </c>
      <c r="B267" s="24">
        <v>22683.759999999998</v>
      </c>
      <c r="C267" s="24">
        <v>22683.759999999998</v>
      </c>
      <c r="D267" s="23">
        <f t="shared" si="4"/>
        <v>-1.2867583862973323E-2</v>
      </c>
      <c r="F267" s="22"/>
      <c r="I267" s="21"/>
      <c r="K267" s="22"/>
      <c r="L267" s="24"/>
      <c r="M267" s="24"/>
      <c r="N267" s="21"/>
      <c r="P267" s="22"/>
      <c r="S267" s="21"/>
    </row>
    <row r="268" spans="1:19" x14ac:dyDescent="0.35">
      <c r="A268" s="25">
        <v>44838</v>
      </c>
      <c r="B268" s="24">
        <v>23190.95</v>
      </c>
      <c r="C268" s="24">
        <v>23190.95</v>
      </c>
      <c r="D268" s="23">
        <f t="shared" si="4"/>
        <v>2.2359167968626116E-2</v>
      </c>
      <c r="F268" s="22"/>
      <c r="I268" s="21"/>
      <c r="K268" s="22"/>
      <c r="L268" s="24"/>
      <c r="M268" s="24"/>
      <c r="N268" s="21"/>
      <c r="P268" s="22"/>
      <c r="S268" s="21"/>
    </row>
    <row r="269" spans="1:19" x14ac:dyDescent="0.35">
      <c r="A269" s="25">
        <v>44840</v>
      </c>
      <c r="B269" s="24">
        <v>23326.09</v>
      </c>
      <c r="C269" s="24">
        <v>23326.09</v>
      </c>
      <c r="D269" s="23">
        <f t="shared" si="4"/>
        <v>5.8272731388752689E-3</v>
      </c>
      <c r="F269" s="22"/>
      <c r="I269" s="21"/>
      <c r="K269" s="22"/>
      <c r="L269" s="24"/>
      <c r="M269" s="24"/>
      <c r="N269" s="21"/>
      <c r="P269" s="22"/>
      <c r="S269" s="21"/>
    </row>
    <row r="270" spans="1:19" x14ac:dyDescent="0.35">
      <c r="A270" s="25">
        <v>44841</v>
      </c>
      <c r="B270" s="24">
        <v>23300.77</v>
      </c>
      <c r="C270" s="24">
        <v>23300.77</v>
      </c>
      <c r="D270" s="23">
        <f t="shared" si="4"/>
        <v>-1.0854798210930211E-3</v>
      </c>
      <c r="F270" s="22"/>
      <c r="I270" s="21"/>
      <c r="K270" s="22"/>
      <c r="L270" s="24"/>
      <c r="M270" s="24"/>
      <c r="N270" s="21"/>
      <c r="P270" s="22"/>
      <c r="S270" s="21"/>
    </row>
    <row r="271" spans="1:19" x14ac:dyDescent="0.35">
      <c r="A271" s="25">
        <v>44844</v>
      </c>
      <c r="B271" s="24">
        <v>23168.98</v>
      </c>
      <c r="C271" s="24">
        <v>23168.98</v>
      </c>
      <c r="D271" s="23">
        <f t="shared" si="4"/>
        <v>-5.6560362597459597E-3</v>
      </c>
      <c r="F271" s="22"/>
      <c r="I271" s="21"/>
      <c r="K271" s="22"/>
      <c r="L271" s="24"/>
      <c r="M271" s="24"/>
      <c r="N271" s="21"/>
      <c r="P271" s="22"/>
      <c r="S271" s="21"/>
    </row>
    <row r="272" spans="1:19" x14ac:dyDescent="0.35">
      <c r="A272" s="25">
        <v>44845</v>
      </c>
      <c r="B272" s="24">
        <v>22812.98</v>
      </c>
      <c r="C272" s="24">
        <v>22812.98</v>
      </c>
      <c r="D272" s="23">
        <f t="shared" si="4"/>
        <v>-1.5365372148450213E-2</v>
      </c>
      <c r="F272" s="22"/>
      <c r="I272" s="21"/>
      <c r="K272" s="22"/>
      <c r="L272" s="24"/>
      <c r="M272" s="24"/>
      <c r="N272" s="21"/>
      <c r="P272" s="22"/>
      <c r="S272" s="21"/>
    </row>
    <row r="273" spans="1:19" x14ac:dyDescent="0.35">
      <c r="A273" s="25">
        <v>44846</v>
      </c>
      <c r="B273" s="24">
        <v>22980.400000000001</v>
      </c>
      <c r="C273" s="24">
        <v>22980.400000000001</v>
      </c>
      <c r="D273" s="23">
        <f t="shared" si="4"/>
        <v>7.3388044876207268E-3</v>
      </c>
      <c r="F273" s="22"/>
      <c r="I273" s="21"/>
      <c r="K273" s="22"/>
      <c r="L273" s="24"/>
      <c r="M273" s="24"/>
      <c r="N273" s="21"/>
      <c r="P273" s="22"/>
      <c r="S273" s="21"/>
    </row>
    <row r="274" spans="1:19" x14ac:dyDescent="0.35">
      <c r="A274" s="25">
        <v>44847</v>
      </c>
      <c r="B274" s="24">
        <v>22825.98</v>
      </c>
      <c r="C274" s="24">
        <v>22825.98</v>
      </c>
      <c r="D274" s="23">
        <f t="shared" si="4"/>
        <v>-6.7196393448330704E-3</v>
      </c>
      <c r="F274" s="22"/>
      <c r="I274" s="21"/>
      <c r="K274" s="22"/>
      <c r="L274" s="24"/>
      <c r="M274" s="24"/>
      <c r="N274" s="21"/>
      <c r="P274" s="22"/>
      <c r="S274" s="21"/>
    </row>
    <row r="275" spans="1:19" x14ac:dyDescent="0.35">
      <c r="A275" s="25">
        <v>44848</v>
      </c>
      <c r="B275" s="24">
        <v>22957.38</v>
      </c>
      <c r="C275" s="24">
        <v>22957.38</v>
      </c>
      <c r="D275" s="23">
        <f t="shared" si="4"/>
        <v>5.7565984023468632E-3</v>
      </c>
      <c r="F275" s="22"/>
      <c r="I275" s="21"/>
      <c r="K275" s="22"/>
      <c r="L275" s="24"/>
      <c r="M275" s="24"/>
      <c r="N275" s="21"/>
      <c r="P275" s="22"/>
      <c r="S275" s="21"/>
    </row>
    <row r="276" spans="1:19" x14ac:dyDescent="0.35">
      <c r="A276" s="25">
        <v>44851</v>
      </c>
      <c r="B276" s="24">
        <v>23100.15</v>
      </c>
      <c r="C276" s="24">
        <v>23100.15</v>
      </c>
      <c r="D276" s="23">
        <f t="shared" si="4"/>
        <v>6.2189152246467337E-3</v>
      </c>
      <c r="F276" s="22"/>
      <c r="I276" s="21"/>
      <c r="K276" s="22"/>
      <c r="L276" s="24"/>
      <c r="M276" s="24"/>
      <c r="N276" s="21"/>
      <c r="P276" s="22"/>
      <c r="S276" s="21"/>
    </row>
    <row r="277" spans="1:19" x14ac:dyDescent="0.35">
      <c r="A277" s="25">
        <v>44852</v>
      </c>
      <c r="B277" s="24">
        <v>23333.17</v>
      </c>
      <c r="C277" s="24">
        <v>23333.17</v>
      </c>
      <c r="D277" s="23">
        <f t="shared" si="4"/>
        <v>1.0087380384975716E-2</v>
      </c>
      <c r="F277" s="22"/>
      <c r="I277" s="21"/>
      <c r="K277" s="22"/>
      <c r="L277" s="24"/>
      <c r="M277" s="24"/>
      <c r="N277" s="21"/>
      <c r="P277" s="22"/>
      <c r="S277" s="21"/>
    </row>
    <row r="278" spans="1:19" x14ac:dyDescent="0.35">
      <c r="A278" s="25">
        <v>44853</v>
      </c>
      <c r="B278" s="24">
        <v>23354.01</v>
      </c>
      <c r="C278" s="24">
        <v>23354.01</v>
      </c>
      <c r="D278" s="23">
        <f t="shared" si="4"/>
        <v>8.9314910918662771E-4</v>
      </c>
      <c r="F278" s="22"/>
      <c r="I278" s="21"/>
      <c r="K278" s="22"/>
      <c r="L278" s="24"/>
      <c r="M278" s="24"/>
      <c r="N278" s="21"/>
      <c r="P278" s="22"/>
      <c r="S278" s="21"/>
    </row>
    <row r="279" spans="1:19" x14ac:dyDescent="0.35">
      <c r="A279" s="25">
        <v>44854</v>
      </c>
      <c r="B279" s="24">
        <v>23421.439999999999</v>
      </c>
      <c r="C279" s="24">
        <v>23421.439999999999</v>
      </c>
      <c r="D279" s="23">
        <f t="shared" si="4"/>
        <v>2.8872985838406463E-3</v>
      </c>
      <c r="F279" s="22"/>
      <c r="I279" s="21"/>
      <c r="K279" s="22"/>
      <c r="L279" s="24"/>
      <c r="M279" s="24"/>
      <c r="N279" s="21"/>
      <c r="P279" s="22"/>
      <c r="S279" s="21"/>
    </row>
    <row r="280" spans="1:19" x14ac:dyDescent="0.35">
      <c r="A280" s="25">
        <v>44855</v>
      </c>
      <c r="B280" s="24">
        <v>23373.43</v>
      </c>
      <c r="C280" s="24">
        <v>23373.43</v>
      </c>
      <c r="D280" s="23">
        <f t="shared" si="4"/>
        <v>-2.0498312657120316E-3</v>
      </c>
      <c r="F280" s="22"/>
      <c r="I280" s="21"/>
      <c r="K280" s="22"/>
      <c r="L280" s="24"/>
      <c r="M280" s="24"/>
      <c r="N280" s="21"/>
      <c r="P280" s="22"/>
      <c r="S280" s="21"/>
    </row>
    <row r="281" spans="1:19" x14ac:dyDescent="0.35">
      <c r="A281" s="25">
        <v>44858</v>
      </c>
      <c r="B281" s="24">
        <v>23555.8</v>
      </c>
      <c r="C281" s="24">
        <v>23555.8</v>
      </c>
      <c r="D281" s="23">
        <f t="shared" si="4"/>
        <v>7.8024491912397527E-3</v>
      </c>
      <c r="F281" s="22"/>
      <c r="I281" s="21"/>
      <c r="K281" s="22"/>
      <c r="L281" s="24"/>
      <c r="M281" s="24"/>
      <c r="N281" s="21"/>
      <c r="P281" s="22"/>
      <c r="S281" s="21"/>
    </row>
    <row r="282" spans="1:19" x14ac:dyDescent="0.35">
      <c r="A282" s="25">
        <v>44859</v>
      </c>
      <c r="B282" s="24">
        <v>23492.95</v>
      </c>
      <c r="C282" s="24">
        <v>23492.95</v>
      </c>
      <c r="D282" s="23">
        <f t="shared" si="4"/>
        <v>-2.6681326891890129E-3</v>
      </c>
      <c r="F282" s="22"/>
      <c r="I282" s="21"/>
      <c r="K282" s="22"/>
      <c r="L282" s="24"/>
      <c r="M282" s="24"/>
      <c r="N282" s="21"/>
      <c r="P282" s="22"/>
      <c r="S282" s="21"/>
    </row>
    <row r="283" spans="1:19" x14ac:dyDescent="0.35">
      <c r="A283" s="25">
        <v>44861</v>
      </c>
      <c r="B283" s="24">
        <v>23638.82</v>
      </c>
      <c r="C283" s="24">
        <v>23638.82</v>
      </c>
      <c r="D283" s="23">
        <f t="shared" si="4"/>
        <v>6.2090967715846233E-3</v>
      </c>
      <c r="F283" s="22"/>
      <c r="I283" s="21"/>
      <c r="K283" s="22"/>
      <c r="L283" s="24"/>
      <c r="M283" s="24"/>
      <c r="N283" s="21"/>
      <c r="P283" s="22"/>
      <c r="S283" s="21"/>
    </row>
    <row r="284" spans="1:19" x14ac:dyDescent="0.35">
      <c r="A284" s="25">
        <v>44862</v>
      </c>
      <c r="B284" s="24">
        <v>23634.83</v>
      </c>
      <c r="C284" s="24">
        <v>23634.83</v>
      </c>
      <c r="D284" s="23">
        <f t="shared" si="4"/>
        <v>-1.6879015111574786E-4</v>
      </c>
      <c r="F284" s="22"/>
      <c r="I284" s="21"/>
      <c r="K284" s="22"/>
      <c r="L284" s="24"/>
      <c r="M284" s="24"/>
      <c r="N284" s="21"/>
      <c r="P284" s="22"/>
      <c r="S284" s="21"/>
    </row>
    <row r="285" spans="1:19" x14ac:dyDescent="0.35">
      <c r="A285" s="25">
        <v>44865</v>
      </c>
      <c r="B285" s="24">
        <v>23919.759999999998</v>
      </c>
      <c r="C285" s="24">
        <v>23919.759999999998</v>
      </c>
      <c r="D285" s="23">
        <f t="shared" si="4"/>
        <v>1.2055512986554023E-2</v>
      </c>
      <c r="F285" s="22"/>
      <c r="I285" s="21"/>
      <c r="K285" s="22"/>
      <c r="L285" s="24"/>
      <c r="M285" s="24"/>
      <c r="N285" s="21"/>
      <c r="P285" s="22"/>
      <c r="S285" s="21"/>
    </row>
    <row r="286" spans="1:19" x14ac:dyDescent="0.35">
      <c r="A286" s="25">
        <v>44866</v>
      </c>
      <c r="B286" s="24">
        <v>24098.84</v>
      </c>
      <c r="C286" s="24">
        <v>24098.84</v>
      </c>
      <c r="D286" s="23">
        <f t="shared" si="4"/>
        <v>7.4866971909417889E-3</v>
      </c>
      <c r="F286" s="22"/>
      <c r="I286" s="21"/>
      <c r="K286" s="22"/>
      <c r="L286" s="24"/>
      <c r="M286" s="24"/>
      <c r="N286" s="21"/>
      <c r="P286" s="22"/>
      <c r="S286" s="21"/>
    </row>
    <row r="287" spans="1:19" x14ac:dyDescent="0.35">
      <c r="A287" s="25">
        <v>44867</v>
      </c>
      <c r="B287" s="24">
        <v>24037.05</v>
      </c>
      <c r="C287" s="24">
        <v>24037.05</v>
      </c>
      <c r="D287" s="23">
        <f t="shared" si="4"/>
        <v>-2.564023828532862E-3</v>
      </c>
      <c r="F287" s="22"/>
      <c r="I287" s="21"/>
      <c r="K287" s="22"/>
      <c r="L287" s="24"/>
      <c r="M287" s="24"/>
      <c r="N287" s="21"/>
      <c r="P287" s="22"/>
      <c r="S287" s="21"/>
    </row>
    <row r="288" spans="1:19" x14ac:dyDescent="0.35">
      <c r="A288" s="25">
        <v>44868</v>
      </c>
      <c r="B288" s="24">
        <v>24017.67</v>
      </c>
      <c r="C288" s="24">
        <v>24017.67</v>
      </c>
      <c r="D288" s="23">
        <f t="shared" si="4"/>
        <v>-8.0625534331380184E-4</v>
      </c>
      <c r="F288" s="22"/>
      <c r="I288" s="21"/>
      <c r="K288" s="22"/>
      <c r="L288" s="24"/>
      <c r="M288" s="24"/>
      <c r="N288" s="21"/>
      <c r="P288" s="22"/>
      <c r="S288" s="21"/>
    </row>
    <row r="289" spans="1:19" x14ac:dyDescent="0.35">
      <c r="A289" s="25">
        <v>44869</v>
      </c>
      <c r="B289" s="24">
        <v>24089.43</v>
      </c>
      <c r="C289" s="24">
        <v>24089.43</v>
      </c>
      <c r="D289" s="23">
        <f t="shared" si="4"/>
        <v>2.9878002320792166E-3</v>
      </c>
      <c r="F289" s="22"/>
      <c r="I289" s="21"/>
      <c r="K289" s="22"/>
      <c r="L289" s="24"/>
      <c r="M289" s="24"/>
      <c r="N289" s="21"/>
      <c r="P289" s="22"/>
      <c r="S289" s="21"/>
    </row>
    <row r="290" spans="1:19" x14ac:dyDescent="0.35">
      <c r="A290" s="25">
        <v>44872</v>
      </c>
      <c r="B290" s="24">
        <v>24220.28</v>
      </c>
      <c r="C290" s="24">
        <v>24220.28</v>
      </c>
      <c r="D290" s="23">
        <f t="shared" si="4"/>
        <v>5.4318429286205009E-3</v>
      </c>
      <c r="F290" s="22"/>
      <c r="I290" s="21"/>
      <c r="K290" s="22"/>
      <c r="L290" s="24"/>
      <c r="M290" s="24"/>
      <c r="N290" s="21"/>
      <c r="P290" s="22"/>
      <c r="S290" s="21"/>
    </row>
    <row r="291" spans="1:19" x14ac:dyDescent="0.35">
      <c r="A291" s="25">
        <v>44874</v>
      </c>
      <c r="B291" s="24">
        <v>24148.28</v>
      </c>
      <c r="C291" s="24">
        <v>24148.28</v>
      </c>
      <c r="D291" s="23">
        <f t="shared" si="4"/>
        <v>-2.9727154269067082E-3</v>
      </c>
      <c r="F291" s="22"/>
      <c r="I291" s="21"/>
      <c r="K291" s="22"/>
      <c r="L291" s="24"/>
      <c r="M291" s="24"/>
      <c r="N291" s="21"/>
      <c r="P291" s="22"/>
      <c r="S291" s="21"/>
    </row>
    <row r="292" spans="1:19" x14ac:dyDescent="0.35">
      <c r="A292" s="25">
        <v>44875</v>
      </c>
      <c r="B292" s="24">
        <v>23950.94</v>
      </c>
      <c r="C292" s="24">
        <v>23950.94</v>
      </c>
      <c r="D292" s="23">
        <f t="shared" si="4"/>
        <v>-8.1720105945433854E-3</v>
      </c>
      <c r="F292" s="22"/>
      <c r="I292" s="21"/>
      <c r="K292" s="22"/>
      <c r="L292" s="24"/>
      <c r="M292" s="24"/>
      <c r="N292" s="21"/>
      <c r="P292" s="22"/>
      <c r="S292" s="21"/>
    </row>
    <row r="293" spans="1:19" x14ac:dyDescent="0.35">
      <c r="A293" s="25">
        <v>44876</v>
      </c>
      <c r="B293" s="24">
        <v>24275.37</v>
      </c>
      <c r="C293" s="24">
        <v>24275.37</v>
      </c>
      <c r="D293" s="23">
        <f t="shared" si="4"/>
        <v>1.3545606143224455E-2</v>
      </c>
      <c r="F293" s="22"/>
      <c r="I293" s="21"/>
      <c r="K293" s="22"/>
      <c r="L293" s="24"/>
      <c r="M293" s="24"/>
      <c r="N293" s="21"/>
      <c r="P293" s="22"/>
      <c r="S293" s="21"/>
    </row>
    <row r="294" spans="1:19" x14ac:dyDescent="0.35">
      <c r="A294" s="25">
        <v>44879</v>
      </c>
      <c r="B294" s="24">
        <v>24277.119999999999</v>
      </c>
      <c r="C294" s="24">
        <v>24277.119999999999</v>
      </c>
      <c r="D294" s="23">
        <f t="shared" si="4"/>
        <v>7.2089529428387707E-5</v>
      </c>
      <c r="F294" s="22"/>
      <c r="I294" s="21"/>
      <c r="K294" s="22"/>
      <c r="L294" s="24"/>
      <c r="M294" s="24"/>
      <c r="N294" s="21"/>
      <c r="P294" s="22"/>
      <c r="S294" s="21"/>
    </row>
    <row r="295" spans="1:19" x14ac:dyDescent="0.35">
      <c r="A295" s="25">
        <v>44880</v>
      </c>
      <c r="B295" s="24">
        <v>24345.02</v>
      </c>
      <c r="C295" s="24">
        <v>24345.02</v>
      </c>
      <c r="D295" s="23">
        <f t="shared" si="4"/>
        <v>2.796872116626744E-3</v>
      </c>
      <c r="F295" s="22"/>
      <c r="I295" s="21"/>
      <c r="K295" s="22"/>
      <c r="L295" s="24"/>
      <c r="M295" s="24"/>
      <c r="N295" s="21"/>
      <c r="P295" s="22"/>
      <c r="S295" s="21"/>
    </row>
    <row r="296" spans="1:19" x14ac:dyDescent="0.35">
      <c r="A296" s="25">
        <v>44881</v>
      </c>
      <c r="B296" s="24">
        <v>24297.65</v>
      </c>
      <c r="C296" s="24">
        <v>24297.65</v>
      </c>
      <c r="D296" s="23">
        <f t="shared" si="4"/>
        <v>-1.9457778223225522E-3</v>
      </c>
      <c r="F296" s="22"/>
      <c r="I296" s="21"/>
      <c r="K296" s="22"/>
      <c r="L296" s="24"/>
      <c r="M296" s="24"/>
      <c r="N296" s="21"/>
      <c r="P296" s="22"/>
      <c r="S296" s="21"/>
    </row>
    <row r="297" spans="1:19" x14ac:dyDescent="0.35">
      <c r="A297" s="25">
        <v>44882</v>
      </c>
      <c r="B297" s="24">
        <v>24195.57</v>
      </c>
      <c r="C297" s="24">
        <v>24195.57</v>
      </c>
      <c r="D297" s="23">
        <f t="shared" si="4"/>
        <v>-4.2012293369935666E-3</v>
      </c>
      <c r="F297" s="22"/>
      <c r="I297" s="21"/>
      <c r="K297" s="22"/>
      <c r="L297" s="24"/>
      <c r="M297" s="24"/>
      <c r="N297" s="21"/>
      <c r="P297" s="22"/>
      <c r="S297" s="21"/>
    </row>
    <row r="298" spans="1:19" x14ac:dyDescent="0.35">
      <c r="A298" s="25">
        <v>44883</v>
      </c>
      <c r="B298" s="24">
        <v>24124.3</v>
      </c>
      <c r="C298" s="24">
        <v>24124.3</v>
      </c>
      <c r="D298" s="23">
        <f t="shared" si="4"/>
        <v>-2.9455805339572675E-3</v>
      </c>
      <c r="F298" s="22"/>
      <c r="I298" s="21"/>
      <c r="K298" s="22"/>
      <c r="L298" s="24"/>
      <c r="M298" s="24"/>
      <c r="N298" s="21"/>
      <c r="P298" s="22"/>
      <c r="S298" s="21"/>
    </row>
    <row r="299" spans="1:19" x14ac:dyDescent="0.35">
      <c r="A299" s="25">
        <v>44887</v>
      </c>
      <c r="B299" s="24">
        <v>24060.5</v>
      </c>
      <c r="C299" s="24">
        <v>24060.5</v>
      </c>
      <c r="D299" s="23">
        <f t="shared" si="4"/>
        <v>-2.6446363210538451E-3</v>
      </c>
      <c r="F299" s="22"/>
      <c r="I299" s="21"/>
      <c r="K299" s="22"/>
      <c r="L299" s="24"/>
      <c r="M299" s="24"/>
      <c r="N299" s="21"/>
      <c r="P299" s="22"/>
      <c r="S299" s="21"/>
    </row>
    <row r="300" spans="1:19" x14ac:dyDescent="0.35">
      <c r="A300" s="25">
        <v>44888</v>
      </c>
      <c r="B300" s="24">
        <v>24105.439999999999</v>
      </c>
      <c r="C300" s="24">
        <v>24105.439999999999</v>
      </c>
      <c r="D300" s="23">
        <f t="shared" si="4"/>
        <v>1.8677916086531324E-3</v>
      </c>
      <c r="F300" s="22"/>
      <c r="I300" s="21"/>
      <c r="K300" s="22"/>
      <c r="L300" s="24"/>
      <c r="M300" s="24"/>
      <c r="N300" s="21"/>
      <c r="P300" s="22"/>
      <c r="S300" s="21"/>
    </row>
    <row r="301" spans="1:19" x14ac:dyDescent="0.35">
      <c r="A301" s="25">
        <v>44889</v>
      </c>
      <c r="B301" s="24">
        <v>24326.89</v>
      </c>
      <c r="C301" s="24">
        <v>24326.89</v>
      </c>
      <c r="D301" s="23">
        <f t="shared" si="4"/>
        <v>9.1867229969666911E-3</v>
      </c>
      <c r="F301" s="22"/>
      <c r="I301" s="21"/>
      <c r="K301" s="22"/>
      <c r="L301" s="24"/>
      <c r="M301" s="24"/>
      <c r="N301" s="21"/>
      <c r="P301" s="22"/>
      <c r="S301" s="21"/>
    </row>
    <row r="302" spans="1:19" x14ac:dyDescent="0.35">
      <c r="A302" s="25">
        <v>44890</v>
      </c>
      <c r="B302" s="24">
        <v>24398.91</v>
      </c>
      <c r="C302" s="24">
        <v>24398.91</v>
      </c>
      <c r="D302" s="23">
        <f t="shared" si="4"/>
        <v>2.960509954211181E-3</v>
      </c>
      <c r="F302" s="22"/>
      <c r="I302" s="21"/>
      <c r="K302" s="22"/>
      <c r="L302" s="24"/>
      <c r="M302" s="24"/>
      <c r="N302" s="21"/>
      <c r="P302" s="22"/>
      <c r="S302" s="21"/>
    </row>
    <row r="303" spans="1:19" x14ac:dyDescent="0.35">
      <c r="A303" s="25">
        <v>44893</v>
      </c>
      <c r="B303" s="24">
        <v>24487.63</v>
      </c>
      <c r="C303" s="24">
        <v>24487.63</v>
      </c>
      <c r="D303" s="23">
        <f t="shared" si="4"/>
        <v>3.6362280118251663E-3</v>
      </c>
      <c r="F303" s="22"/>
      <c r="I303" s="21"/>
      <c r="K303" s="22"/>
      <c r="L303" s="24"/>
      <c r="M303" s="24"/>
      <c r="N303" s="21"/>
      <c r="P303" s="22"/>
      <c r="S303" s="21"/>
    </row>
    <row r="304" spans="1:19" x14ac:dyDescent="0.35">
      <c r="A304" s="25">
        <v>44894</v>
      </c>
      <c r="B304" s="24">
        <v>24531.13</v>
      </c>
      <c r="C304" s="24">
        <v>24531.13</v>
      </c>
      <c r="D304" s="23">
        <f t="shared" si="4"/>
        <v>1.7764071084053457E-3</v>
      </c>
      <c r="F304" s="22"/>
      <c r="I304" s="21"/>
      <c r="K304" s="22"/>
      <c r="L304" s="24"/>
      <c r="M304" s="24"/>
      <c r="N304" s="21"/>
      <c r="P304" s="22"/>
      <c r="S304" s="21"/>
    </row>
    <row r="305" spans="1:19" x14ac:dyDescent="0.35">
      <c r="A305" s="25">
        <v>44895</v>
      </c>
      <c r="B305" s="24">
        <v>24738.49</v>
      </c>
      <c r="C305" s="24">
        <v>24738.49</v>
      </c>
      <c r="D305" s="23">
        <f t="shared" si="4"/>
        <v>8.4529330691248458E-3</v>
      </c>
      <c r="F305" s="22"/>
      <c r="I305" s="21"/>
      <c r="K305" s="22"/>
      <c r="L305" s="24"/>
      <c r="M305" s="24"/>
      <c r="N305" s="21"/>
      <c r="P305" s="22"/>
      <c r="S305" s="21"/>
    </row>
    <row r="306" spans="1:19" x14ac:dyDescent="0.35">
      <c r="A306" s="25">
        <v>44896</v>
      </c>
      <c r="B306" s="24">
        <v>24828.21</v>
      </c>
      <c r="C306" s="24">
        <v>24828.21</v>
      </c>
      <c r="D306" s="23">
        <f t="shared" si="4"/>
        <v>3.6267371209802021E-3</v>
      </c>
      <c r="F306" s="22"/>
      <c r="I306" s="21"/>
      <c r="K306" s="22"/>
      <c r="L306" s="24"/>
      <c r="M306" s="24"/>
      <c r="N306" s="21"/>
      <c r="P306" s="22"/>
      <c r="S306" s="21"/>
    </row>
    <row r="307" spans="1:19" x14ac:dyDescent="0.35">
      <c r="A307" s="25">
        <v>44897</v>
      </c>
      <c r="B307" s="24">
        <v>24765.439999999999</v>
      </c>
      <c r="C307" s="24">
        <v>24765.439999999999</v>
      </c>
      <c r="D307" s="23">
        <f t="shared" si="4"/>
        <v>-2.5281725907747854E-3</v>
      </c>
      <c r="F307" s="22"/>
      <c r="I307" s="21"/>
      <c r="K307" s="22"/>
      <c r="L307" s="24"/>
      <c r="M307" s="24"/>
      <c r="N307" s="21"/>
      <c r="P307" s="22"/>
      <c r="S307" s="21"/>
    </row>
    <row r="308" spans="1:19" x14ac:dyDescent="0.35">
      <c r="A308" s="25">
        <v>44900</v>
      </c>
      <c r="B308" s="24">
        <v>24771.15</v>
      </c>
      <c r="C308" s="24">
        <v>24771.15</v>
      </c>
      <c r="D308" s="23">
        <f t="shared" si="4"/>
        <v>2.3056323651034528E-4</v>
      </c>
      <c r="F308" s="22"/>
      <c r="I308" s="21"/>
      <c r="K308" s="22"/>
      <c r="L308" s="24"/>
      <c r="M308" s="24"/>
      <c r="N308" s="21"/>
      <c r="P308" s="22"/>
      <c r="S308" s="21"/>
    </row>
    <row r="309" spans="1:19" x14ac:dyDescent="0.35">
      <c r="A309" s="25">
        <v>44901</v>
      </c>
      <c r="B309" s="24">
        <v>24702.36</v>
      </c>
      <c r="C309" s="24">
        <v>24702.36</v>
      </c>
      <c r="D309" s="23">
        <f t="shared" si="4"/>
        <v>-2.7770208488504112E-3</v>
      </c>
      <c r="F309" s="22"/>
      <c r="I309" s="21"/>
      <c r="K309" s="22"/>
      <c r="L309" s="24"/>
      <c r="M309" s="24"/>
      <c r="N309" s="21"/>
      <c r="P309" s="22"/>
      <c r="S309" s="21"/>
    </row>
    <row r="310" spans="1:19" x14ac:dyDescent="0.35">
      <c r="A310" s="25">
        <v>44902</v>
      </c>
      <c r="B310" s="24">
        <v>24608</v>
      </c>
      <c r="C310" s="24">
        <v>24608</v>
      </c>
      <c r="D310" s="23">
        <f t="shared" si="4"/>
        <v>-3.8198779387880583E-3</v>
      </c>
      <c r="F310" s="22"/>
      <c r="I310" s="21"/>
      <c r="K310" s="22"/>
      <c r="L310" s="24"/>
      <c r="M310" s="24"/>
      <c r="N310" s="21"/>
      <c r="P310" s="22"/>
      <c r="S310" s="21"/>
    </row>
    <row r="311" spans="1:19" x14ac:dyDescent="0.35">
      <c r="A311" s="25">
        <v>44903</v>
      </c>
      <c r="B311" s="24">
        <v>24684.18</v>
      </c>
      <c r="C311" s="24">
        <v>24684.18</v>
      </c>
      <c r="D311" s="23">
        <f t="shared" si="4"/>
        <v>3.0957412223667218E-3</v>
      </c>
      <c r="F311" s="22"/>
      <c r="I311" s="21"/>
      <c r="K311" s="22"/>
      <c r="L311" s="24"/>
      <c r="M311" s="24"/>
      <c r="N311" s="21"/>
      <c r="P311" s="22"/>
      <c r="S311" s="21"/>
    </row>
    <row r="312" spans="1:19" x14ac:dyDescent="0.35">
      <c r="A312" s="25">
        <v>44904</v>
      </c>
      <c r="B312" s="24">
        <v>24531.62</v>
      </c>
      <c r="C312" s="24">
        <v>24531.62</v>
      </c>
      <c r="D312" s="23">
        <f t="shared" si="4"/>
        <v>-6.1804767263891813E-3</v>
      </c>
      <c r="F312" s="22"/>
      <c r="I312" s="21"/>
      <c r="K312" s="22"/>
      <c r="L312" s="24"/>
      <c r="M312" s="24"/>
      <c r="N312" s="21"/>
      <c r="P312" s="22"/>
      <c r="S312" s="21"/>
    </row>
    <row r="313" spans="1:19" x14ac:dyDescent="0.35">
      <c r="A313" s="25">
        <v>44907</v>
      </c>
      <c r="B313" s="24">
        <v>24555.31</v>
      </c>
      <c r="C313" s="24">
        <v>24555.31</v>
      </c>
      <c r="D313" s="23">
        <f t="shared" si="4"/>
        <v>9.6569244102111187E-4</v>
      </c>
      <c r="F313" s="22"/>
      <c r="I313" s="21"/>
      <c r="K313" s="22"/>
      <c r="L313" s="24"/>
      <c r="M313" s="24"/>
      <c r="N313" s="21"/>
      <c r="P313" s="22"/>
      <c r="S313" s="21"/>
    </row>
    <row r="314" spans="1:19" x14ac:dyDescent="0.35">
      <c r="A314" s="25">
        <v>44908</v>
      </c>
      <c r="B314" s="24">
        <v>24673.99</v>
      </c>
      <c r="C314" s="24">
        <v>24673.99</v>
      </c>
      <c r="D314" s="23">
        <f t="shared" si="4"/>
        <v>4.8331705036507491E-3</v>
      </c>
      <c r="F314" s="22"/>
      <c r="I314" s="21"/>
      <c r="K314" s="22"/>
      <c r="L314" s="24"/>
      <c r="M314" s="24"/>
      <c r="N314" s="21"/>
      <c r="P314" s="22"/>
      <c r="S314" s="21"/>
    </row>
    <row r="315" spans="1:19" x14ac:dyDescent="0.35">
      <c r="A315" s="25">
        <v>44909</v>
      </c>
      <c r="B315" s="24">
        <v>24765.99</v>
      </c>
      <c r="C315" s="24">
        <v>24765.99</v>
      </c>
      <c r="D315" s="23">
        <f t="shared" si="4"/>
        <v>3.7286227318727126E-3</v>
      </c>
      <c r="F315" s="22"/>
      <c r="I315" s="21"/>
      <c r="K315" s="22"/>
      <c r="L315" s="24"/>
      <c r="M315" s="24"/>
      <c r="N315" s="21"/>
      <c r="P315" s="22"/>
      <c r="S315" s="21"/>
    </row>
    <row r="316" spans="1:19" x14ac:dyDescent="0.35">
      <c r="A316" s="25">
        <v>44910</v>
      </c>
      <c r="B316" s="24">
        <v>24486.799999999999</v>
      </c>
      <c r="C316" s="24">
        <v>24486.799999999999</v>
      </c>
      <c r="D316" s="23">
        <f t="shared" si="4"/>
        <v>-1.1273120921069673E-2</v>
      </c>
      <c r="F316" s="22"/>
      <c r="I316" s="21"/>
      <c r="K316" s="22"/>
      <c r="L316" s="24"/>
      <c r="M316" s="24"/>
      <c r="N316" s="21"/>
      <c r="P316" s="22"/>
      <c r="S316" s="21"/>
    </row>
    <row r="317" spans="1:19" x14ac:dyDescent="0.35">
      <c r="A317" s="25">
        <v>44911</v>
      </c>
      <c r="B317" s="24">
        <v>24258</v>
      </c>
      <c r="C317" s="24">
        <v>24258</v>
      </c>
      <c r="D317" s="23">
        <f t="shared" si="4"/>
        <v>-9.3438097260564578E-3</v>
      </c>
      <c r="F317" s="22"/>
      <c r="I317" s="21"/>
      <c r="K317" s="22"/>
      <c r="L317" s="24"/>
      <c r="M317" s="24"/>
      <c r="N317" s="21"/>
      <c r="P317" s="22"/>
      <c r="S317" s="21"/>
    </row>
    <row r="318" spans="1:19" x14ac:dyDescent="0.35">
      <c r="A318" s="25">
        <v>44914</v>
      </c>
      <c r="B318" s="24">
        <v>24442.38</v>
      </c>
      <c r="C318" s="24">
        <v>24442.38</v>
      </c>
      <c r="D318" s="23">
        <f t="shared" si="4"/>
        <v>7.6007914914667744E-3</v>
      </c>
      <c r="F318" s="22"/>
      <c r="I318" s="21"/>
      <c r="K318" s="22"/>
      <c r="L318" s="24"/>
      <c r="M318" s="24"/>
      <c r="N318" s="21"/>
      <c r="P318" s="22"/>
      <c r="S318" s="21"/>
    </row>
    <row r="319" spans="1:19" x14ac:dyDescent="0.35">
      <c r="A319" s="25">
        <v>44915</v>
      </c>
      <c r="B319" s="24">
        <v>24397.439999999999</v>
      </c>
      <c r="C319" s="24">
        <v>24397.439999999999</v>
      </c>
      <c r="D319" s="23">
        <f t="shared" si="4"/>
        <v>-1.8386098244116296E-3</v>
      </c>
      <c r="F319" s="22"/>
      <c r="I319" s="21"/>
      <c r="K319" s="22"/>
      <c r="L319" s="24"/>
      <c r="M319" s="24"/>
      <c r="N319" s="21"/>
      <c r="P319" s="22"/>
      <c r="S319" s="21"/>
    </row>
    <row r="320" spans="1:19" x14ac:dyDescent="0.35">
      <c r="A320" s="25">
        <v>44916</v>
      </c>
      <c r="B320" s="24">
        <v>24089.23</v>
      </c>
      <c r="C320" s="24">
        <v>24089.23</v>
      </c>
      <c r="D320" s="23">
        <f t="shared" si="4"/>
        <v>-1.2632882794260347E-2</v>
      </c>
      <c r="F320" s="22"/>
      <c r="I320" s="21"/>
      <c r="K320" s="22"/>
      <c r="L320" s="24"/>
      <c r="M320" s="24"/>
      <c r="N320" s="21"/>
      <c r="P320" s="22"/>
      <c r="S320" s="21"/>
    </row>
    <row r="321" spans="1:19" x14ac:dyDescent="0.35">
      <c r="A321" s="25">
        <v>44917</v>
      </c>
      <c r="B321" s="24">
        <v>23940.18</v>
      </c>
      <c r="C321" s="24">
        <v>23940.18</v>
      </c>
      <c r="D321" s="23">
        <f t="shared" si="4"/>
        <v>-6.1874123830441769E-3</v>
      </c>
      <c r="F321" s="22"/>
      <c r="I321" s="21"/>
      <c r="K321" s="22"/>
      <c r="L321" s="24"/>
      <c r="M321" s="24"/>
      <c r="N321" s="21"/>
      <c r="P321" s="22"/>
      <c r="S321" s="21"/>
    </row>
    <row r="322" spans="1:19" x14ac:dyDescent="0.35">
      <c r="A322" s="25">
        <v>44918</v>
      </c>
      <c r="B322" s="24">
        <v>23342.13</v>
      </c>
      <c r="C322" s="24">
        <v>23342.13</v>
      </c>
      <c r="D322" s="23">
        <f t="shared" si="4"/>
        <v>-2.4981015180336959E-2</v>
      </c>
      <c r="F322" s="22"/>
      <c r="I322" s="21"/>
      <c r="K322" s="22"/>
      <c r="L322" s="24"/>
      <c r="M322" s="24"/>
      <c r="N322" s="21"/>
      <c r="P322" s="22"/>
      <c r="S322" s="21"/>
    </row>
    <row r="323" spans="1:19" x14ac:dyDescent="0.35">
      <c r="A323" s="25">
        <v>44921</v>
      </c>
      <c r="B323" s="24">
        <v>23733.97</v>
      </c>
      <c r="C323" s="24">
        <v>23733.97</v>
      </c>
      <c r="D323" s="23">
        <f t="shared" ref="D323:D386" si="5">(B323-B322)/B322</f>
        <v>1.6786814228178838E-2</v>
      </c>
      <c r="F323" s="22"/>
      <c r="I323" s="21"/>
      <c r="K323" s="22"/>
      <c r="L323" s="24"/>
      <c r="M323" s="24"/>
      <c r="N323" s="21"/>
      <c r="P323" s="22"/>
      <c r="S323" s="21"/>
    </row>
    <row r="324" spans="1:19" x14ac:dyDescent="0.35">
      <c r="A324" s="25">
        <v>44922</v>
      </c>
      <c r="B324" s="24">
        <v>23919.81</v>
      </c>
      <c r="C324" s="24">
        <v>23919.81</v>
      </c>
      <c r="D324" s="23">
        <f t="shared" si="5"/>
        <v>7.8301270288957201E-3</v>
      </c>
      <c r="F324" s="22"/>
      <c r="I324" s="21"/>
      <c r="K324" s="22"/>
      <c r="L324" s="24"/>
      <c r="M324" s="24"/>
      <c r="N324" s="21"/>
      <c r="P324" s="22"/>
      <c r="S324" s="21"/>
    </row>
    <row r="325" spans="1:19" x14ac:dyDescent="0.35">
      <c r="A325" s="25">
        <v>44923</v>
      </c>
      <c r="B325" s="24">
        <v>23942.23</v>
      </c>
      <c r="C325" s="24">
        <v>23942.23</v>
      </c>
      <c r="D325" s="23">
        <f t="shared" si="5"/>
        <v>9.3729841499569822E-4</v>
      </c>
      <c r="F325" s="22"/>
      <c r="I325" s="21"/>
      <c r="K325" s="22"/>
      <c r="L325" s="24"/>
      <c r="M325" s="24"/>
      <c r="N325" s="21"/>
      <c r="P325" s="22"/>
      <c r="S325" s="21"/>
    </row>
    <row r="326" spans="1:19" x14ac:dyDescent="0.35">
      <c r="A326" s="25">
        <v>44924</v>
      </c>
      <c r="B326" s="24">
        <v>24023.53</v>
      </c>
      <c r="C326" s="24">
        <v>24023.53</v>
      </c>
      <c r="D326" s="23">
        <f t="shared" si="5"/>
        <v>3.3956736694952506E-3</v>
      </c>
      <c r="F326" s="22"/>
      <c r="I326" s="21"/>
      <c r="K326" s="22"/>
      <c r="L326" s="24"/>
      <c r="M326" s="24"/>
      <c r="N326" s="21"/>
      <c r="P326" s="22"/>
      <c r="S326" s="21"/>
    </row>
    <row r="327" spans="1:19" x14ac:dyDescent="0.35">
      <c r="A327" s="25">
        <v>44925</v>
      </c>
      <c r="B327" s="24">
        <v>23967.119999999999</v>
      </c>
      <c r="C327" s="24">
        <v>23967.119999999999</v>
      </c>
      <c r="D327" s="23">
        <f t="shared" si="5"/>
        <v>-2.3481145360402847E-3</v>
      </c>
      <c r="F327" s="22"/>
      <c r="I327" s="21"/>
      <c r="K327" s="22"/>
      <c r="L327" s="24"/>
      <c r="M327" s="24"/>
      <c r="N327" s="21"/>
      <c r="P327" s="22"/>
      <c r="S327" s="21"/>
    </row>
    <row r="328" spans="1:19" x14ac:dyDescent="0.35">
      <c r="A328" s="25">
        <v>44928</v>
      </c>
      <c r="B328" s="24">
        <v>24083.14</v>
      </c>
      <c r="C328" s="24">
        <v>24083.14</v>
      </c>
      <c r="D328" s="23">
        <f t="shared" si="5"/>
        <v>4.8407985606948372E-3</v>
      </c>
      <c r="F328" s="22"/>
      <c r="I328" s="21"/>
      <c r="K328" s="22"/>
      <c r="L328" s="24"/>
      <c r="M328" s="24"/>
      <c r="N328" s="21"/>
      <c r="P328" s="22"/>
      <c r="S328" s="21"/>
    </row>
    <row r="329" spans="1:19" x14ac:dyDescent="0.35">
      <c r="A329" s="25">
        <v>44929</v>
      </c>
      <c r="B329" s="24">
        <v>24136.79</v>
      </c>
      <c r="C329" s="24">
        <v>24136.79</v>
      </c>
      <c r="D329" s="23">
        <f t="shared" si="5"/>
        <v>2.2276995441624912E-3</v>
      </c>
      <c r="F329" s="22"/>
      <c r="I329" s="21"/>
      <c r="K329" s="22"/>
      <c r="L329" s="24"/>
      <c r="M329" s="24"/>
      <c r="N329" s="21"/>
      <c r="P329" s="22"/>
      <c r="S329" s="21"/>
    </row>
    <row r="330" spans="1:19" x14ac:dyDescent="0.35">
      <c r="A330" s="25">
        <v>44930</v>
      </c>
      <c r="B330" s="24">
        <v>23881.119999999999</v>
      </c>
      <c r="C330" s="24">
        <v>23881.119999999999</v>
      </c>
      <c r="D330" s="23">
        <f t="shared" si="5"/>
        <v>-1.0592543581810252E-2</v>
      </c>
      <c r="F330" s="22"/>
      <c r="I330" s="21"/>
      <c r="K330" s="22"/>
      <c r="L330" s="24"/>
      <c r="M330" s="24"/>
      <c r="N330" s="21"/>
      <c r="P330" s="22"/>
      <c r="S330" s="21"/>
    </row>
    <row r="331" spans="1:19" x14ac:dyDescent="0.35">
      <c r="A331" s="25">
        <v>44931</v>
      </c>
      <c r="B331" s="24">
        <v>23870.5</v>
      </c>
      <c r="C331" s="24">
        <v>23870.5</v>
      </c>
      <c r="D331" s="23">
        <f t="shared" si="5"/>
        <v>-4.4470276100949126E-4</v>
      </c>
      <c r="F331" s="22"/>
      <c r="I331" s="21"/>
      <c r="K331" s="22"/>
      <c r="L331" s="24"/>
      <c r="M331" s="24"/>
      <c r="N331" s="21"/>
      <c r="P331" s="22"/>
      <c r="S331" s="21"/>
    </row>
    <row r="332" spans="1:19" x14ac:dyDescent="0.35">
      <c r="A332" s="25">
        <v>44932</v>
      </c>
      <c r="B332" s="24">
        <v>23693.33</v>
      </c>
      <c r="C332" s="24">
        <v>23693.33</v>
      </c>
      <c r="D332" s="23">
        <f t="shared" si="5"/>
        <v>-7.4221319201524163E-3</v>
      </c>
      <c r="F332" s="22"/>
      <c r="I332" s="21"/>
      <c r="K332" s="22"/>
      <c r="L332" s="24"/>
      <c r="M332" s="24"/>
      <c r="N332" s="21"/>
      <c r="P332" s="22"/>
      <c r="S332" s="21"/>
    </row>
    <row r="333" spans="1:19" x14ac:dyDescent="0.35">
      <c r="A333" s="25">
        <v>44935</v>
      </c>
      <c r="B333" s="24">
        <v>23693.33</v>
      </c>
      <c r="C333" s="24">
        <v>23693.33</v>
      </c>
      <c r="D333" s="23">
        <f t="shared" si="5"/>
        <v>0</v>
      </c>
      <c r="F333" s="22"/>
      <c r="I333" s="21"/>
      <c r="K333" s="22"/>
      <c r="L333" s="24"/>
      <c r="M333" s="24"/>
      <c r="N333" s="21"/>
      <c r="P333" s="22"/>
      <c r="S333" s="21"/>
    </row>
    <row r="334" spans="1:19" x14ac:dyDescent="0.35">
      <c r="A334" s="25">
        <v>44936</v>
      </c>
      <c r="B334" s="24">
        <v>23775.95</v>
      </c>
      <c r="C334" s="24">
        <v>23775.95</v>
      </c>
      <c r="D334" s="23">
        <f t="shared" si="5"/>
        <v>3.4870573279483707E-3</v>
      </c>
      <c r="F334" s="22"/>
      <c r="I334" s="21"/>
      <c r="K334" s="22"/>
      <c r="L334" s="24"/>
      <c r="M334" s="24"/>
      <c r="N334" s="21"/>
      <c r="P334" s="22"/>
      <c r="S334" s="21"/>
    </row>
    <row r="335" spans="1:19" x14ac:dyDescent="0.35">
      <c r="A335" s="25">
        <v>44937</v>
      </c>
      <c r="B335" s="24">
        <v>23738.93</v>
      </c>
      <c r="C335" s="24">
        <v>23738.93</v>
      </c>
      <c r="D335" s="23">
        <f t="shared" si="5"/>
        <v>-1.5570355758655462E-3</v>
      </c>
      <c r="F335" s="22"/>
      <c r="I335" s="21"/>
      <c r="K335" s="22"/>
      <c r="L335" s="24"/>
      <c r="M335" s="24"/>
      <c r="N335" s="21"/>
      <c r="P335" s="22"/>
      <c r="S335" s="21"/>
    </row>
    <row r="336" spans="1:19" x14ac:dyDescent="0.35">
      <c r="A336" s="25">
        <v>44938</v>
      </c>
      <c r="B336" s="24">
        <v>23738.93</v>
      </c>
      <c r="C336" s="24">
        <v>23738.93</v>
      </c>
      <c r="D336" s="23">
        <f t="shared" si="5"/>
        <v>0</v>
      </c>
      <c r="F336" s="22"/>
      <c r="I336" s="21"/>
      <c r="K336" s="22"/>
      <c r="L336" s="24"/>
      <c r="M336" s="24"/>
      <c r="N336" s="21"/>
      <c r="P336" s="22"/>
      <c r="S336" s="21"/>
    </row>
    <row r="337" spans="1:19" x14ac:dyDescent="0.35">
      <c r="A337" s="25">
        <v>44939</v>
      </c>
      <c r="B337" s="24">
        <v>23808.34</v>
      </c>
      <c r="C337" s="24">
        <v>23808.34</v>
      </c>
      <c r="D337" s="23">
        <f t="shared" si="5"/>
        <v>2.9238891559139292E-3</v>
      </c>
      <c r="F337" s="22"/>
      <c r="I337" s="21"/>
      <c r="K337" s="22"/>
      <c r="L337" s="24"/>
      <c r="M337" s="24"/>
      <c r="N337" s="21"/>
      <c r="P337" s="22"/>
      <c r="S337" s="21"/>
    </row>
    <row r="338" spans="1:19" x14ac:dyDescent="0.35">
      <c r="A338" s="25">
        <v>44942</v>
      </c>
      <c r="B338" s="24">
        <v>23808.34</v>
      </c>
      <c r="C338" s="24">
        <v>23808.34</v>
      </c>
      <c r="D338" s="23">
        <f t="shared" si="5"/>
        <v>0</v>
      </c>
      <c r="F338" s="22"/>
      <c r="I338" s="21"/>
      <c r="K338" s="22"/>
      <c r="L338" s="24"/>
      <c r="M338" s="24"/>
      <c r="N338" s="21"/>
      <c r="P338" s="22"/>
      <c r="S338" s="21"/>
    </row>
    <row r="339" spans="1:19" x14ac:dyDescent="0.35">
      <c r="A339" s="25">
        <v>44943</v>
      </c>
      <c r="B339" s="24">
        <v>23885.99</v>
      </c>
      <c r="C339" s="24">
        <v>23885.99</v>
      </c>
      <c r="D339" s="23">
        <f t="shared" si="5"/>
        <v>3.2614621598986513E-3</v>
      </c>
      <c r="F339" s="22"/>
      <c r="I339" s="21"/>
      <c r="K339" s="22"/>
      <c r="L339" s="24"/>
      <c r="M339" s="24"/>
      <c r="N339" s="21"/>
      <c r="P339" s="22"/>
      <c r="S339" s="21"/>
    </row>
    <row r="340" spans="1:19" x14ac:dyDescent="0.35">
      <c r="A340" s="25">
        <v>44944</v>
      </c>
      <c r="B340" s="24">
        <v>23994.91</v>
      </c>
      <c r="C340" s="24">
        <v>23994.91</v>
      </c>
      <c r="D340" s="23">
        <f t="shared" si="5"/>
        <v>4.5599952105815269E-3</v>
      </c>
      <c r="F340" s="22"/>
      <c r="I340" s="21"/>
      <c r="K340" s="22"/>
      <c r="L340" s="24"/>
      <c r="M340" s="24"/>
      <c r="N340" s="21"/>
      <c r="P340" s="22"/>
      <c r="S340" s="21"/>
    </row>
    <row r="341" spans="1:19" x14ac:dyDescent="0.35">
      <c r="A341" s="25">
        <v>44945</v>
      </c>
      <c r="B341" s="24">
        <v>23924.61</v>
      </c>
      <c r="C341" s="24">
        <v>23924.61</v>
      </c>
      <c r="D341" s="23">
        <f t="shared" si="5"/>
        <v>-2.9297880258771247E-3</v>
      </c>
      <c r="F341" s="22"/>
      <c r="I341" s="21"/>
      <c r="K341" s="22"/>
      <c r="L341" s="24"/>
      <c r="M341" s="24"/>
      <c r="N341" s="21"/>
      <c r="P341" s="22"/>
      <c r="S341" s="21"/>
    </row>
    <row r="342" spans="1:19" x14ac:dyDescent="0.35">
      <c r="A342" s="25">
        <v>44946</v>
      </c>
      <c r="B342" s="24">
        <v>23813.19</v>
      </c>
      <c r="C342" s="24">
        <v>23813.19</v>
      </c>
      <c r="D342" s="23">
        <f t="shared" si="5"/>
        <v>-4.657129207121951E-3</v>
      </c>
      <c r="F342" s="22"/>
      <c r="I342" s="21"/>
      <c r="K342" s="22"/>
      <c r="L342" s="24"/>
      <c r="M342" s="24"/>
      <c r="N342" s="21"/>
      <c r="P342" s="22"/>
      <c r="S342" s="21"/>
    </row>
    <row r="343" spans="1:19" x14ac:dyDescent="0.35">
      <c r="A343" s="25">
        <v>44949</v>
      </c>
      <c r="B343" s="24">
        <v>23899.01</v>
      </c>
      <c r="C343" s="24">
        <v>23899.01</v>
      </c>
      <c r="D343" s="23">
        <f t="shared" si="5"/>
        <v>3.6038850737763277E-3</v>
      </c>
      <c r="F343" s="22"/>
      <c r="I343" s="21"/>
      <c r="K343" s="22"/>
      <c r="L343" s="24"/>
      <c r="M343" s="24"/>
      <c r="N343" s="21"/>
      <c r="P343" s="22"/>
      <c r="S343" s="21"/>
    </row>
    <row r="344" spans="1:19" x14ac:dyDescent="0.35">
      <c r="A344" s="25">
        <v>44950</v>
      </c>
      <c r="B344" s="24">
        <v>23876.66</v>
      </c>
      <c r="C344" s="24">
        <v>23876.66</v>
      </c>
      <c r="D344" s="23">
        <f t="shared" si="5"/>
        <v>-9.3518518131079683E-4</v>
      </c>
      <c r="F344" s="22"/>
      <c r="I344" s="21"/>
      <c r="K344" s="22"/>
      <c r="L344" s="24"/>
      <c r="M344" s="24"/>
      <c r="N344" s="21"/>
      <c r="P344" s="22"/>
      <c r="S344" s="21"/>
    </row>
    <row r="345" spans="1:19" x14ac:dyDescent="0.35">
      <c r="A345" s="25">
        <v>44951</v>
      </c>
      <c r="B345" s="24">
        <v>23541.16</v>
      </c>
      <c r="C345" s="24">
        <v>23541.16</v>
      </c>
      <c r="D345" s="23">
        <f t="shared" si="5"/>
        <v>-1.4051379045477885E-2</v>
      </c>
      <c r="F345" s="22"/>
      <c r="I345" s="21"/>
      <c r="K345" s="22"/>
      <c r="L345" s="24"/>
      <c r="M345" s="24"/>
      <c r="N345" s="21"/>
      <c r="P345" s="22"/>
      <c r="S345" s="21"/>
    </row>
    <row r="346" spans="1:19" x14ac:dyDescent="0.35">
      <c r="A346" s="25">
        <v>44953</v>
      </c>
      <c r="B346" s="24">
        <v>23080.080000000002</v>
      </c>
      <c r="C346" s="24">
        <v>23080.080000000002</v>
      </c>
      <c r="D346" s="23">
        <f t="shared" si="5"/>
        <v>-1.9586120649959394E-2</v>
      </c>
      <c r="F346" s="22"/>
      <c r="I346" s="21"/>
      <c r="K346" s="22"/>
      <c r="L346" s="24"/>
      <c r="M346" s="24"/>
      <c r="N346" s="21"/>
      <c r="P346" s="22"/>
      <c r="S346" s="21"/>
    </row>
    <row r="347" spans="1:19" x14ac:dyDescent="0.35">
      <c r="A347" s="25">
        <v>44956</v>
      </c>
      <c r="B347" s="24">
        <v>23048.29</v>
      </c>
      <c r="C347" s="24">
        <v>23048.29</v>
      </c>
      <c r="D347" s="23">
        <f t="shared" si="5"/>
        <v>-1.3773782413232913E-3</v>
      </c>
      <c r="F347" s="22"/>
      <c r="I347" s="21"/>
      <c r="K347" s="22"/>
      <c r="L347" s="24"/>
      <c r="M347" s="24"/>
      <c r="N347" s="21"/>
      <c r="P347" s="22"/>
      <c r="S347" s="21"/>
    </row>
    <row r="348" spans="1:19" x14ac:dyDescent="0.35">
      <c r="A348" s="25">
        <v>44957</v>
      </c>
      <c r="B348" s="24">
        <v>23175.05</v>
      </c>
      <c r="C348" s="24">
        <v>23175.05</v>
      </c>
      <c r="D348" s="23">
        <f t="shared" si="5"/>
        <v>5.4997572488023365E-3</v>
      </c>
      <c r="F348" s="22"/>
      <c r="I348" s="21"/>
      <c r="K348" s="22"/>
      <c r="L348" s="24"/>
      <c r="M348" s="24"/>
      <c r="N348" s="21"/>
      <c r="P348" s="22"/>
      <c r="S348" s="21"/>
    </row>
    <row r="349" spans="1:19" x14ac:dyDescent="0.35">
      <c r="A349" s="25">
        <v>44958</v>
      </c>
      <c r="B349" s="24">
        <v>23038.799999999999</v>
      </c>
      <c r="C349" s="24">
        <v>23038.799999999999</v>
      </c>
      <c r="D349" s="23">
        <f t="shared" si="5"/>
        <v>-5.8791674667368569E-3</v>
      </c>
      <c r="F349" s="22"/>
      <c r="I349" s="21"/>
      <c r="K349" s="22"/>
      <c r="L349" s="24"/>
      <c r="M349" s="24"/>
      <c r="N349" s="21"/>
      <c r="P349" s="22"/>
      <c r="S349" s="21"/>
    </row>
    <row r="350" spans="1:19" x14ac:dyDescent="0.35">
      <c r="A350" s="25">
        <v>44959</v>
      </c>
      <c r="B350" s="24">
        <v>23026.240000000002</v>
      </c>
      <c r="C350" s="24">
        <v>23026.240000000002</v>
      </c>
      <c r="D350" s="23">
        <f t="shared" si="5"/>
        <v>-5.4516728301811171E-4</v>
      </c>
      <c r="F350" s="22"/>
      <c r="I350" s="21"/>
      <c r="K350" s="22"/>
      <c r="L350" s="24"/>
      <c r="M350" s="24"/>
      <c r="N350" s="21"/>
      <c r="P350" s="22"/>
      <c r="S350" s="21"/>
    </row>
    <row r="351" spans="1:19" x14ac:dyDescent="0.35">
      <c r="A351" s="25">
        <v>44960</v>
      </c>
      <c r="B351" s="24">
        <v>23217.58</v>
      </c>
      <c r="C351" s="24">
        <v>23217.58</v>
      </c>
      <c r="D351" s="23">
        <f t="shared" si="5"/>
        <v>8.3096502077629752E-3</v>
      </c>
      <c r="F351" s="22"/>
      <c r="I351" s="21"/>
      <c r="K351" s="22"/>
      <c r="L351" s="24"/>
      <c r="M351" s="24"/>
      <c r="N351" s="21"/>
      <c r="P351" s="22"/>
      <c r="S351" s="21"/>
    </row>
    <row r="352" spans="1:19" x14ac:dyDescent="0.35">
      <c r="A352" s="25">
        <v>44963</v>
      </c>
      <c r="B352" s="24">
        <v>23174.09</v>
      </c>
      <c r="C352" s="24">
        <v>23174.09</v>
      </c>
      <c r="D352" s="23">
        <f t="shared" si="5"/>
        <v>-1.8731495702825874E-3</v>
      </c>
      <c r="F352" s="22"/>
      <c r="I352" s="21"/>
      <c r="K352" s="22"/>
      <c r="L352" s="24"/>
      <c r="M352" s="24"/>
      <c r="N352" s="21"/>
      <c r="P352" s="22"/>
      <c r="S352" s="21"/>
    </row>
    <row r="353" spans="1:19" x14ac:dyDescent="0.35">
      <c r="A353" s="25">
        <v>44964</v>
      </c>
      <c r="B353" s="24">
        <v>23125.02</v>
      </c>
      <c r="C353" s="24">
        <v>23125.02</v>
      </c>
      <c r="D353" s="23">
        <f t="shared" si="5"/>
        <v>-2.1174509980758558E-3</v>
      </c>
      <c r="F353" s="22"/>
      <c r="I353" s="21"/>
      <c r="K353" s="22"/>
      <c r="L353" s="24"/>
      <c r="M353" s="24"/>
      <c r="N353" s="21"/>
      <c r="P353" s="22"/>
      <c r="S353" s="21"/>
    </row>
    <row r="354" spans="1:19" x14ac:dyDescent="0.35">
      <c r="A354" s="25">
        <v>44965</v>
      </c>
      <c r="B354" s="24">
        <v>23322.639999999999</v>
      </c>
      <c r="C354" s="24">
        <v>23322.639999999999</v>
      </c>
      <c r="D354" s="23">
        <f t="shared" si="5"/>
        <v>8.5457223388346899E-3</v>
      </c>
      <c r="F354" s="22"/>
      <c r="I354" s="21"/>
      <c r="K354" s="22"/>
      <c r="L354" s="24"/>
      <c r="M354" s="24"/>
      <c r="N354" s="21"/>
      <c r="P354" s="22"/>
      <c r="S354" s="21"/>
    </row>
    <row r="355" spans="1:19" x14ac:dyDescent="0.35">
      <c r="A355" s="25">
        <v>44966</v>
      </c>
      <c r="B355" s="24">
        <v>23325.42</v>
      </c>
      <c r="C355" s="24">
        <v>23325.42</v>
      </c>
      <c r="D355" s="23">
        <f t="shared" si="5"/>
        <v>1.1919748364674137E-4</v>
      </c>
      <c r="F355" s="22"/>
      <c r="I355" s="21"/>
      <c r="K355" s="22"/>
      <c r="L355" s="24"/>
      <c r="M355" s="24"/>
      <c r="N355" s="21"/>
      <c r="P355" s="22"/>
      <c r="S355" s="21"/>
    </row>
    <row r="356" spans="1:19" x14ac:dyDescent="0.35">
      <c r="A356" s="25">
        <v>44967</v>
      </c>
      <c r="B356" s="24">
        <v>23304.12</v>
      </c>
      <c r="C356" s="24">
        <v>23304.12</v>
      </c>
      <c r="D356" s="23">
        <f t="shared" si="5"/>
        <v>-9.1316683686721504E-4</v>
      </c>
      <c r="F356" s="22"/>
      <c r="I356" s="21"/>
      <c r="K356" s="22"/>
      <c r="L356" s="24"/>
      <c r="M356" s="24"/>
      <c r="N356" s="21"/>
      <c r="P356" s="22"/>
      <c r="S356" s="21"/>
    </row>
    <row r="357" spans="1:19" x14ac:dyDescent="0.35">
      <c r="A357" s="25">
        <v>44970</v>
      </c>
      <c r="B357" s="24">
        <v>23125.41</v>
      </c>
      <c r="C357" s="24">
        <v>23125.41</v>
      </c>
      <c r="D357" s="23">
        <f t="shared" si="5"/>
        <v>-7.6686010885628434E-3</v>
      </c>
      <c r="F357" s="22"/>
      <c r="I357" s="21"/>
      <c r="K357" s="22"/>
      <c r="L357" s="24"/>
      <c r="M357" s="24"/>
      <c r="N357" s="21"/>
      <c r="P357" s="22"/>
      <c r="S357" s="21"/>
    </row>
    <row r="358" spans="1:19" x14ac:dyDescent="0.35">
      <c r="A358" s="25">
        <v>44971</v>
      </c>
      <c r="B358" s="24">
        <v>23231.75</v>
      </c>
      <c r="C358" s="24">
        <v>23231.75</v>
      </c>
      <c r="D358" s="23">
        <f t="shared" si="5"/>
        <v>4.5984049580093996E-3</v>
      </c>
      <c r="F358" s="22"/>
      <c r="I358" s="21"/>
      <c r="K358" s="22"/>
      <c r="L358" s="24"/>
      <c r="M358" s="24"/>
      <c r="N358" s="21"/>
      <c r="P358" s="22"/>
      <c r="S358" s="21"/>
    </row>
    <row r="359" spans="1:19" x14ac:dyDescent="0.35">
      <c r="A359" s="25">
        <v>44972</v>
      </c>
      <c r="B359" s="24">
        <v>23352.25</v>
      </c>
      <c r="C359" s="24">
        <v>23352.25</v>
      </c>
      <c r="D359" s="23">
        <f t="shared" si="5"/>
        <v>5.1868671107428415E-3</v>
      </c>
      <c r="F359" s="22"/>
      <c r="I359" s="21"/>
      <c r="K359" s="22"/>
      <c r="L359" s="24"/>
      <c r="M359" s="24"/>
      <c r="N359" s="21"/>
      <c r="P359" s="22"/>
      <c r="S359" s="21"/>
    </row>
    <row r="360" spans="1:19" x14ac:dyDescent="0.35">
      <c r="A360" s="25">
        <v>44973</v>
      </c>
      <c r="B360" s="24">
        <v>23420.94</v>
      </c>
      <c r="C360" s="24">
        <v>23420.94</v>
      </c>
      <c r="D360" s="23">
        <f t="shared" si="5"/>
        <v>2.9414724491215491E-3</v>
      </c>
      <c r="F360" s="22"/>
      <c r="I360" s="21"/>
      <c r="K360" s="22"/>
      <c r="L360" s="24"/>
      <c r="M360" s="24"/>
      <c r="N360" s="21"/>
      <c r="P360" s="22"/>
      <c r="S360" s="21"/>
    </row>
    <row r="361" spans="1:19" x14ac:dyDescent="0.35">
      <c r="A361" s="25">
        <v>44974</v>
      </c>
      <c r="B361" s="24">
        <v>23298.25</v>
      </c>
      <c r="C361" s="24">
        <v>23298.25</v>
      </c>
      <c r="D361" s="23">
        <f t="shared" si="5"/>
        <v>-5.2384746299678278E-3</v>
      </c>
      <c r="F361" s="22"/>
      <c r="I361" s="21"/>
      <c r="K361" s="22"/>
      <c r="L361" s="24"/>
      <c r="M361" s="24"/>
      <c r="N361" s="21"/>
      <c r="P361" s="22"/>
      <c r="S361" s="21"/>
    </row>
    <row r="362" spans="1:19" x14ac:dyDescent="0.35">
      <c r="A362" s="25">
        <v>44977</v>
      </c>
      <c r="B362" s="24">
        <v>23197</v>
      </c>
      <c r="C362" s="24">
        <v>23197</v>
      </c>
      <c r="D362" s="23">
        <f t="shared" si="5"/>
        <v>-4.3458199650188321E-3</v>
      </c>
      <c r="F362" s="22"/>
      <c r="I362" s="21"/>
      <c r="K362" s="22"/>
      <c r="L362" s="24"/>
      <c r="M362" s="24"/>
      <c r="N362" s="21"/>
      <c r="P362" s="22"/>
      <c r="S362" s="21"/>
    </row>
    <row r="363" spans="1:19" x14ac:dyDescent="0.35">
      <c r="A363" s="25">
        <v>44978</v>
      </c>
      <c r="B363" s="24">
        <v>23158.959999999999</v>
      </c>
      <c r="C363" s="24">
        <v>23158.959999999999</v>
      </c>
      <c r="D363" s="23">
        <f t="shared" si="5"/>
        <v>-1.6398672242100647E-3</v>
      </c>
      <c r="F363" s="22"/>
      <c r="I363" s="21"/>
      <c r="K363" s="22"/>
      <c r="L363" s="24"/>
      <c r="M363" s="24"/>
      <c r="N363" s="21"/>
      <c r="P363" s="22"/>
      <c r="S363" s="21"/>
    </row>
    <row r="364" spans="1:19" x14ac:dyDescent="0.35">
      <c r="A364" s="25">
        <v>44979</v>
      </c>
      <c r="B364" s="24">
        <v>22830.35</v>
      </c>
      <c r="C364" s="24">
        <v>22830.35</v>
      </c>
      <c r="D364" s="23">
        <f t="shared" si="5"/>
        <v>-1.4189324563797364E-2</v>
      </c>
      <c r="F364" s="22"/>
      <c r="I364" s="21"/>
      <c r="K364" s="22"/>
      <c r="L364" s="24"/>
      <c r="M364" s="24"/>
      <c r="N364" s="21"/>
      <c r="P364" s="22"/>
      <c r="S364" s="21"/>
    </row>
    <row r="365" spans="1:19" x14ac:dyDescent="0.35">
      <c r="A365" s="25">
        <v>44980</v>
      </c>
      <c r="B365" s="24">
        <v>22775.81</v>
      </c>
      <c r="C365" s="24">
        <v>22775.81</v>
      </c>
      <c r="D365" s="23">
        <f t="shared" si="5"/>
        <v>-2.388925268337859E-3</v>
      </c>
      <c r="F365" s="22"/>
      <c r="I365" s="21"/>
      <c r="K365" s="22"/>
      <c r="L365" s="24"/>
      <c r="M365" s="24"/>
      <c r="N365" s="21"/>
      <c r="P365" s="22"/>
      <c r="S365" s="21"/>
    </row>
    <row r="366" spans="1:19" x14ac:dyDescent="0.35">
      <c r="A366" s="25">
        <v>44981</v>
      </c>
      <c r="B366" s="24">
        <v>22719.84</v>
      </c>
      <c r="C366" s="24">
        <v>22719.84</v>
      </c>
      <c r="D366" s="23">
        <f t="shared" si="5"/>
        <v>-2.4574318103286409E-3</v>
      </c>
      <c r="F366" s="22"/>
      <c r="I366" s="21"/>
      <c r="K366" s="22"/>
      <c r="L366" s="24"/>
      <c r="M366" s="24"/>
      <c r="N366" s="21"/>
      <c r="P366" s="22"/>
      <c r="S366" s="21"/>
    </row>
    <row r="367" spans="1:19" x14ac:dyDescent="0.35">
      <c r="A367" s="25">
        <v>44984</v>
      </c>
      <c r="B367" s="24">
        <v>22592.89</v>
      </c>
      <c r="C367" s="24">
        <v>22592.89</v>
      </c>
      <c r="D367" s="23">
        <f t="shared" si="5"/>
        <v>-5.5876273776576208E-3</v>
      </c>
      <c r="F367" s="22"/>
      <c r="I367" s="21"/>
      <c r="K367" s="22"/>
      <c r="L367" s="24"/>
      <c r="M367" s="24"/>
      <c r="N367" s="21"/>
      <c r="P367" s="22"/>
      <c r="S367" s="21"/>
    </row>
    <row r="368" spans="1:19" x14ac:dyDescent="0.35">
      <c r="A368" s="25">
        <v>44985</v>
      </c>
      <c r="B368" s="24">
        <v>22546.35</v>
      </c>
      <c r="C368" s="24">
        <v>22546.35</v>
      </c>
      <c r="D368" s="23">
        <f t="shared" si="5"/>
        <v>-2.0599400961984443E-3</v>
      </c>
      <c r="F368" s="22"/>
      <c r="I368" s="21"/>
      <c r="K368" s="22"/>
      <c r="L368" s="24"/>
      <c r="M368" s="24"/>
      <c r="N368" s="21"/>
      <c r="P368" s="22"/>
      <c r="S368" s="21"/>
    </row>
    <row r="369" spans="1:19" x14ac:dyDescent="0.35">
      <c r="A369" s="25">
        <v>44986</v>
      </c>
      <c r="B369" s="24">
        <v>22773.279999999999</v>
      </c>
      <c r="C369" s="24">
        <v>22773.279999999999</v>
      </c>
      <c r="D369" s="23">
        <f t="shared" si="5"/>
        <v>1.0065043787575386E-2</v>
      </c>
      <c r="F369" s="22"/>
      <c r="I369" s="21"/>
      <c r="K369" s="22"/>
      <c r="L369" s="24"/>
      <c r="M369" s="24"/>
      <c r="N369" s="21"/>
      <c r="P369" s="22"/>
      <c r="S369" s="21"/>
    </row>
    <row r="370" spans="1:19" x14ac:dyDescent="0.35">
      <c r="A370" s="25">
        <v>44987</v>
      </c>
      <c r="B370" s="24">
        <v>22652.74</v>
      </c>
      <c r="C370" s="24">
        <v>22652.74</v>
      </c>
      <c r="D370" s="23">
        <f t="shared" si="5"/>
        <v>-5.2930451827754828E-3</v>
      </c>
      <c r="F370" s="22"/>
      <c r="I370" s="21"/>
      <c r="K370" s="22"/>
      <c r="L370" s="24"/>
      <c r="M370" s="24"/>
      <c r="N370" s="21"/>
      <c r="P370" s="22"/>
      <c r="S370" s="21"/>
    </row>
    <row r="371" spans="1:19" x14ac:dyDescent="0.35">
      <c r="A371" s="25">
        <v>44988</v>
      </c>
      <c r="B371" s="24">
        <v>22943.96</v>
      </c>
      <c r="C371" s="24">
        <v>22943.96</v>
      </c>
      <c r="D371" s="23">
        <f t="shared" si="5"/>
        <v>1.2855839955784489E-2</v>
      </c>
      <c r="F371" s="22"/>
      <c r="I371" s="21"/>
      <c r="K371" s="22"/>
      <c r="L371" s="24"/>
      <c r="M371" s="24"/>
      <c r="N371" s="21"/>
      <c r="P371" s="22"/>
      <c r="S371" s="21"/>
    </row>
    <row r="372" spans="1:19" x14ac:dyDescent="0.35">
      <c r="A372" s="25">
        <v>44991</v>
      </c>
      <c r="B372" s="24">
        <v>23108.97</v>
      </c>
      <c r="C372" s="24">
        <v>23108.97</v>
      </c>
      <c r="D372" s="23">
        <f t="shared" si="5"/>
        <v>7.1918709760652498E-3</v>
      </c>
      <c r="F372" s="22"/>
      <c r="I372" s="21"/>
      <c r="K372" s="22"/>
      <c r="L372" s="24"/>
      <c r="M372" s="24"/>
      <c r="N372" s="21"/>
      <c r="P372" s="22"/>
      <c r="S372" s="21"/>
    </row>
    <row r="373" spans="1:19" x14ac:dyDescent="0.35">
      <c r="A373" s="25">
        <v>44993</v>
      </c>
      <c r="B373" s="24">
        <v>23172.99</v>
      </c>
      <c r="C373" s="24">
        <v>23172.99</v>
      </c>
      <c r="D373" s="23">
        <f t="shared" si="5"/>
        <v>2.7703528110513118E-3</v>
      </c>
      <c r="F373" s="22"/>
      <c r="I373" s="21"/>
      <c r="K373" s="22"/>
      <c r="L373" s="24"/>
      <c r="M373" s="24"/>
      <c r="N373" s="21"/>
      <c r="P373" s="22"/>
      <c r="S373" s="21"/>
    </row>
    <row r="374" spans="1:19" x14ac:dyDescent="0.35">
      <c r="A374" s="25">
        <v>44994</v>
      </c>
      <c r="B374" s="24">
        <v>22989.73</v>
      </c>
      <c r="C374" s="24">
        <v>22989.73</v>
      </c>
      <c r="D374" s="23">
        <f t="shared" si="5"/>
        <v>-7.9083450171946752E-3</v>
      </c>
      <c r="F374" s="22"/>
      <c r="I374" s="21"/>
      <c r="K374" s="22"/>
      <c r="L374" s="24"/>
      <c r="M374" s="24"/>
      <c r="N374" s="21"/>
      <c r="P374" s="22"/>
      <c r="S374" s="21"/>
    </row>
    <row r="375" spans="1:19" x14ac:dyDescent="0.35">
      <c r="A375" s="25">
        <v>44995</v>
      </c>
      <c r="B375" s="24">
        <v>22797.01</v>
      </c>
      <c r="C375" s="24">
        <v>22797.01</v>
      </c>
      <c r="D375" s="23">
        <f t="shared" si="5"/>
        <v>-8.3828735700680768E-3</v>
      </c>
      <c r="F375" s="22"/>
      <c r="I375" s="21"/>
      <c r="K375" s="22"/>
      <c r="L375" s="24"/>
      <c r="M375" s="24"/>
      <c r="N375" s="21"/>
      <c r="P375" s="22"/>
      <c r="S375" s="21"/>
    </row>
    <row r="376" spans="1:19" x14ac:dyDescent="0.35">
      <c r="A376" s="25">
        <v>44998</v>
      </c>
      <c r="B376" s="24">
        <v>22446.97</v>
      </c>
      <c r="C376" s="24">
        <v>22446.97</v>
      </c>
      <c r="D376" s="23">
        <f t="shared" si="5"/>
        <v>-1.5354645192505388E-2</v>
      </c>
      <c r="F376" s="22"/>
      <c r="I376" s="21"/>
      <c r="K376" s="22"/>
      <c r="L376" s="24"/>
      <c r="M376" s="24"/>
      <c r="N376" s="21"/>
      <c r="P376" s="22"/>
      <c r="S376" s="21"/>
    </row>
    <row r="377" spans="1:19" x14ac:dyDescent="0.35">
      <c r="A377" s="25">
        <v>44999</v>
      </c>
      <c r="B377" s="24">
        <v>22298.04</v>
      </c>
      <c r="C377" s="24">
        <v>22298.04</v>
      </c>
      <c r="D377" s="23">
        <f t="shared" si="5"/>
        <v>-6.6347484760749574E-3</v>
      </c>
      <c r="F377" s="22"/>
      <c r="I377" s="21"/>
      <c r="K377" s="22"/>
      <c r="L377" s="24"/>
      <c r="M377" s="24"/>
      <c r="N377" s="21"/>
      <c r="P377" s="22"/>
      <c r="S377" s="21"/>
    </row>
    <row r="378" spans="1:19" x14ac:dyDescent="0.35">
      <c r="A378" s="25">
        <v>45000</v>
      </c>
      <c r="B378" s="24">
        <v>22238.83</v>
      </c>
      <c r="C378" s="24">
        <v>22238.83</v>
      </c>
      <c r="D378" s="23">
        <f t="shared" si="5"/>
        <v>-2.6553903392405398E-3</v>
      </c>
      <c r="F378" s="22"/>
      <c r="I378" s="21"/>
      <c r="K378" s="22"/>
      <c r="L378" s="24"/>
      <c r="M378" s="24"/>
      <c r="N378" s="21"/>
      <c r="P378" s="22"/>
      <c r="S378" s="21"/>
    </row>
    <row r="379" spans="1:19" x14ac:dyDescent="0.35">
      <c r="A379" s="25">
        <v>45001</v>
      </c>
      <c r="B379" s="24">
        <v>22254.68</v>
      </c>
      <c r="C379" s="24">
        <v>22254.68</v>
      </c>
      <c r="D379" s="23">
        <f t="shared" si="5"/>
        <v>7.1271735068789786E-4</v>
      </c>
      <c r="F379" s="22"/>
      <c r="I379" s="21"/>
      <c r="K379" s="22"/>
      <c r="L379" s="24"/>
      <c r="M379" s="24"/>
      <c r="N379" s="21"/>
      <c r="P379" s="22"/>
      <c r="S379" s="21"/>
    </row>
    <row r="380" spans="1:19" x14ac:dyDescent="0.35">
      <c r="A380" s="25">
        <v>45002</v>
      </c>
      <c r="B380" s="24">
        <v>22395.26</v>
      </c>
      <c r="C380" s="24">
        <v>22395.26</v>
      </c>
      <c r="D380" s="23">
        <f t="shared" si="5"/>
        <v>6.3168735744570624E-3</v>
      </c>
      <c r="F380" s="22"/>
      <c r="I380" s="21"/>
      <c r="K380" s="22"/>
      <c r="L380" s="24"/>
      <c r="M380" s="24"/>
      <c r="N380" s="21"/>
      <c r="P380" s="22"/>
      <c r="S380" s="21"/>
    </row>
    <row r="381" spans="1:19" x14ac:dyDescent="0.35">
      <c r="A381" s="25">
        <v>45005</v>
      </c>
      <c r="B381" s="24">
        <v>22234.47</v>
      </c>
      <c r="C381" s="24">
        <v>22234.47</v>
      </c>
      <c r="D381" s="23">
        <f t="shared" si="5"/>
        <v>-7.1796442640093151E-3</v>
      </c>
      <c r="F381" s="22"/>
      <c r="I381" s="21"/>
      <c r="K381" s="22"/>
      <c r="L381" s="24"/>
      <c r="M381" s="24"/>
      <c r="N381" s="21"/>
      <c r="P381" s="22"/>
      <c r="S381" s="21"/>
    </row>
    <row r="382" spans="1:19" x14ac:dyDescent="0.35">
      <c r="A382" s="25">
        <v>45006</v>
      </c>
      <c r="B382" s="24">
        <v>22380.86</v>
      </c>
      <c r="C382" s="24">
        <v>22380.86</v>
      </c>
      <c r="D382" s="23">
        <f t="shared" si="5"/>
        <v>6.5839212717910258E-3</v>
      </c>
      <c r="F382" s="22"/>
      <c r="I382" s="21"/>
      <c r="K382" s="22"/>
      <c r="L382" s="24"/>
      <c r="M382" s="24"/>
      <c r="N382" s="21"/>
      <c r="P382" s="22"/>
      <c r="S382" s="21"/>
    </row>
    <row r="383" spans="1:19" x14ac:dyDescent="0.35">
      <c r="A383" s="25">
        <v>45007</v>
      </c>
      <c r="B383" s="24">
        <v>22456.46</v>
      </c>
      <c r="C383" s="24">
        <v>22456.46</v>
      </c>
      <c r="D383" s="23">
        <f t="shared" si="5"/>
        <v>3.3778862831901251E-3</v>
      </c>
      <c r="F383" s="22"/>
      <c r="I383" s="21"/>
      <c r="K383" s="22"/>
      <c r="L383" s="24"/>
      <c r="M383" s="24"/>
      <c r="N383" s="21"/>
      <c r="P383" s="22"/>
      <c r="S383" s="21"/>
    </row>
    <row r="384" spans="1:19" x14ac:dyDescent="0.35">
      <c r="A384" s="25">
        <v>45008</v>
      </c>
      <c r="B384" s="24">
        <v>22368.83</v>
      </c>
      <c r="C384" s="24">
        <v>22368.83</v>
      </c>
      <c r="D384" s="23">
        <f t="shared" si="5"/>
        <v>-3.9022178918670788E-3</v>
      </c>
      <c r="F384" s="22"/>
      <c r="I384" s="21"/>
      <c r="K384" s="22"/>
      <c r="L384" s="24"/>
      <c r="M384" s="24"/>
      <c r="N384" s="21"/>
      <c r="P384" s="22"/>
      <c r="S384" s="21"/>
    </row>
    <row r="385" spans="1:19" x14ac:dyDescent="0.35">
      <c r="A385" s="25">
        <v>45009</v>
      </c>
      <c r="B385" s="24">
        <v>22176.11</v>
      </c>
      <c r="C385" s="24">
        <v>22176.11</v>
      </c>
      <c r="D385" s="23">
        <f t="shared" si="5"/>
        <v>-8.615560134347713E-3</v>
      </c>
      <c r="F385" s="22"/>
      <c r="I385" s="21"/>
      <c r="K385" s="22"/>
      <c r="L385" s="24"/>
      <c r="M385" s="24"/>
      <c r="N385" s="21"/>
      <c r="P385" s="22"/>
      <c r="S385" s="21"/>
    </row>
    <row r="386" spans="1:19" x14ac:dyDescent="0.35">
      <c r="A386" s="25">
        <v>45012</v>
      </c>
      <c r="B386" s="24">
        <v>22150.83</v>
      </c>
      <c r="C386" s="24">
        <v>22150.83</v>
      </c>
      <c r="D386" s="23">
        <f t="shared" si="5"/>
        <v>-1.1399654853803862E-3</v>
      </c>
      <c r="F386" s="22"/>
      <c r="I386" s="21"/>
      <c r="K386" s="22"/>
      <c r="L386" s="24"/>
      <c r="M386" s="24"/>
      <c r="N386" s="21"/>
      <c r="P386" s="22"/>
      <c r="S386" s="21"/>
    </row>
    <row r="387" spans="1:19" x14ac:dyDescent="0.35">
      <c r="A387" s="25">
        <v>45013</v>
      </c>
      <c r="B387" s="24">
        <v>22071.73</v>
      </c>
      <c r="C387" s="24">
        <v>22071.73</v>
      </c>
      <c r="D387" s="23">
        <f t="shared" ref="D387:D450" si="6">(B387-B386)/B386</f>
        <v>-3.5709722841086398E-3</v>
      </c>
      <c r="F387" s="22"/>
      <c r="I387" s="21"/>
      <c r="K387" s="22"/>
      <c r="L387" s="24"/>
      <c r="M387" s="24"/>
      <c r="N387" s="21"/>
      <c r="P387" s="22"/>
      <c r="S387" s="21"/>
    </row>
    <row r="388" spans="1:19" x14ac:dyDescent="0.35">
      <c r="A388" s="25">
        <v>45014</v>
      </c>
      <c r="B388" s="24">
        <v>22279.71</v>
      </c>
      <c r="C388" s="24">
        <v>22279.71</v>
      </c>
      <c r="D388" s="23">
        <f t="shared" si="6"/>
        <v>9.4229133828657545E-3</v>
      </c>
      <c r="F388" s="22"/>
      <c r="I388" s="21"/>
      <c r="K388" s="22"/>
      <c r="L388" s="24"/>
      <c r="M388" s="24"/>
      <c r="N388" s="21"/>
      <c r="P388" s="22"/>
      <c r="S388" s="21"/>
    </row>
    <row r="389" spans="1:19" x14ac:dyDescent="0.35">
      <c r="A389" s="25">
        <v>45016</v>
      </c>
      <c r="B389" s="24">
        <v>22609.54</v>
      </c>
      <c r="C389" s="24">
        <v>22609.54</v>
      </c>
      <c r="D389" s="23">
        <f t="shared" si="6"/>
        <v>1.4804052655981687E-2</v>
      </c>
      <c r="F389" s="22"/>
      <c r="I389" s="21"/>
      <c r="K389" s="22"/>
      <c r="L389" s="24"/>
      <c r="M389" s="24"/>
      <c r="N389" s="21"/>
      <c r="P389" s="22"/>
      <c r="S389" s="21"/>
    </row>
    <row r="390" spans="1:19" x14ac:dyDescent="0.35">
      <c r="A390" s="25">
        <v>45019</v>
      </c>
      <c r="B390" s="24">
        <v>22678.03</v>
      </c>
      <c r="C390" s="24">
        <v>22678.03</v>
      </c>
      <c r="D390" s="23">
        <f t="shared" si="6"/>
        <v>3.0292522536945893E-3</v>
      </c>
      <c r="F390" s="22"/>
      <c r="I390" s="21"/>
      <c r="K390" s="22"/>
      <c r="L390" s="24"/>
      <c r="M390" s="24"/>
      <c r="N390" s="21"/>
      <c r="P390" s="22"/>
      <c r="S390" s="21"/>
    </row>
    <row r="391" spans="1:19" x14ac:dyDescent="0.35">
      <c r="A391" s="25">
        <v>45021</v>
      </c>
      <c r="B391" s="24">
        <v>22844.93</v>
      </c>
      <c r="C391" s="24">
        <v>22844.93</v>
      </c>
      <c r="D391" s="23">
        <f t="shared" si="6"/>
        <v>7.3595457806520876E-3</v>
      </c>
      <c r="F391" s="22"/>
      <c r="I391" s="21"/>
      <c r="K391" s="22"/>
      <c r="L391" s="24"/>
      <c r="M391" s="24"/>
      <c r="N391" s="21"/>
      <c r="P391" s="22"/>
      <c r="S391" s="21"/>
    </row>
    <row r="392" spans="1:19" x14ac:dyDescent="0.35">
      <c r="A392" s="25">
        <v>45022</v>
      </c>
      <c r="B392" s="24">
        <v>22922.21</v>
      </c>
      <c r="C392" s="24">
        <v>22922.21</v>
      </c>
      <c r="D392" s="23">
        <f t="shared" si="6"/>
        <v>3.3828074763196402E-3</v>
      </c>
      <c r="F392" s="22"/>
      <c r="I392" s="21"/>
      <c r="K392" s="22"/>
      <c r="L392" s="24"/>
      <c r="M392" s="24"/>
      <c r="N392" s="21"/>
      <c r="P392" s="22"/>
      <c r="S392" s="21"/>
    </row>
    <row r="393" spans="1:19" x14ac:dyDescent="0.35">
      <c r="A393" s="25">
        <v>45026</v>
      </c>
      <c r="B393" s="24">
        <v>22970.959999999999</v>
      </c>
      <c r="C393" s="24">
        <v>22970.959999999999</v>
      </c>
      <c r="D393" s="23">
        <f t="shared" si="6"/>
        <v>2.1267582837780478E-3</v>
      </c>
      <c r="F393" s="22"/>
      <c r="I393" s="21"/>
      <c r="K393" s="22"/>
      <c r="L393" s="24"/>
      <c r="M393" s="24"/>
      <c r="N393" s="21"/>
      <c r="P393" s="22"/>
      <c r="S393" s="21"/>
    </row>
    <row r="394" spans="1:19" x14ac:dyDescent="0.35">
      <c r="A394" s="25">
        <v>45027</v>
      </c>
      <c r="B394" s="24">
        <v>23090.27</v>
      </c>
      <c r="C394" s="24">
        <v>23090.27</v>
      </c>
      <c r="D394" s="23">
        <f t="shared" si="6"/>
        <v>5.1939492298102175E-3</v>
      </c>
      <c r="F394" s="22"/>
      <c r="I394" s="21"/>
      <c r="K394" s="22"/>
      <c r="L394" s="24"/>
      <c r="M394" s="24"/>
      <c r="N394" s="21"/>
      <c r="P394" s="22"/>
      <c r="S394" s="21"/>
    </row>
    <row r="395" spans="1:19" x14ac:dyDescent="0.35">
      <c r="A395" s="25">
        <v>45028</v>
      </c>
      <c r="B395" s="24">
        <v>23205.72</v>
      </c>
      <c r="C395" s="24">
        <v>23205.72</v>
      </c>
      <c r="D395" s="23">
        <f t="shared" si="6"/>
        <v>4.9999415338149236E-3</v>
      </c>
      <c r="F395" s="22"/>
      <c r="I395" s="21"/>
      <c r="K395" s="22"/>
      <c r="L395" s="24"/>
      <c r="M395" s="24"/>
      <c r="N395" s="21"/>
      <c r="P395" s="22"/>
      <c r="S395" s="21"/>
    </row>
    <row r="396" spans="1:19" x14ac:dyDescent="0.35">
      <c r="A396" s="25">
        <v>45029</v>
      </c>
      <c r="B396" s="24">
        <v>23227.119999999999</v>
      </c>
      <c r="C396" s="24">
        <v>23227.119999999999</v>
      </c>
      <c r="D396" s="23">
        <f t="shared" si="6"/>
        <v>9.2218642644993631E-4</v>
      </c>
      <c r="F396" s="22"/>
      <c r="I396" s="21"/>
      <c r="K396" s="22"/>
      <c r="L396" s="24"/>
      <c r="M396" s="24"/>
      <c r="N396" s="21"/>
      <c r="P396" s="22"/>
      <c r="S396" s="21"/>
    </row>
    <row r="397" spans="1:19" x14ac:dyDescent="0.35">
      <c r="A397" s="25">
        <v>45033</v>
      </c>
      <c r="B397" s="24">
        <v>23149.56</v>
      </c>
      <c r="C397" s="24">
        <v>23149.56</v>
      </c>
      <c r="D397" s="23">
        <f t="shared" si="6"/>
        <v>-3.3392000385754962E-3</v>
      </c>
      <c r="F397" s="22"/>
      <c r="I397" s="21"/>
      <c r="K397" s="22"/>
      <c r="L397" s="24"/>
      <c r="M397" s="24"/>
      <c r="N397" s="21"/>
      <c r="P397" s="22"/>
      <c r="S397" s="21"/>
    </row>
    <row r="398" spans="1:19" x14ac:dyDescent="0.35">
      <c r="A398" s="25">
        <v>45034</v>
      </c>
      <c r="B398" s="24">
        <v>23138.2</v>
      </c>
      <c r="C398" s="24">
        <v>23138.2</v>
      </c>
      <c r="D398" s="23">
        <f t="shared" si="6"/>
        <v>-4.9072206987953897E-4</v>
      </c>
      <c r="F398" s="22"/>
      <c r="I398" s="21"/>
      <c r="K398" s="22"/>
      <c r="L398" s="24"/>
      <c r="M398" s="24"/>
      <c r="N398" s="21"/>
      <c r="P398" s="22"/>
      <c r="S398" s="21"/>
    </row>
    <row r="399" spans="1:19" x14ac:dyDescent="0.35">
      <c r="A399" s="25">
        <v>45035</v>
      </c>
      <c r="B399" s="24">
        <v>23075.89</v>
      </c>
      <c r="C399" s="24">
        <v>23075.89</v>
      </c>
      <c r="D399" s="23">
        <f t="shared" si="6"/>
        <v>-2.6929493219006364E-3</v>
      </c>
      <c r="F399" s="22"/>
      <c r="I399" s="21"/>
      <c r="K399" s="22"/>
      <c r="L399" s="24"/>
      <c r="M399" s="24"/>
      <c r="N399" s="21"/>
      <c r="P399" s="22"/>
      <c r="S399" s="21"/>
    </row>
    <row r="400" spans="1:19" x14ac:dyDescent="0.35">
      <c r="A400" s="25">
        <v>45036</v>
      </c>
      <c r="B400" s="24">
        <v>23083.439999999999</v>
      </c>
      <c r="C400" s="24">
        <v>23083.439999999999</v>
      </c>
      <c r="D400" s="23">
        <f t="shared" si="6"/>
        <v>3.271813134834354E-4</v>
      </c>
      <c r="F400" s="22"/>
      <c r="I400" s="21"/>
      <c r="K400" s="22"/>
      <c r="L400" s="24"/>
      <c r="M400" s="24"/>
      <c r="N400" s="21"/>
      <c r="P400" s="22"/>
      <c r="S400" s="21"/>
    </row>
    <row r="401" spans="1:19" x14ac:dyDescent="0.35">
      <c r="A401" s="25">
        <v>45037</v>
      </c>
      <c r="B401" s="24">
        <v>23061.48</v>
      </c>
      <c r="C401" s="24">
        <v>23061.48</v>
      </c>
      <c r="D401" s="23">
        <f t="shared" si="6"/>
        <v>-9.5133134402840855E-4</v>
      </c>
      <c r="F401" s="26"/>
      <c r="G401" s="27"/>
      <c r="H401" s="27"/>
      <c r="I401" s="28"/>
      <c r="J401" s="27"/>
      <c r="K401" s="26"/>
      <c r="L401" s="24"/>
      <c r="M401" s="24"/>
      <c r="N401" s="21"/>
      <c r="P401" s="22"/>
      <c r="S401" s="21"/>
    </row>
    <row r="402" spans="1:19" x14ac:dyDescent="0.35">
      <c r="A402" s="25">
        <v>45040</v>
      </c>
      <c r="B402" s="24">
        <v>23190.5</v>
      </c>
      <c r="C402" s="24">
        <v>23190.5</v>
      </c>
      <c r="D402" s="23">
        <f t="shared" si="6"/>
        <v>5.5946105800668668E-3</v>
      </c>
      <c r="F402" s="22"/>
      <c r="I402" s="21"/>
      <c r="K402" s="22"/>
      <c r="L402" s="24"/>
      <c r="M402" s="24"/>
      <c r="N402" s="21"/>
      <c r="P402" s="22"/>
      <c r="S402" s="21"/>
    </row>
    <row r="403" spans="1:19" x14ac:dyDescent="0.35">
      <c r="A403" s="25">
        <v>45041</v>
      </c>
      <c r="B403" s="24">
        <v>23230.2</v>
      </c>
      <c r="C403" s="24">
        <v>23230.2</v>
      </c>
      <c r="D403" s="23">
        <f t="shared" si="6"/>
        <v>1.7119078933184161E-3</v>
      </c>
      <c r="F403" s="22"/>
      <c r="I403" s="21"/>
      <c r="K403" s="22"/>
      <c r="L403" s="24"/>
      <c r="M403" s="24"/>
      <c r="N403" s="21"/>
      <c r="P403" s="22"/>
      <c r="S403" s="21"/>
    </row>
    <row r="404" spans="1:19" x14ac:dyDescent="0.35">
      <c r="A404" s="25">
        <v>45042</v>
      </c>
      <c r="B404" s="24">
        <v>23290.3</v>
      </c>
      <c r="C404" s="24">
        <v>23290.3</v>
      </c>
      <c r="D404" s="23">
        <f t="shared" si="6"/>
        <v>2.5871494864443071E-3</v>
      </c>
      <c r="F404" s="22"/>
      <c r="I404" s="21"/>
      <c r="K404" s="22"/>
      <c r="L404" s="24"/>
      <c r="M404" s="24"/>
      <c r="N404" s="21"/>
      <c r="P404" s="22"/>
      <c r="S404" s="21"/>
    </row>
    <row r="405" spans="1:19" x14ac:dyDescent="0.35">
      <c r="A405" s="25">
        <v>45043</v>
      </c>
      <c r="B405" s="24">
        <v>23415.66</v>
      </c>
      <c r="C405" s="24">
        <v>23415.66</v>
      </c>
      <c r="D405" s="23">
        <f t="shared" si="6"/>
        <v>5.382498293280919E-3</v>
      </c>
      <c r="F405" s="22"/>
      <c r="I405" s="21"/>
      <c r="K405" s="22"/>
      <c r="L405" s="24"/>
      <c r="M405" s="24"/>
      <c r="N405" s="21"/>
      <c r="P405" s="22"/>
      <c r="S405" s="21"/>
    </row>
    <row r="406" spans="1:19" x14ac:dyDescent="0.35">
      <c r="A406" s="25">
        <v>45044</v>
      </c>
      <c r="B406" s="24">
        <v>23643.94</v>
      </c>
      <c r="C406" s="24">
        <v>23643.94</v>
      </c>
      <c r="D406" s="23">
        <f t="shared" si="6"/>
        <v>9.7490312039036631E-3</v>
      </c>
      <c r="F406" s="22"/>
      <c r="I406" s="21"/>
      <c r="K406" s="22"/>
      <c r="L406" s="24"/>
      <c r="M406" s="24"/>
      <c r="N406" s="21"/>
      <c r="P406" s="22"/>
      <c r="S406" s="21"/>
    </row>
    <row r="407" spans="1:19" x14ac:dyDescent="0.35">
      <c r="A407" s="25">
        <v>45048</v>
      </c>
      <c r="B407" s="24">
        <v>23770.12</v>
      </c>
      <c r="C407" s="24">
        <v>23770.12</v>
      </c>
      <c r="D407" s="23">
        <f t="shared" si="6"/>
        <v>5.3366740061089775E-3</v>
      </c>
      <c r="F407" s="22"/>
      <c r="I407" s="21"/>
      <c r="K407" s="22"/>
      <c r="L407" s="24"/>
      <c r="M407" s="24"/>
      <c r="N407" s="21"/>
      <c r="P407" s="22"/>
      <c r="S407" s="21"/>
    </row>
    <row r="408" spans="1:19" x14ac:dyDescent="0.35">
      <c r="A408" s="25">
        <v>45049</v>
      </c>
      <c r="B408" s="24">
        <v>23732.29</v>
      </c>
      <c r="C408" s="24">
        <v>23732.29</v>
      </c>
      <c r="D408" s="23">
        <f t="shared" si="6"/>
        <v>-1.5914938586762755E-3</v>
      </c>
      <c r="F408" s="22"/>
      <c r="I408" s="21"/>
      <c r="K408" s="22"/>
      <c r="L408" s="24"/>
      <c r="M408" s="24"/>
      <c r="N408" s="21"/>
      <c r="P408" s="22"/>
      <c r="S408" s="21"/>
    </row>
    <row r="409" spans="1:19" x14ac:dyDescent="0.35">
      <c r="A409" s="25">
        <v>45050</v>
      </c>
      <c r="B409" s="24">
        <v>23932.9</v>
      </c>
      <c r="C409" s="24">
        <v>23932.9</v>
      </c>
      <c r="D409" s="23">
        <f t="shared" si="6"/>
        <v>8.4530401406691293E-3</v>
      </c>
      <c r="F409" s="22"/>
      <c r="I409" s="21"/>
      <c r="K409" s="22"/>
      <c r="L409" s="24"/>
      <c r="M409" s="24"/>
      <c r="N409" s="21"/>
      <c r="P409" s="22"/>
      <c r="S409" s="21"/>
    </row>
    <row r="410" spans="1:19" x14ac:dyDescent="0.35">
      <c r="A410" s="25">
        <v>45051</v>
      </c>
      <c r="B410" s="24">
        <v>23735.759999999998</v>
      </c>
      <c r="C410" s="24">
        <v>23735.759999999998</v>
      </c>
      <c r="D410" s="23">
        <f t="shared" si="6"/>
        <v>-8.2371964952012936E-3</v>
      </c>
      <c r="F410" s="22"/>
      <c r="I410" s="21"/>
      <c r="K410" s="22"/>
      <c r="L410" s="24"/>
      <c r="M410" s="24"/>
      <c r="N410" s="21"/>
      <c r="P410" s="22"/>
      <c r="S410" s="21"/>
    </row>
    <row r="411" spans="1:19" x14ac:dyDescent="0.35">
      <c r="A411" s="25">
        <v>45054</v>
      </c>
      <c r="B411" s="24">
        <v>23966.42</v>
      </c>
      <c r="C411" s="24">
        <v>23966.42</v>
      </c>
      <c r="D411" s="23">
        <f t="shared" si="6"/>
        <v>9.7178266042460774E-3</v>
      </c>
      <c r="F411" s="22"/>
      <c r="I411" s="21"/>
      <c r="K411" s="22"/>
      <c r="L411" s="24"/>
      <c r="M411" s="24"/>
      <c r="N411" s="21"/>
      <c r="P411" s="22"/>
      <c r="S411" s="21"/>
    </row>
    <row r="412" spans="1:19" x14ac:dyDescent="0.35">
      <c r="A412" s="25">
        <v>45055</v>
      </c>
      <c r="B412" s="24">
        <v>23956.36</v>
      </c>
      <c r="C412" s="24">
        <v>23956.36</v>
      </c>
      <c r="D412" s="23">
        <f t="shared" si="6"/>
        <v>-4.1975397243299885E-4</v>
      </c>
      <c r="F412" s="22"/>
      <c r="I412" s="21"/>
      <c r="K412" s="22"/>
      <c r="L412" s="24"/>
      <c r="M412" s="24"/>
      <c r="N412" s="21"/>
      <c r="P412" s="22"/>
      <c r="S412" s="21"/>
    </row>
    <row r="413" spans="1:19" x14ac:dyDescent="0.35">
      <c r="A413" s="25">
        <v>45056</v>
      </c>
      <c r="B413" s="24">
        <v>24027.200000000001</v>
      </c>
      <c r="C413" s="24">
        <v>24027.200000000001</v>
      </c>
      <c r="D413" s="23">
        <f t="shared" si="6"/>
        <v>2.9570435575354578E-3</v>
      </c>
      <c r="F413" s="22"/>
      <c r="I413" s="21"/>
      <c r="K413" s="22"/>
      <c r="L413" s="24"/>
      <c r="M413" s="24"/>
      <c r="N413" s="21"/>
      <c r="P413" s="22"/>
      <c r="S413" s="21"/>
    </row>
    <row r="414" spans="1:19" x14ac:dyDescent="0.35">
      <c r="A414" s="25">
        <v>45057</v>
      </c>
      <c r="B414" s="24">
        <v>24055.22</v>
      </c>
      <c r="C414" s="24">
        <v>24055.22</v>
      </c>
      <c r="D414" s="23">
        <f t="shared" si="6"/>
        <v>1.1661783312246303E-3</v>
      </c>
      <c r="F414" s="22"/>
      <c r="I414" s="21"/>
      <c r="K414" s="22"/>
      <c r="L414" s="24"/>
      <c r="M414" s="24"/>
      <c r="N414" s="21"/>
      <c r="P414" s="22"/>
      <c r="S414" s="21"/>
    </row>
    <row r="415" spans="1:19" x14ac:dyDescent="0.35">
      <c r="A415" s="25">
        <v>45058</v>
      </c>
      <c r="B415" s="24">
        <v>24044.99</v>
      </c>
      <c r="C415" s="24">
        <v>24044.99</v>
      </c>
      <c r="D415" s="23">
        <f t="shared" si="6"/>
        <v>-4.25271521108498E-4</v>
      </c>
      <c r="F415" s="22"/>
      <c r="I415" s="21"/>
      <c r="K415" s="22"/>
      <c r="L415" s="24"/>
      <c r="M415" s="24"/>
      <c r="N415" s="21"/>
      <c r="P415" s="22"/>
      <c r="S415" s="21"/>
    </row>
    <row r="416" spans="1:19" x14ac:dyDescent="0.35">
      <c r="A416" s="25">
        <v>45061</v>
      </c>
      <c r="B416" s="24">
        <v>24157.41</v>
      </c>
      <c r="C416" s="24">
        <v>24157.41</v>
      </c>
      <c r="D416" s="23">
        <f t="shared" si="6"/>
        <v>4.6754022355591845E-3</v>
      </c>
      <c r="F416" s="22"/>
      <c r="I416" s="21"/>
      <c r="K416" s="22"/>
      <c r="L416" s="24"/>
      <c r="M416" s="24"/>
      <c r="N416" s="21"/>
      <c r="P416" s="22"/>
      <c r="S416" s="21"/>
    </row>
    <row r="417" spans="1:19" x14ac:dyDescent="0.35">
      <c r="A417" s="25">
        <v>45062</v>
      </c>
      <c r="B417" s="24">
        <v>24100.95</v>
      </c>
      <c r="C417" s="24">
        <v>24100.95</v>
      </c>
      <c r="D417" s="23">
        <f t="shared" si="6"/>
        <v>-2.3371710791843634E-3</v>
      </c>
      <c r="F417" s="22"/>
      <c r="I417" s="21"/>
      <c r="K417" s="22"/>
      <c r="L417" s="24"/>
      <c r="M417" s="24"/>
      <c r="N417" s="21"/>
      <c r="P417" s="22"/>
      <c r="S417" s="21"/>
    </row>
    <row r="418" spans="1:19" x14ac:dyDescent="0.35">
      <c r="A418" s="25">
        <v>45063</v>
      </c>
      <c r="B418" s="24">
        <v>23998.15</v>
      </c>
      <c r="C418" s="24">
        <v>23998.15</v>
      </c>
      <c r="D418" s="23">
        <f t="shared" si="6"/>
        <v>-4.2653920281150439E-3</v>
      </c>
      <c r="F418" s="22"/>
      <c r="I418" s="21"/>
      <c r="K418" s="22"/>
      <c r="L418" s="24"/>
      <c r="M418" s="24"/>
      <c r="N418" s="21"/>
      <c r="P418" s="22"/>
      <c r="S418" s="21"/>
    </row>
    <row r="419" spans="1:19" x14ac:dyDescent="0.35">
      <c r="A419" s="25">
        <v>45064</v>
      </c>
      <c r="B419" s="24">
        <v>23897.439999999999</v>
      </c>
      <c r="C419" s="24">
        <v>23897.439999999999</v>
      </c>
      <c r="D419" s="23">
        <f t="shared" si="6"/>
        <v>-4.1965734858729845E-3</v>
      </c>
      <c r="F419" s="22"/>
      <c r="I419" s="21"/>
      <c r="K419" s="22"/>
      <c r="L419" s="24"/>
      <c r="M419" s="24"/>
      <c r="N419" s="21"/>
      <c r="P419" s="22"/>
      <c r="S419" s="21"/>
    </row>
    <row r="420" spans="1:19" x14ac:dyDescent="0.35">
      <c r="A420" s="25">
        <v>45065</v>
      </c>
      <c r="B420" s="24">
        <v>23970.65</v>
      </c>
      <c r="C420" s="24">
        <v>23970.65</v>
      </c>
      <c r="D420" s="23">
        <f t="shared" si="6"/>
        <v>3.063508057766973E-3</v>
      </c>
      <c r="F420" s="22"/>
      <c r="I420" s="21"/>
      <c r="K420" s="22"/>
      <c r="L420" s="24"/>
      <c r="M420" s="24"/>
      <c r="N420" s="21"/>
      <c r="P420" s="22"/>
      <c r="S420" s="21"/>
    </row>
    <row r="421" spans="1:19" x14ac:dyDescent="0.35">
      <c r="A421" s="25">
        <v>45068</v>
      </c>
      <c r="B421" s="24">
        <v>24120.68</v>
      </c>
      <c r="C421" s="24">
        <v>24120.68</v>
      </c>
      <c r="D421" s="23">
        <f t="shared" si="6"/>
        <v>6.2589041181611189E-3</v>
      </c>
      <c r="F421" s="22"/>
      <c r="I421" s="21"/>
      <c r="K421" s="22"/>
      <c r="L421" s="24"/>
      <c r="M421" s="24"/>
      <c r="N421" s="21"/>
      <c r="P421" s="22"/>
      <c r="S421" s="21"/>
    </row>
    <row r="422" spans="1:19" x14ac:dyDescent="0.35">
      <c r="A422" s="25">
        <v>45069</v>
      </c>
      <c r="B422" s="24">
        <v>24184.07</v>
      </c>
      <c r="C422" s="24">
        <v>24184.07</v>
      </c>
      <c r="D422" s="23">
        <f t="shared" si="6"/>
        <v>2.6280353621871114E-3</v>
      </c>
      <c r="F422" s="22"/>
      <c r="I422" s="21"/>
      <c r="K422" s="22"/>
      <c r="L422" s="24"/>
      <c r="M422" s="24"/>
      <c r="N422" s="21"/>
      <c r="P422" s="22"/>
      <c r="S422" s="21"/>
    </row>
    <row r="423" spans="1:19" x14ac:dyDescent="0.35">
      <c r="A423" s="25">
        <v>45070</v>
      </c>
      <c r="B423" s="24">
        <v>24139.55</v>
      </c>
      <c r="C423" s="24">
        <v>24139.55</v>
      </c>
      <c r="D423" s="23">
        <f t="shared" si="6"/>
        <v>-1.8408812081672124E-3</v>
      </c>
      <c r="F423" s="22"/>
      <c r="I423" s="21"/>
      <c r="K423" s="22"/>
      <c r="L423" s="24"/>
      <c r="M423" s="24"/>
      <c r="N423" s="21"/>
      <c r="P423" s="22"/>
      <c r="S423" s="21"/>
    </row>
    <row r="424" spans="1:19" x14ac:dyDescent="0.35">
      <c r="A424" s="25">
        <v>45071</v>
      </c>
      <c r="B424" s="24">
        <v>24200.87</v>
      </c>
      <c r="C424" s="24">
        <v>24200.87</v>
      </c>
      <c r="D424" s="23">
        <f t="shared" si="6"/>
        <v>2.5402296231702625E-3</v>
      </c>
      <c r="F424" s="22"/>
      <c r="I424" s="21"/>
      <c r="K424" s="22"/>
      <c r="L424" s="24"/>
      <c r="M424" s="24"/>
      <c r="N424" s="21"/>
      <c r="P424" s="22"/>
      <c r="S424" s="21"/>
    </row>
    <row r="425" spans="1:19" x14ac:dyDescent="0.35">
      <c r="A425" s="25">
        <v>45072</v>
      </c>
      <c r="B425" s="24">
        <v>24420.97</v>
      </c>
      <c r="C425" s="24">
        <v>24420.97</v>
      </c>
      <c r="D425" s="23">
        <f t="shared" si="6"/>
        <v>9.0947143635746238E-3</v>
      </c>
      <c r="F425" s="22"/>
      <c r="I425" s="21"/>
      <c r="K425" s="22"/>
      <c r="L425" s="24"/>
      <c r="M425" s="24"/>
      <c r="N425" s="21"/>
      <c r="P425" s="22"/>
      <c r="S425" s="21"/>
    </row>
    <row r="426" spans="1:19" x14ac:dyDescent="0.35">
      <c r="A426" s="25">
        <v>45075</v>
      </c>
      <c r="B426" s="24">
        <v>24538.66</v>
      </c>
      <c r="C426" s="24">
        <v>24538.66</v>
      </c>
      <c r="D426" s="23">
        <f t="shared" si="6"/>
        <v>4.8192188926155961E-3</v>
      </c>
      <c r="F426" s="22"/>
      <c r="I426" s="21"/>
      <c r="K426" s="22"/>
      <c r="L426" s="24"/>
      <c r="M426" s="24"/>
      <c r="N426" s="21"/>
      <c r="P426" s="22"/>
      <c r="S426" s="21"/>
    </row>
    <row r="427" spans="1:19" x14ac:dyDescent="0.35">
      <c r="A427" s="25">
        <v>45076</v>
      </c>
      <c r="B427" s="24">
        <v>24580.880000000001</v>
      </c>
      <c r="C427" s="24">
        <v>24580.880000000001</v>
      </c>
      <c r="D427" s="23">
        <f t="shared" si="6"/>
        <v>1.7205503479000551E-3</v>
      </c>
      <c r="F427" s="22"/>
      <c r="I427" s="21"/>
      <c r="K427" s="22"/>
      <c r="L427" s="24"/>
      <c r="M427" s="24"/>
      <c r="N427" s="21"/>
      <c r="P427" s="22"/>
      <c r="S427" s="21"/>
    </row>
    <row r="428" spans="1:19" x14ac:dyDescent="0.35">
      <c r="A428" s="25">
        <v>45077</v>
      </c>
      <c r="B428" s="24">
        <v>24538.09</v>
      </c>
      <c r="C428" s="24">
        <v>24538.09</v>
      </c>
      <c r="D428" s="23">
        <f t="shared" si="6"/>
        <v>-1.7407838938232022E-3</v>
      </c>
      <c r="F428" s="22"/>
      <c r="I428" s="21"/>
      <c r="K428" s="22"/>
      <c r="L428" s="24"/>
      <c r="M428" s="24"/>
      <c r="N428" s="21"/>
      <c r="P428" s="22"/>
      <c r="S428" s="21"/>
    </row>
    <row r="429" spans="1:19" x14ac:dyDescent="0.35">
      <c r="A429" s="25">
        <v>45078</v>
      </c>
      <c r="B429" s="24">
        <v>24528.9</v>
      </c>
      <c r="C429" s="24">
        <v>24528.9</v>
      </c>
      <c r="D429" s="23">
        <f t="shared" si="6"/>
        <v>-3.7451977721162039E-4</v>
      </c>
      <c r="F429" s="22"/>
      <c r="I429" s="21"/>
      <c r="K429" s="22"/>
      <c r="L429" s="24"/>
      <c r="M429" s="24"/>
      <c r="N429" s="21"/>
      <c r="P429" s="22"/>
      <c r="S429" s="21"/>
    </row>
    <row r="430" spans="1:19" x14ac:dyDescent="0.35">
      <c r="A430" s="25">
        <v>45079</v>
      </c>
      <c r="B430" s="24">
        <v>24622.76</v>
      </c>
      <c r="C430" s="24">
        <v>24622.76</v>
      </c>
      <c r="D430" s="23">
        <f t="shared" si="6"/>
        <v>3.8265066921059215E-3</v>
      </c>
      <c r="F430" s="22"/>
      <c r="I430" s="21"/>
      <c r="K430" s="22"/>
      <c r="L430" s="24"/>
      <c r="M430" s="24"/>
      <c r="N430" s="21"/>
      <c r="P430" s="22"/>
      <c r="S430" s="21"/>
    </row>
    <row r="431" spans="1:19" x14ac:dyDescent="0.35">
      <c r="A431" s="25">
        <v>45082</v>
      </c>
      <c r="B431" s="24">
        <v>24698.02</v>
      </c>
      <c r="C431" s="24">
        <v>24698.02</v>
      </c>
      <c r="D431" s="23">
        <f t="shared" si="6"/>
        <v>3.0565216896888099E-3</v>
      </c>
      <c r="F431" s="22"/>
      <c r="I431" s="21"/>
      <c r="K431" s="22"/>
      <c r="L431" s="24"/>
      <c r="M431" s="24"/>
      <c r="N431" s="21"/>
      <c r="P431" s="22"/>
      <c r="S431" s="21"/>
    </row>
    <row r="432" spans="1:19" x14ac:dyDescent="0.35">
      <c r="A432" s="25">
        <v>45083</v>
      </c>
      <c r="B432" s="24">
        <v>24727.42</v>
      </c>
      <c r="C432" s="24">
        <v>24727.42</v>
      </c>
      <c r="D432" s="23">
        <f t="shared" si="6"/>
        <v>1.190378823889438E-3</v>
      </c>
      <c r="F432" s="22"/>
      <c r="I432" s="21"/>
      <c r="K432" s="22"/>
      <c r="L432" s="24"/>
      <c r="M432" s="24"/>
      <c r="N432" s="21"/>
      <c r="P432" s="22"/>
      <c r="S432" s="21"/>
    </row>
    <row r="433" spans="1:19" x14ac:dyDescent="0.35">
      <c r="A433" s="25">
        <v>45084</v>
      </c>
      <c r="B433" s="24">
        <v>24927.81</v>
      </c>
      <c r="C433" s="24">
        <v>24927.81</v>
      </c>
      <c r="D433" s="23">
        <f t="shared" si="6"/>
        <v>8.1039590867143865E-3</v>
      </c>
      <c r="F433" s="22"/>
      <c r="I433" s="21"/>
      <c r="K433" s="22"/>
      <c r="L433" s="24"/>
      <c r="M433" s="24"/>
      <c r="N433" s="21"/>
      <c r="P433" s="22"/>
      <c r="S433" s="21"/>
    </row>
    <row r="434" spans="1:19" x14ac:dyDescent="0.35">
      <c r="A434" s="25">
        <v>45085</v>
      </c>
      <c r="B434" s="24">
        <v>24794.46</v>
      </c>
      <c r="C434" s="24">
        <v>24794.46</v>
      </c>
      <c r="D434" s="23">
        <f t="shared" si="6"/>
        <v>-5.3494470633401884E-3</v>
      </c>
      <c r="F434" s="22"/>
      <c r="I434" s="21"/>
      <c r="K434" s="22"/>
      <c r="L434" s="24"/>
      <c r="M434" s="24"/>
      <c r="N434" s="21"/>
      <c r="P434" s="22"/>
      <c r="S434" s="21"/>
    </row>
    <row r="435" spans="1:19" x14ac:dyDescent="0.35">
      <c r="A435" s="25">
        <v>45086</v>
      </c>
      <c r="B435" s="24">
        <v>24728.83</v>
      </c>
      <c r="C435" s="24">
        <v>24728.83</v>
      </c>
      <c r="D435" s="23">
        <f t="shared" si="6"/>
        <v>-2.6469622649574697E-3</v>
      </c>
      <c r="F435" s="22"/>
      <c r="I435" s="21"/>
      <c r="K435" s="22"/>
      <c r="L435" s="24"/>
      <c r="M435" s="24"/>
      <c r="N435" s="21"/>
      <c r="P435" s="22"/>
      <c r="S435" s="21"/>
    </row>
    <row r="436" spans="1:19" x14ac:dyDescent="0.35">
      <c r="A436" s="25">
        <v>45089</v>
      </c>
      <c r="B436" s="24">
        <v>24809.86</v>
      </c>
      <c r="C436" s="24">
        <v>24809.86</v>
      </c>
      <c r="D436" s="23">
        <f t="shared" si="6"/>
        <v>3.2767421669362778E-3</v>
      </c>
      <c r="F436" s="22"/>
      <c r="I436" s="21"/>
      <c r="K436" s="22"/>
      <c r="L436" s="24"/>
      <c r="M436" s="24"/>
      <c r="N436" s="21"/>
      <c r="P436" s="22"/>
      <c r="S436" s="21"/>
    </row>
    <row r="437" spans="1:19" x14ac:dyDescent="0.35">
      <c r="A437" s="25">
        <v>45090</v>
      </c>
      <c r="B437" s="24">
        <v>24995.38</v>
      </c>
      <c r="C437" s="24">
        <v>24995.38</v>
      </c>
      <c r="D437" s="23">
        <f t="shared" si="6"/>
        <v>7.4776721835592957E-3</v>
      </c>
      <c r="F437" s="22"/>
      <c r="I437" s="21"/>
      <c r="K437" s="22"/>
      <c r="L437" s="24"/>
      <c r="M437" s="24"/>
      <c r="N437" s="21"/>
      <c r="P437" s="22"/>
      <c r="S437" s="21"/>
    </row>
    <row r="438" spans="1:19" x14ac:dyDescent="0.35">
      <c r="A438" s="25">
        <v>45091</v>
      </c>
      <c r="B438" s="24">
        <v>25051.74</v>
      </c>
      <c r="C438" s="24">
        <v>25051.74</v>
      </c>
      <c r="D438" s="23">
        <f t="shared" si="6"/>
        <v>2.254816690124358E-3</v>
      </c>
      <c r="F438" s="22"/>
      <c r="I438" s="21"/>
      <c r="K438" s="22"/>
      <c r="L438" s="24"/>
      <c r="M438" s="24"/>
      <c r="N438" s="21"/>
      <c r="P438" s="22"/>
      <c r="S438" s="21"/>
    </row>
    <row r="439" spans="1:19" x14ac:dyDescent="0.35">
      <c r="A439" s="25">
        <v>45092</v>
      </c>
      <c r="B439" s="24">
        <v>25016.49</v>
      </c>
      <c r="C439" s="24">
        <v>25016.49</v>
      </c>
      <c r="D439" s="23">
        <f t="shared" si="6"/>
        <v>-1.4070878909009912E-3</v>
      </c>
      <c r="F439" s="22"/>
      <c r="I439" s="21"/>
      <c r="K439" s="22"/>
      <c r="L439" s="24"/>
      <c r="M439" s="24"/>
      <c r="N439" s="21"/>
      <c r="P439" s="22"/>
      <c r="S439" s="21"/>
    </row>
    <row r="440" spans="1:19" x14ac:dyDescent="0.35">
      <c r="A440" s="25">
        <v>45093</v>
      </c>
      <c r="B440" s="24">
        <v>25210.05</v>
      </c>
      <c r="C440" s="24">
        <v>25210.05</v>
      </c>
      <c r="D440" s="23">
        <f t="shared" si="6"/>
        <v>7.7372964792421983E-3</v>
      </c>
      <c r="F440" s="22"/>
      <c r="I440" s="21"/>
      <c r="K440" s="22"/>
      <c r="L440" s="24"/>
      <c r="M440" s="24"/>
      <c r="N440" s="21"/>
      <c r="P440" s="22"/>
      <c r="S440" s="21"/>
    </row>
    <row r="441" spans="1:19" x14ac:dyDescent="0.35">
      <c r="A441" s="25">
        <v>45096</v>
      </c>
      <c r="B441" s="24">
        <v>25152.76</v>
      </c>
      <c r="C441" s="24">
        <v>25152.76</v>
      </c>
      <c r="D441" s="23">
        <f t="shared" si="6"/>
        <v>-2.2725064012170098E-3</v>
      </c>
      <c r="F441" s="22"/>
      <c r="I441" s="21"/>
      <c r="K441" s="22"/>
      <c r="L441" s="24"/>
      <c r="M441" s="24"/>
      <c r="N441" s="21"/>
      <c r="P441" s="22"/>
      <c r="S441" s="21"/>
    </row>
    <row r="442" spans="1:19" x14ac:dyDescent="0.35">
      <c r="A442" s="25">
        <v>45097</v>
      </c>
      <c r="B442" s="24">
        <v>25242.91</v>
      </c>
      <c r="C442" s="24">
        <v>25242.91</v>
      </c>
      <c r="D442" s="23">
        <f t="shared" si="6"/>
        <v>3.5840997170887593E-3</v>
      </c>
      <c r="F442" s="22"/>
      <c r="I442" s="21"/>
      <c r="K442" s="22"/>
      <c r="L442" s="24"/>
      <c r="M442" s="24"/>
      <c r="N442" s="21"/>
      <c r="P442" s="22"/>
      <c r="S442" s="21"/>
    </row>
    <row r="443" spans="1:19" x14ac:dyDescent="0.35">
      <c r="A443" s="25">
        <v>45098</v>
      </c>
      <c r="B443" s="24">
        <v>25307.38</v>
      </c>
      <c r="C443" s="24">
        <v>25307.38</v>
      </c>
      <c r="D443" s="23">
        <f t="shared" si="6"/>
        <v>2.5539844653410071E-3</v>
      </c>
      <c r="F443" s="22"/>
      <c r="I443" s="21"/>
      <c r="K443" s="22"/>
      <c r="L443" s="24"/>
      <c r="M443" s="24"/>
      <c r="N443" s="21"/>
      <c r="P443" s="22"/>
      <c r="S443" s="21"/>
    </row>
    <row r="444" spans="1:19" x14ac:dyDescent="0.35">
      <c r="A444" s="25">
        <v>45099</v>
      </c>
      <c r="B444" s="24">
        <v>25151.71</v>
      </c>
      <c r="C444" s="24">
        <v>25151.71</v>
      </c>
      <c r="D444" s="23">
        <f t="shared" si="6"/>
        <v>-6.1511701329810473E-3</v>
      </c>
      <c r="F444" s="22"/>
      <c r="I444" s="21"/>
      <c r="K444" s="22"/>
      <c r="L444" s="24"/>
      <c r="M444" s="24"/>
      <c r="N444" s="21"/>
      <c r="P444" s="22"/>
      <c r="S444" s="21"/>
    </row>
    <row r="445" spans="1:19" x14ac:dyDescent="0.35">
      <c r="A445" s="25">
        <v>45100</v>
      </c>
      <c r="B445" s="24">
        <v>24951.37</v>
      </c>
      <c r="C445" s="24">
        <v>24951.37</v>
      </c>
      <c r="D445" s="23">
        <f t="shared" si="6"/>
        <v>-7.9652635944037261E-3</v>
      </c>
      <c r="F445" s="22"/>
      <c r="I445" s="21"/>
      <c r="K445" s="22"/>
      <c r="L445" s="24"/>
      <c r="M445" s="24"/>
      <c r="N445" s="21"/>
      <c r="P445" s="22"/>
      <c r="S445" s="21"/>
    </row>
    <row r="446" spans="1:19" x14ac:dyDescent="0.35">
      <c r="A446" s="25">
        <v>45103</v>
      </c>
      <c r="B446" s="24">
        <v>25036.52</v>
      </c>
      <c r="C446" s="24">
        <v>25036.52</v>
      </c>
      <c r="D446" s="23">
        <f t="shared" si="6"/>
        <v>3.4126382639510962E-3</v>
      </c>
      <c r="F446" s="22"/>
      <c r="I446" s="21"/>
      <c r="K446" s="22"/>
      <c r="L446" s="24"/>
      <c r="M446" s="24"/>
      <c r="N446" s="21"/>
      <c r="P446" s="22"/>
      <c r="S446" s="21"/>
    </row>
    <row r="447" spans="1:19" x14ac:dyDescent="0.35">
      <c r="A447" s="25">
        <v>45104</v>
      </c>
      <c r="B447" s="24">
        <v>25188.25</v>
      </c>
      <c r="C447" s="24">
        <v>25188.25</v>
      </c>
      <c r="D447" s="23">
        <f t="shared" si="6"/>
        <v>6.0603470450365932E-3</v>
      </c>
      <c r="F447" s="22"/>
      <c r="I447" s="21"/>
      <c r="K447" s="22"/>
      <c r="L447" s="24"/>
      <c r="M447" s="24"/>
      <c r="N447" s="21"/>
      <c r="P447" s="22"/>
      <c r="S447" s="21"/>
    </row>
    <row r="448" spans="1:19" x14ac:dyDescent="0.35">
      <c r="A448" s="25">
        <v>45105</v>
      </c>
      <c r="B448" s="24">
        <v>25365.599999999999</v>
      </c>
      <c r="C448" s="24">
        <v>25365.599999999999</v>
      </c>
      <c r="D448" s="23">
        <f t="shared" si="6"/>
        <v>7.0409814099827717E-3</v>
      </c>
      <c r="F448" s="22"/>
      <c r="I448" s="21"/>
      <c r="K448" s="22"/>
      <c r="L448" s="24"/>
      <c r="M448" s="24"/>
      <c r="N448" s="21"/>
      <c r="P448" s="22"/>
      <c r="S448" s="21"/>
    </row>
    <row r="449" spans="1:19" x14ac:dyDescent="0.35">
      <c r="A449" s="25">
        <v>45107</v>
      </c>
      <c r="B449" s="24">
        <v>25605.81</v>
      </c>
      <c r="C449" s="24">
        <v>25605.81</v>
      </c>
      <c r="D449" s="23">
        <f t="shared" si="6"/>
        <v>9.4699120068124851E-3</v>
      </c>
      <c r="F449" s="22"/>
      <c r="I449" s="21"/>
      <c r="K449" s="22"/>
      <c r="L449" s="24"/>
      <c r="M449" s="24"/>
      <c r="N449" s="21"/>
      <c r="P449" s="22"/>
      <c r="S449" s="21"/>
    </row>
    <row r="450" spans="1:19" x14ac:dyDescent="0.35">
      <c r="A450" s="25">
        <v>45110</v>
      </c>
      <c r="B450" s="24">
        <v>25758.55</v>
      </c>
      <c r="C450" s="24">
        <v>25758.55</v>
      </c>
      <c r="D450" s="23">
        <f t="shared" si="6"/>
        <v>5.965052462702721E-3</v>
      </c>
      <c r="F450" s="22"/>
      <c r="I450" s="21"/>
      <c r="K450" s="22"/>
      <c r="L450" s="24"/>
      <c r="M450" s="24"/>
      <c r="N450" s="21"/>
      <c r="P450" s="22"/>
      <c r="S450" s="21"/>
    </row>
    <row r="451" spans="1:19" x14ac:dyDescent="0.35">
      <c r="A451" s="25">
        <v>45111</v>
      </c>
      <c r="B451" s="24">
        <v>25802.39</v>
      </c>
      <c r="C451" s="24">
        <v>25802.39</v>
      </c>
      <c r="D451" s="23">
        <f t="shared" ref="D451:D514" si="7">(B451-B450)/B450</f>
        <v>1.7019591553096018E-3</v>
      </c>
      <c r="F451" s="22"/>
      <c r="I451" s="21"/>
      <c r="K451" s="22"/>
      <c r="L451" s="24"/>
      <c r="M451" s="24"/>
      <c r="N451" s="21"/>
      <c r="P451" s="22"/>
      <c r="S451" s="21"/>
    </row>
    <row r="452" spans="1:19" x14ac:dyDescent="0.35">
      <c r="A452" s="25">
        <v>45112</v>
      </c>
      <c r="B452" s="24">
        <v>25866.77</v>
      </c>
      <c r="C452" s="24">
        <v>25866.77</v>
      </c>
      <c r="D452" s="23">
        <f t="shared" si="7"/>
        <v>2.4951177003371015E-3</v>
      </c>
      <c r="F452" s="22"/>
      <c r="I452" s="21"/>
      <c r="K452" s="22"/>
      <c r="L452" s="24"/>
      <c r="M452" s="24"/>
      <c r="N452" s="21"/>
      <c r="P452" s="22"/>
      <c r="S452" s="21"/>
    </row>
    <row r="453" spans="1:19" x14ac:dyDescent="0.35">
      <c r="A453" s="25">
        <v>45113</v>
      </c>
      <c r="B453" s="24">
        <v>26019.5</v>
      </c>
      <c r="C453" s="24">
        <v>26019.5</v>
      </c>
      <c r="D453" s="23">
        <f t="shared" si="7"/>
        <v>5.9044867217669453E-3</v>
      </c>
      <c r="F453" s="22"/>
      <c r="I453" s="21"/>
      <c r="K453" s="22"/>
      <c r="L453" s="24"/>
      <c r="M453" s="24"/>
      <c r="N453" s="21"/>
      <c r="P453" s="22"/>
      <c r="S453" s="21"/>
    </row>
    <row r="454" spans="1:19" x14ac:dyDescent="0.35">
      <c r="A454" s="25">
        <v>45114</v>
      </c>
      <c r="B454" s="24">
        <v>25819.68</v>
      </c>
      <c r="C454" s="24">
        <v>25819.68</v>
      </c>
      <c r="D454" s="23">
        <f t="shared" si="7"/>
        <v>-7.6796248967120704E-3</v>
      </c>
      <c r="F454" s="22"/>
      <c r="I454" s="21"/>
      <c r="K454" s="22"/>
      <c r="L454" s="24"/>
      <c r="M454" s="24"/>
      <c r="N454" s="21"/>
      <c r="P454" s="22"/>
      <c r="S454" s="21"/>
    </row>
    <row r="455" spans="1:19" x14ac:dyDescent="0.35">
      <c r="A455" s="25">
        <v>45117</v>
      </c>
      <c r="B455" s="24">
        <v>25802.98</v>
      </c>
      <c r="C455" s="24">
        <v>25802.98</v>
      </c>
      <c r="D455" s="23">
        <f t="shared" si="7"/>
        <v>-6.4679345367567407E-4</v>
      </c>
      <c r="F455" s="22"/>
      <c r="I455" s="21"/>
      <c r="K455" s="22"/>
      <c r="L455" s="24"/>
      <c r="M455" s="24"/>
      <c r="N455" s="21"/>
      <c r="P455" s="22"/>
      <c r="S455" s="21"/>
    </row>
    <row r="456" spans="1:19" x14ac:dyDescent="0.35">
      <c r="A456" s="25">
        <v>45118</v>
      </c>
      <c r="B456" s="24">
        <v>25951.75</v>
      </c>
      <c r="C456" s="24">
        <v>25951.75</v>
      </c>
      <c r="D456" s="23">
        <f t="shared" si="7"/>
        <v>5.765613119104865E-3</v>
      </c>
      <c r="F456" s="22"/>
      <c r="I456" s="21"/>
      <c r="K456" s="22"/>
      <c r="L456" s="24"/>
      <c r="M456" s="24"/>
      <c r="N456" s="21"/>
      <c r="P456" s="22"/>
      <c r="S456" s="21"/>
    </row>
    <row r="457" spans="1:19" x14ac:dyDescent="0.35">
      <c r="A457" s="25">
        <v>45119</v>
      </c>
      <c r="B457" s="24">
        <v>25941.03</v>
      </c>
      <c r="C457" s="24">
        <v>25941.03</v>
      </c>
      <c r="D457" s="23">
        <f t="shared" si="7"/>
        <v>-4.1307426281469127E-4</v>
      </c>
      <c r="F457" s="22"/>
      <c r="I457" s="21"/>
      <c r="K457" s="22"/>
      <c r="L457" s="24"/>
      <c r="M457" s="24"/>
      <c r="N457" s="21"/>
      <c r="P457" s="22"/>
      <c r="S457" s="21"/>
    </row>
    <row r="458" spans="1:19" x14ac:dyDescent="0.35">
      <c r="A458" s="25">
        <v>45120</v>
      </c>
      <c r="B458" s="24">
        <v>25915.16</v>
      </c>
      <c r="C458" s="24">
        <v>25915.16</v>
      </c>
      <c r="D458" s="23">
        <f t="shared" si="7"/>
        <v>-9.9726186662591984E-4</v>
      </c>
      <c r="F458" s="22"/>
      <c r="I458" s="21"/>
      <c r="K458" s="22"/>
      <c r="L458" s="24"/>
      <c r="M458" s="24"/>
      <c r="N458" s="21"/>
      <c r="P458" s="22"/>
      <c r="S458" s="21"/>
    </row>
    <row r="459" spans="1:19" x14ac:dyDescent="0.35">
      <c r="A459" s="25">
        <v>45121</v>
      </c>
      <c r="B459" s="24">
        <v>26140.06</v>
      </c>
      <c r="C459" s="24">
        <v>26140.06</v>
      </c>
      <c r="D459" s="23">
        <f t="shared" si="7"/>
        <v>8.6783180192598255E-3</v>
      </c>
      <c r="F459" s="22"/>
      <c r="I459" s="21"/>
      <c r="K459" s="22"/>
      <c r="L459" s="24"/>
      <c r="M459" s="24"/>
      <c r="N459" s="21"/>
      <c r="P459" s="22"/>
      <c r="S459" s="21"/>
    </row>
    <row r="460" spans="1:19" x14ac:dyDescent="0.35">
      <c r="A460" s="25">
        <v>45124</v>
      </c>
      <c r="B460" s="24">
        <v>26306.400000000001</v>
      </c>
      <c r="C460" s="24">
        <v>26306.400000000001</v>
      </c>
      <c r="D460" s="23">
        <f t="shared" si="7"/>
        <v>6.3634130908651375E-3</v>
      </c>
      <c r="F460" s="22"/>
      <c r="I460" s="21"/>
      <c r="K460" s="22"/>
      <c r="L460" s="24"/>
      <c r="M460" s="24"/>
      <c r="N460" s="21"/>
      <c r="P460" s="22"/>
      <c r="S460" s="21"/>
    </row>
    <row r="461" spans="1:19" x14ac:dyDescent="0.35">
      <c r="A461" s="25">
        <v>45125</v>
      </c>
      <c r="B461" s="24">
        <v>26306.44</v>
      </c>
      <c r="C461" s="24">
        <v>26306.44</v>
      </c>
      <c r="D461" s="23">
        <f t="shared" si="7"/>
        <v>1.5205425294694497E-6</v>
      </c>
      <c r="F461" s="22"/>
      <c r="I461" s="21"/>
      <c r="K461" s="22"/>
      <c r="L461" s="24"/>
      <c r="M461" s="24"/>
      <c r="N461" s="21"/>
      <c r="P461" s="22"/>
      <c r="S461" s="21"/>
    </row>
    <row r="462" spans="1:19" x14ac:dyDescent="0.35">
      <c r="A462" s="25">
        <v>45126</v>
      </c>
      <c r="B462" s="24">
        <v>26433.69</v>
      </c>
      <c r="C462" s="24">
        <v>26433.69</v>
      </c>
      <c r="D462" s="23">
        <f t="shared" si="7"/>
        <v>4.8372185670124881E-3</v>
      </c>
      <c r="F462" s="22"/>
      <c r="I462" s="21"/>
      <c r="K462" s="22"/>
      <c r="L462" s="24"/>
      <c r="M462" s="24"/>
      <c r="N462" s="21"/>
      <c r="P462" s="22"/>
      <c r="S462" s="21"/>
    </row>
    <row r="463" spans="1:19" x14ac:dyDescent="0.35">
      <c r="A463" s="25">
        <v>45127</v>
      </c>
      <c r="B463" s="24">
        <v>26576.66</v>
      </c>
      <c r="C463" s="24">
        <v>26576.66</v>
      </c>
      <c r="D463" s="23">
        <f t="shared" si="7"/>
        <v>5.4086281559631352E-3</v>
      </c>
      <c r="F463" s="22"/>
      <c r="I463" s="21"/>
      <c r="K463" s="22"/>
      <c r="L463" s="24"/>
      <c r="M463" s="24"/>
      <c r="N463" s="21"/>
      <c r="P463" s="22"/>
      <c r="S463" s="21"/>
    </row>
    <row r="464" spans="1:19" x14ac:dyDescent="0.35">
      <c r="A464" s="25">
        <v>45128</v>
      </c>
      <c r="B464" s="24">
        <v>26363.759999999998</v>
      </c>
      <c r="C464" s="24">
        <v>26363.759999999998</v>
      </c>
      <c r="D464" s="23">
        <f t="shared" si="7"/>
        <v>-8.0107884135930344E-3</v>
      </c>
      <c r="F464" s="22"/>
      <c r="I464" s="21"/>
      <c r="K464" s="22"/>
      <c r="L464" s="24"/>
      <c r="M464" s="24"/>
      <c r="N464" s="21"/>
      <c r="P464" s="22"/>
      <c r="S464" s="21"/>
    </row>
    <row r="465" spans="1:19" x14ac:dyDescent="0.35">
      <c r="A465" s="25">
        <v>45131</v>
      </c>
      <c r="B465" s="24">
        <v>26302.9</v>
      </c>
      <c r="C465" s="24">
        <v>26302.9</v>
      </c>
      <c r="D465" s="23">
        <f t="shared" si="7"/>
        <v>-2.3084719326832343E-3</v>
      </c>
      <c r="F465" s="22"/>
      <c r="I465" s="21"/>
      <c r="K465" s="22"/>
      <c r="L465" s="24"/>
      <c r="M465" s="24"/>
      <c r="N465" s="21"/>
      <c r="P465" s="22"/>
      <c r="S465" s="21"/>
    </row>
    <row r="466" spans="1:19" x14ac:dyDescent="0.35">
      <c r="A466" s="25">
        <v>45132</v>
      </c>
      <c r="B466" s="24">
        <v>26352.58</v>
      </c>
      <c r="C466" s="24">
        <v>26352.58</v>
      </c>
      <c r="D466" s="23">
        <f t="shared" si="7"/>
        <v>1.8887651171543931E-3</v>
      </c>
      <c r="F466" s="22"/>
      <c r="I466" s="21"/>
      <c r="K466" s="22"/>
      <c r="L466" s="24"/>
      <c r="M466" s="24"/>
      <c r="N466" s="21"/>
      <c r="P466" s="22"/>
      <c r="S466" s="21"/>
    </row>
    <row r="467" spans="1:19" x14ac:dyDescent="0.35">
      <c r="A467" s="25">
        <v>45133</v>
      </c>
      <c r="B467" s="24">
        <v>26474.86</v>
      </c>
      <c r="C467" s="24">
        <v>26474.86</v>
      </c>
      <c r="D467" s="23">
        <f t="shared" si="7"/>
        <v>4.6401528806666679E-3</v>
      </c>
      <c r="F467" s="22"/>
      <c r="I467" s="21"/>
      <c r="K467" s="22"/>
      <c r="L467" s="24"/>
      <c r="M467" s="24"/>
      <c r="N467" s="21"/>
      <c r="P467" s="22"/>
      <c r="S467" s="21"/>
    </row>
    <row r="468" spans="1:19" x14ac:dyDescent="0.35">
      <c r="A468" s="25">
        <v>45134</v>
      </c>
      <c r="B468" s="24">
        <v>26390.080000000002</v>
      </c>
      <c r="C468" s="24">
        <v>26390.080000000002</v>
      </c>
      <c r="D468" s="23">
        <f t="shared" si="7"/>
        <v>-3.2022832226496697E-3</v>
      </c>
      <c r="F468" s="22"/>
      <c r="I468" s="21"/>
      <c r="K468" s="22"/>
      <c r="L468" s="24"/>
      <c r="M468" s="24"/>
      <c r="N468" s="21"/>
      <c r="P468" s="22"/>
      <c r="S468" s="21"/>
    </row>
    <row r="469" spans="1:19" x14ac:dyDescent="0.35">
      <c r="A469" s="25">
        <v>45135</v>
      </c>
      <c r="B469" s="24">
        <v>26439.89</v>
      </c>
      <c r="C469" s="24">
        <v>26439.89</v>
      </c>
      <c r="D469" s="23">
        <f t="shared" si="7"/>
        <v>1.8874516484981352E-3</v>
      </c>
      <c r="F469" s="22"/>
      <c r="I469" s="21"/>
      <c r="K469" s="22"/>
      <c r="L469" s="24"/>
      <c r="M469" s="24"/>
      <c r="N469" s="21"/>
      <c r="P469" s="22"/>
      <c r="S469" s="21"/>
    </row>
    <row r="470" spans="1:19" x14ac:dyDescent="0.35">
      <c r="A470" s="25">
        <v>45138</v>
      </c>
      <c r="B470" s="24">
        <v>26612.52</v>
      </c>
      <c r="C470" s="24">
        <v>26612.52</v>
      </c>
      <c r="D470" s="23">
        <f t="shared" si="7"/>
        <v>6.5291497052370881E-3</v>
      </c>
      <c r="F470" s="22"/>
      <c r="I470" s="21"/>
      <c r="K470" s="22"/>
      <c r="L470" s="24"/>
      <c r="M470" s="24"/>
      <c r="N470" s="21"/>
      <c r="P470" s="22"/>
      <c r="S470" s="21"/>
    </row>
    <row r="471" spans="1:19" x14ac:dyDescent="0.35">
      <c r="A471" s="25">
        <v>45139</v>
      </c>
      <c r="B471" s="24">
        <v>26600.66</v>
      </c>
      <c r="C471" s="24">
        <v>26600.66</v>
      </c>
      <c r="D471" s="23">
        <f t="shared" si="7"/>
        <v>-4.4565490227909955E-4</v>
      </c>
      <c r="F471" s="22"/>
      <c r="I471" s="21"/>
      <c r="K471" s="22"/>
      <c r="L471" s="24"/>
      <c r="M471" s="24"/>
      <c r="N471" s="21"/>
      <c r="P471" s="22"/>
      <c r="S471" s="21"/>
    </row>
    <row r="472" spans="1:19" x14ac:dyDescent="0.35">
      <c r="A472" s="25">
        <v>45140</v>
      </c>
      <c r="B472" s="24">
        <v>26308.16</v>
      </c>
      <c r="C472" s="24">
        <v>26308.16</v>
      </c>
      <c r="D472" s="23">
        <f t="shared" si="7"/>
        <v>-1.0995967769220764E-2</v>
      </c>
      <c r="F472" s="22"/>
      <c r="I472" s="21"/>
      <c r="K472" s="22"/>
      <c r="L472" s="24"/>
      <c r="M472" s="24"/>
      <c r="N472" s="21"/>
      <c r="P472" s="22"/>
      <c r="S472" s="21"/>
    </row>
    <row r="473" spans="1:19" x14ac:dyDescent="0.35">
      <c r="A473" s="25">
        <v>45141</v>
      </c>
      <c r="B473" s="24">
        <v>26176.98</v>
      </c>
      <c r="C473" s="24">
        <v>26176.98</v>
      </c>
      <c r="D473" s="23">
        <f t="shared" si="7"/>
        <v>-4.9862856239281002E-3</v>
      </c>
      <c r="F473" s="22"/>
      <c r="I473" s="21"/>
      <c r="K473" s="22"/>
      <c r="L473" s="24"/>
      <c r="M473" s="24"/>
      <c r="N473" s="21"/>
      <c r="P473" s="22"/>
      <c r="S473" s="21"/>
    </row>
    <row r="474" spans="1:19" x14ac:dyDescent="0.35">
      <c r="A474" s="25">
        <v>45142</v>
      </c>
      <c r="B474" s="24">
        <v>26362.94</v>
      </c>
      <c r="C474" s="24">
        <v>26362.94</v>
      </c>
      <c r="D474" s="23">
        <f t="shared" si="7"/>
        <v>7.1039516399523219E-3</v>
      </c>
      <c r="F474" s="22"/>
      <c r="I474" s="21"/>
      <c r="K474" s="22"/>
      <c r="L474" s="24"/>
      <c r="M474" s="24"/>
      <c r="N474" s="21"/>
      <c r="P474" s="22"/>
      <c r="S474" s="21"/>
    </row>
    <row r="475" spans="1:19" x14ac:dyDescent="0.35">
      <c r="A475" s="25">
        <v>45145</v>
      </c>
      <c r="B475" s="24">
        <v>26465.57</v>
      </c>
      <c r="C475" s="24">
        <v>26465.57</v>
      </c>
      <c r="D475" s="23">
        <f t="shared" si="7"/>
        <v>3.8929648969349027E-3</v>
      </c>
      <c r="F475" s="22"/>
      <c r="I475" s="21"/>
      <c r="K475" s="22"/>
      <c r="L475" s="24"/>
      <c r="M475" s="24"/>
      <c r="N475" s="21"/>
      <c r="P475" s="22"/>
      <c r="S475" s="21"/>
    </row>
    <row r="476" spans="1:19" x14ac:dyDescent="0.35">
      <c r="A476" s="25">
        <v>45146</v>
      </c>
      <c r="B476" s="24">
        <v>26454.63</v>
      </c>
      <c r="C476" s="24">
        <v>26454.63</v>
      </c>
      <c r="D476" s="23">
        <f t="shared" si="7"/>
        <v>-4.133672541342843E-4</v>
      </c>
      <c r="F476" s="22"/>
      <c r="I476" s="21"/>
      <c r="K476" s="22"/>
      <c r="L476" s="24"/>
      <c r="M476" s="24"/>
      <c r="N476" s="21"/>
      <c r="P476" s="22"/>
      <c r="S476" s="21"/>
    </row>
    <row r="477" spans="1:19" x14ac:dyDescent="0.35">
      <c r="A477" s="25">
        <v>45147</v>
      </c>
      <c r="B477" s="24">
        <v>26551.16</v>
      </c>
      <c r="C477" s="24">
        <v>26551.16</v>
      </c>
      <c r="D477" s="23">
        <f t="shared" si="7"/>
        <v>3.648888682245748E-3</v>
      </c>
      <c r="F477" s="22"/>
      <c r="I477" s="21"/>
      <c r="K477" s="22"/>
      <c r="L477" s="24"/>
      <c r="M477" s="24"/>
      <c r="N477" s="21"/>
      <c r="P477" s="22"/>
      <c r="S477" s="21"/>
    </row>
    <row r="478" spans="1:19" x14ac:dyDescent="0.35">
      <c r="A478" s="25">
        <v>45148</v>
      </c>
      <c r="B478" s="24">
        <v>26451.46</v>
      </c>
      <c r="C478" s="24">
        <v>26451.46</v>
      </c>
      <c r="D478" s="23">
        <f t="shared" si="7"/>
        <v>-3.7550148468089802E-3</v>
      </c>
      <c r="F478" s="22"/>
      <c r="I478" s="21"/>
      <c r="K478" s="22"/>
      <c r="L478" s="24"/>
      <c r="M478" s="24"/>
      <c r="N478" s="21"/>
      <c r="P478" s="22"/>
      <c r="S478" s="21"/>
    </row>
    <row r="479" spans="1:19" x14ac:dyDescent="0.35">
      <c r="A479" s="25">
        <v>45149</v>
      </c>
      <c r="B479" s="24">
        <v>26335.87</v>
      </c>
      <c r="C479" s="24">
        <v>26335.87</v>
      </c>
      <c r="D479" s="23">
        <f t="shared" si="7"/>
        <v>-4.369891113760834E-3</v>
      </c>
      <c r="F479" s="22"/>
      <c r="I479" s="21"/>
      <c r="K479" s="22"/>
      <c r="L479" s="24"/>
      <c r="M479" s="24"/>
      <c r="N479" s="21"/>
      <c r="P479" s="22"/>
      <c r="S479" s="21"/>
    </row>
    <row r="480" spans="1:19" x14ac:dyDescent="0.35">
      <c r="A480" s="25">
        <v>45152</v>
      </c>
      <c r="B480" s="24">
        <v>26285.200000000001</v>
      </c>
      <c r="C480" s="24">
        <v>26285.200000000001</v>
      </c>
      <c r="D480" s="23">
        <f t="shared" si="7"/>
        <v>-1.9239918787569295E-3</v>
      </c>
      <c r="F480" s="22"/>
      <c r="I480" s="21"/>
      <c r="K480" s="22"/>
      <c r="L480" s="24"/>
      <c r="M480" s="24"/>
      <c r="N480" s="21"/>
      <c r="P480" s="22"/>
      <c r="S480" s="21"/>
    </row>
    <row r="481" spans="1:19" x14ac:dyDescent="0.35">
      <c r="A481" s="25">
        <v>45154</v>
      </c>
      <c r="B481" s="24">
        <v>26328.16</v>
      </c>
      <c r="C481" s="24">
        <v>26328.16</v>
      </c>
      <c r="D481" s="23">
        <f t="shared" si="7"/>
        <v>1.6343798030830706E-3</v>
      </c>
      <c r="F481" s="22"/>
      <c r="I481" s="21"/>
      <c r="K481" s="22"/>
      <c r="L481" s="24"/>
      <c r="M481" s="24"/>
      <c r="N481" s="21"/>
      <c r="P481" s="22"/>
      <c r="S481" s="21"/>
    </row>
    <row r="482" spans="1:19" x14ac:dyDescent="0.35">
      <c r="A482" s="25">
        <v>45155</v>
      </c>
      <c r="B482" s="24">
        <v>26249.46</v>
      </c>
      <c r="C482" s="24">
        <v>26249.46</v>
      </c>
      <c r="D482" s="23">
        <f t="shared" si="7"/>
        <v>-2.989194839289974E-3</v>
      </c>
      <c r="F482" s="22"/>
      <c r="I482" s="21"/>
      <c r="K482" s="22"/>
      <c r="L482" s="24"/>
      <c r="M482" s="24"/>
      <c r="N482" s="21"/>
      <c r="P482" s="22"/>
      <c r="S482" s="21"/>
    </row>
    <row r="483" spans="1:19" x14ac:dyDescent="0.35">
      <c r="A483" s="25">
        <v>45156</v>
      </c>
      <c r="B483" s="24">
        <v>26183.37</v>
      </c>
      <c r="C483" s="24">
        <v>26183.37</v>
      </c>
      <c r="D483" s="23">
        <f t="shared" si="7"/>
        <v>-2.5177660797593608E-3</v>
      </c>
      <c r="F483" s="22"/>
      <c r="I483" s="21"/>
      <c r="K483" s="22"/>
      <c r="L483" s="24"/>
      <c r="M483" s="24"/>
      <c r="N483" s="21"/>
      <c r="P483" s="22"/>
      <c r="S483" s="21"/>
    </row>
    <row r="484" spans="1:19" x14ac:dyDescent="0.35">
      <c r="A484" s="25">
        <v>45159</v>
      </c>
      <c r="B484" s="24">
        <v>26337.03</v>
      </c>
      <c r="C484" s="24">
        <v>26337.03</v>
      </c>
      <c r="D484" s="23">
        <f t="shared" si="7"/>
        <v>5.8686104958987273E-3</v>
      </c>
      <c r="F484" s="22"/>
      <c r="I484" s="21"/>
      <c r="K484" s="22"/>
      <c r="L484" s="24"/>
      <c r="M484" s="24"/>
      <c r="N484" s="21"/>
      <c r="P484" s="22"/>
      <c r="S484" s="21"/>
    </row>
    <row r="485" spans="1:19" x14ac:dyDescent="0.35">
      <c r="A485" s="25">
        <v>45160</v>
      </c>
      <c r="B485" s="24">
        <v>26420.68</v>
      </c>
      <c r="C485" s="24">
        <v>26420.68</v>
      </c>
      <c r="D485" s="23">
        <f t="shared" si="7"/>
        <v>3.1761364132554602E-3</v>
      </c>
      <c r="F485" s="22"/>
      <c r="I485" s="21"/>
      <c r="K485" s="22"/>
      <c r="L485" s="24"/>
      <c r="M485" s="24"/>
      <c r="N485" s="21"/>
      <c r="P485" s="22"/>
      <c r="S485" s="21"/>
    </row>
    <row r="486" spans="1:19" x14ac:dyDescent="0.35">
      <c r="A486" s="25">
        <v>45161</v>
      </c>
      <c r="B486" s="24">
        <v>26491.09</v>
      </c>
      <c r="C486" s="24">
        <v>26491.09</v>
      </c>
      <c r="D486" s="23">
        <f t="shared" si="7"/>
        <v>2.6649579041871691E-3</v>
      </c>
      <c r="F486" s="22"/>
      <c r="I486" s="21"/>
      <c r="K486" s="22"/>
      <c r="L486" s="24"/>
      <c r="M486" s="24"/>
      <c r="N486" s="21"/>
      <c r="P486" s="22"/>
      <c r="S486" s="21"/>
    </row>
    <row r="487" spans="1:19" x14ac:dyDescent="0.35">
      <c r="A487" s="25">
        <v>45162</v>
      </c>
      <c r="B487" s="24">
        <v>26459.919999999998</v>
      </c>
      <c r="C487" s="24">
        <v>26459.919999999998</v>
      </c>
      <c r="D487" s="23">
        <f t="shared" si="7"/>
        <v>-1.1766220265003022E-3</v>
      </c>
      <c r="F487" s="22"/>
      <c r="I487" s="21"/>
      <c r="K487" s="22"/>
      <c r="L487" s="24"/>
      <c r="M487" s="24"/>
      <c r="N487" s="21"/>
      <c r="P487" s="22"/>
      <c r="S487" s="21"/>
    </row>
    <row r="488" spans="1:19" x14ac:dyDescent="0.35">
      <c r="A488" s="25">
        <v>45163</v>
      </c>
      <c r="B488" s="24">
        <v>26289.91</v>
      </c>
      <c r="C488" s="24">
        <v>26289.91</v>
      </c>
      <c r="D488" s="23">
        <f t="shared" si="7"/>
        <v>-6.4251894941480701E-3</v>
      </c>
      <c r="F488" s="22"/>
      <c r="I488" s="21"/>
      <c r="K488" s="22"/>
      <c r="L488" s="24"/>
      <c r="M488" s="24"/>
      <c r="N488" s="21"/>
      <c r="P488" s="22"/>
      <c r="S488" s="21"/>
    </row>
    <row r="489" spans="1:19" x14ac:dyDescent="0.35">
      <c r="A489" s="25">
        <v>45166</v>
      </c>
      <c r="B489" s="24">
        <v>26374.959999999999</v>
      </c>
      <c r="C489" s="24">
        <v>26374.959999999999</v>
      </c>
      <c r="D489" s="23">
        <f t="shared" si="7"/>
        <v>3.2350814437934277E-3</v>
      </c>
      <c r="F489" s="22"/>
      <c r="I489" s="21"/>
      <c r="K489" s="22"/>
      <c r="L489" s="24"/>
      <c r="M489" s="24"/>
      <c r="N489" s="21"/>
      <c r="P489" s="22"/>
      <c r="S489" s="21"/>
    </row>
    <row r="490" spans="1:19" x14ac:dyDescent="0.35">
      <c r="A490" s="25">
        <v>45167</v>
      </c>
      <c r="B490" s="24">
        <v>26456.41</v>
      </c>
      <c r="C490" s="24">
        <v>26456.41</v>
      </c>
      <c r="D490" s="23">
        <f t="shared" si="7"/>
        <v>3.0881563422276558E-3</v>
      </c>
      <c r="F490" s="22"/>
      <c r="I490" s="21"/>
      <c r="K490" s="22"/>
      <c r="L490" s="24"/>
      <c r="M490" s="24"/>
      <c r="N490" s="21"/>
      <c r="P490" s="22"/>
      <c r="S490" s="21"/>
    </row>
    <row r="491" spans="1:19" x14ac:dyDescent="0.35">
      <c r="A491" s="25">
        <v>45168</v>
      </c>
      <c r="B491" s="24">
        <v>26521.52</v>
      </c>
      <c r="C491" s="24">
        <v>26521.52</v>
      </c>
      <c r="D491" s="23">
        <f t="shared" si="7"/>
        <v>2.4610292930900518E-3</v>
      </c>
      <c r="F491" s="22"/>
      <c r="I491" s="21"/>
      <c r="K491" s="22"/>
      <c r="L491" s="24"/>
      <c r="M491" s="24"/>
      <c r="N491" s="21"/>
      <c r="P491" s="22"/>
      <c r="S491" s="21"/>
    </row>
    <row r="492" spans="1:19" x14ac:dyDescent="0.35">
      <c r="A492" s="25">
        <v>45169</v>
      </c>
      <c r="B492" s="24">
        <v>26451.77</v>
      </c>
      <c r="C492" s="24">
        <v>26451.77</v>
      </c>
      <c r="D492" s="23">
        <f t="shared" si="7"/>
        <v>-2.6299397621252479E-3</v>
      </c>
      <c r="F492" s="22"/>
      <c r="I492" s="21"/>
      <c r="K492" s="22"/>
      <c r="L492" s="24"/>
      <c r="M492" s="24"/>
      <c r="N492" s="21"/>
      <c r="P492" s="22"/>
      <c r="S492" s="21"/>
    </row>
    <row r="493" spans="1:19" x14ac:dyDescent="0.35">
      <c r="A493" s="25">
        <v>45170</v>
      </c>
      <c r="B493" s="24">
        <v>26687.23</v>
      </c>
      <c r="C493" s="24">
        <v>26687.23</v>
      </c>
      <c r="D493" s="23">
        <f t="shared" si="7"/>
        <v>8.9014837192369026E-3</v>
      </c>
      <c r="F493" s="22"/>
      <c r="I493" s="21"/>
      <c r="K493" s="22"/>
      <c r="L493" s="24"/>
      <c r="M493" s="24"/>
      <c r="N493" s="21"/>
      <c r="P493" s="22"/>
      <c r="S493" s="21"/>
    </row>
    <row r="494" spans="1:19" x14ac:dyDescent="0.35">
      <c r="A494" s="25">
        <v>45173</v>
      </c>
      <c r="B494" s="24">
        <v>26853.57</v>
      </c>
      <c r="C494" s="24">
        <v>26853.57</v>
      </c>
      <c r="D494" s="23">
        <f t="shared" si="7"/>
        <v>6.2329436213499918E-3</v>
      </c>
      <c r="F494" s="22"/>
      <c r="I494" s="21"/>
      <c r="K494" s="22"/>
      <c r="L494" s="24"/>
      <c r="M494" s="24"/>
      <c r="N494" s="21"/>
      <c r="P494" s="22"/>
      <c r="S494" s="21"/>
    </row>
    <row r="495" spans="1:19" x14ac:dyDescent="0.35">
      <c r="A495" s="25">
        <v>45174</v>
      </c>
      <c r="B495" s="24">
        <v>26964.77</v>
      </c>
      <c r="C495" s="24">
        <v>26964.77</v>
      </c>
      <c r="D495" s="23">
        <f t="shared" si="7"/>
        <v>4.1409764139367956E-3</v>
      </c>
      <c r="F495" s="22"/>
      <c r="I495" s="21"/>
      <c r="K495" s="22"/>
      <c r="L495" s="24"/>
      <c r="M495" s="24"/>
      <c r="N495" s="21"/>
      <c r="P495" s="22"/>
      <c r="S495" s="21"/>
    </row>
    <row r="496" spans="1:19" x14ac:dyDescent="0.35">
      <c r="A496" s="25">
        <v>45175</v>
      </c>
      <c r="B496" s="24">
        <v>27015.63</v>
      </c>
      <c r="C496" s="24">
        <v>27015.63</v>
      </c>
      <c r="D496" s="23">
        <f t="shared" si="7"/>
        <v>1.8861647994772653E-3</v>
      </c>
      <c r="F496" s="22"/>
      <c r="I496" s="21"/>
      <c r="K496" s="22"/>
      <c r="L496" s="24"/>
      <c r="M496" s="24"/>
      <c r="N496" s="21"/>
      <c r="P496" s="22"/>
      <c r="S496" s="21"/>
    </row>
    <row r="497" spans="1:19" x14ac:dyDescent="0.35">
      <c r="A497" s="25">
        <v>45176</v>
      </c>
      <c r="B497" s="24">
        <v>27173.35</v>
      </c>
      <c r="C497" s="24">
        <v>27173.35</v>
      </c>
      <c r="D497" s="23">
        <f t="shared" si="7"/>
        <v>5.8381018691771218E-3</v>
      </c>
      <c r="F497" s="22"/>
      <c r="I497" s="21"/>
      <c r="K497" s="22"/>
      <c r="L497" s="24"/>
      <c r="M497" s="24"/>
      <c r="N497" s="21"/>
      <c r="P497" s="22"/>
      <c r="S497" s="21"/>
    </row>
    <row r="498" spans="1:19" x14ac:dyDescent="0.35">
      <c r="A498" s="25">
        <v>45177</v>
      </c>
      <c r="B498" s="24">
        <v>27333.040000000001</v>
      </c>
      <c r="C498" s="24">
        <v>27333.040000000001</v>
      </c>
      <c r="D498" s="23">
        <f t="shared" si="7"/>
        <v>5.8767137655093074E-3</v>
      </c>
      <c r="F498" s="22"/>
      <c r="I498" s="21"/>
      <c r="K498" s="22"/>
      <c r="L498" s="24"/>
      <c r="M498" s="24"/>
      <c r="N498" s="21"/>
      <c r="P498" s="22"/>
      <c r="S498" s="21"/>
    </row>
    <row r="499" spans="1:19" x14ac:dyDescent="0.35">
      <c r="A499" s="25">
        <v>45180</v>
      </c>
      <c r="B499" s="24">
        <v>27592.63</v>
      </c>
      <c r="C499" s="24">
        <v>27592.63</v>
      </c>
      <c r="D499" s="23">
        <f t="shared" si="7"/>
        <v>9.4972970441634056E-3</v>
      </c>
      <c r="F499" s="22"/>
      <c r="I499" s="21"/>
      <c r="K499" s="22"/>
      <c r="L499" s="24"/>
      <c r="M499" s="24"/>
      <c r="N499" s="21"/>
      <c r="P499" s="22"/>
      <c r="S499" s="21"/>
    </row>
    <row r="500" spans="1:19" x14ac:dyDescent="0.35">
      <c r="A500" s="25">
        <v>45181</v>
      </c>
      <c r="B500" s="24">
        <v>27291.38</v>
      </c>
      <c r="C500" s="24">
        <v>27291.38</v>
      </c>
      <c r="D500" s="23">
        <f t="shared" si="7"/>
        <v>-1.0917770433626661E-2</v>
      </c>
      <c r="F500" s="22"/>
      <c r="I500" s="21"/>
      <c r="K500" s="22"/>
      <c r="L500" s="24"/>
      <c r="M500" s="24"/>
      <c r="N500" s="21"/>
      <c r="P500" s="22"/>
      <c r="S500" s="21"/>
    </row>
    <row r="501" spans="1:19" x14ac:dyDescent="0.35">
      <c r="A501" s="25">
        <v>45182</v>
      </c>
      <c r="B501" s="24">
        <v>27394.9</v>
      </c>
      <c r="C501" s="24">
        <v>27394.9</v>
      </c>
      <c r="D501" s="23">
        <f t="shared" si="7"/>
        <v>3.7931390790791977E-3</v>
      </c>
      <c r="F501" s="22"/>
      <c r="I501" s="21"/>
      <c r="K501" s="22"/>
      <c r="L501" s="24"/>
      <c r="M501" s="24"/>
      <c r="N501" s="21"/>
      <c r="P501" s="22"/>
      <c r="S501" s="21"/>
    </row>
    <row r="502" spans="1:19" x14ac:dyDescent="0.35">
      <c r="A502" s="25">
        <v>45183</v>
      </c>
      <c r="B502" s="24">
        <v>27515.02</v>
      </c>
      <c r="C502" s="24">
        <v>27515.02</v>
      </c>
      <c r="D502" s="23">
        <f t="shared" si="7"/>
        <v>4.3847577468798561E-3</v>
      </c>
      <c r="F502" s="22"/>
      <c r="I502" s="21"/>
      <c r="K502" s="22"/>
      <c r="L502" s="24"/>
      <c r="M502" s="24"/>
      <c r="N502" s="21"/>
      <c r="P502" s="22"/>
      <c r="S502" s="21"/>
    </row>
    <row r="503" spans="1:19" x14ac:dyDescent="0.35">
      <c r="A503" s="25">
        <v>45184</v>
      </c>
      <c r="B503" s="24">
        <v>27612.99</v>
      </c>
      <c r="C503" s="24">
        <v>27612.99</v>
      </c>
      <c r="D503" s="23">
        <f t="shared" si="7"/>
        <v>3.5606007191708805E-3</v>
      </c>
      <c r="F503" s="22"/>
      <c r="I503" s="21"/>
      <c r="K503" s="22"/>
      <c r="L503" s="24"/>
      <c r="M503" s="24"/>
      <c r="N503" s="21"/>
      <c r="P503" s="22"/>
      <c r="S503" s="21"/>
    </row>
    <row r="504" spans="1:19" x14ac:dyDescent="0.35">
      <c r="A504" s="25">
        <v>45187</v>
      </c>
      <c r="B504" s="24">
        <v>27531.77</v>
      </c>
      <c r="C504" s="24">
        <v>27531.77</v>
      </c>
      <c r="D504" s="23">
        <f t="shared" si="7"/>
        <v>-2.9413692613513118E-3</v>
      </c>
      <c r="F504" s="22"/>
      <c r="I504" s="21"/>
      <c r="K504" s="22"/>
      <c r="L504" s="24"/>
      <c r="M504" s="24"/>
      <c r="N504" s="21"/>
      <c r="P504" s="22"/>
      <c r="S504" s="21"/>
    </row>
    <row r="505" spans="1:19" x14ac:dyDescent="0.35">
      <c r="A505" s="25">
        <v>45189</v>
      </c>
      <c r="B505" s="24">
        <v>27275.34</v>
      </c>
      <c r="C505" s="24">
        <v>27275.34</v>
      </c>
      <c r="D505" s="23">
        <f t="shared" si="7"/>
        <v>-9.3139671005532977E-3</v>
      </c>
      <c r="F505" s="22"/>
      <c r="I505" s="21"/>
      <c r="K505" s="22"/>
      <c r="L505" s="24"/>
      <c r="M505" s="24"/>
      <c r="N505" s="21"/>
      <c r="P505" s="22"/>
      <c r="S505" s="21"/>
    </row>
    <row r="506" spans="1:19" x14ac:dyDescent="0.35">
      <c r="A506" s="25">
        <v>45190</v>
      </c>
      <c r="B506" s="24">
        <v>27047.52</v>
      </c>
      <c r="C506" s="24">
        <v>27047.52</v>
      </c>
      <c r="D506" s="23">
        <f t="shared" si="7"/>
        <v>-8.3525998209371434E-3</v>
      </c>
      <c r="F506" s="22"/>
      <c r="I506" s="21"/>
      <c r="K506" s="22"/>
      <c r="L506" s="24"/>
      <c r="M506" s="24"/>
      <c r="N506" s="21"/>
      <c r="P506" s="22"/>
      <c r="S506" s="21"/>
    </row>
    <row r="507" spans="1:19" x14ac:dyDescent="0.35">
      <c r="A507" s="25">
        <v>45191</v>
      </c>
      <c r="B507" s="24">
        <v>26981.05</v>
      </c>
      <c r="C507" s="24">
        <v>26981.05</v>
      </c>
      <c r="D507" s="23">
        <f t="shared" si="7"/>
        <v>-2.4575266050270474E-3</v>
      </c>
      <c r="F507" s="22"/>
      <c r="I507" s="21"/>
      <c r="K507" s="22"/>
      <c r="L507" s="24"/>
      <c r="M507" s="24"/>
      <c r="N507" s="21"/>
      <c r="P507" s="22"/>
      <c r="S507" s="21"/>
    </row>
    <row r="508" spans="1:19" x14ac:dyDescent="0.35">
      <c r="A508" s="25">
        <v>45194</v>
      </c>
      <c r="B508" s="24">
        <v>26999.45</v>
      </c>
      <c r="C508" s="24">
        <v>26999.45</v>
      </c>
      <c r="D508" s="23">
        <f t="shared" si="7"/>
        <v>6.8196011645215641E-4</v>
      </c>
      <c r="F508" s="22"/>
      <c r="I508" s="21"/>
      <c r="K508" s="22"/>
      <c r="L508" s="24"/>
      <c r="M508" s="24"/>
      <c r="N508" s="21"/>
      <c r="P508" s="22"/>
      <c r="S508" s="21"/>
    </row>
    <row r="509" spans="1:19" x14ac:dyDescent="0.35">
      <c r="A509" s="25">
        <v>45196</v>
      </c>
      <c r="B509" s="24">
        <v>27107.39</v>
      </c>
      <c r="C509" s="24">
        <v>27107.39</v>
      </c>
      <c r="D509" s="23">
        <f t="shared" si="7"/>
        <v>3.9978592156506409E-3</v>
      </c>
      <c r="F509" s="22"/>
      <c r="I509" s="21"/>
      <c r="K509" s="22"/>
      <c r="L509" s="24"/>
      <c r="M509" s="24"/>
      <c r="N509" s="21"/>
      <c r="P509" s="22"/>
      <c r="S509" s="21"/>
    </row>
    <row r="510" spans="1:19" x14ac:dyDescent="0.35">
      <c r="A510" s="25">
        <v>45197</v>
      </c>
      <c r="B510" s="24">
        <v>26840.81</v>
      </c>
      <c r="C510" s="24">
        <v>26840.81</v>
      </c>
      <c r="D510" s="23">
        <f t="shared" si="7"/>
        <v>-9.834218639271362E-3</v>
      </c>
      <c r="F510" s="22"/>
      <c r="I510" s="21"/>
      <c r="K510" s="22"/>
      <c r="L510" s="24"/>
      <c r="M510" s="24"/>
      <c r="N510" s="21"/>
      <c r="P510" s="22"/>
      <c r="S510" s="21"/>
    </row>
    <row r="511" spans="1:19" x14ac:dyDescent="0.35">
      <c r="A511" s="25">
        <v>45198</v>
      </c>
      <c r="B511" s="24">
        <v>27031.74</v>
      </c>
      <c r="C511" s="24">
        <v>27031.74</v>
      </c>
      <c r="D511" s="23">
        <f t="shared" si="7"/>
        <v>7.1134216888387603E-3</v>
      </c>
      <c r="F511" s="22"/>
      <c r="I511" s="21"/>
      <c r="K511" s="22"/>
      <c r="L511" s="24"/>
      <c r="M511" s="24"/>
      <c r="N511" s="21"/>
      <c r="P511" s="22"/>
      <c r="S511" s="21"/>
    </row>
    <row r="512" spans="1:19" x14ac:dyDescent="0.35">
      <c r="A512" s="25">
        <v>45202</v>
      </c>
      <c r="B512" s="24">
        <v>26972.02</v>
      </c>
      <c r="C512" s="24">
        <v>26972.02</v>
      </c>
      <c r="D512" s="23">
        <f t="shared" si="7"/>
        <v>-2.2092547501567105E-3</v>
      </c>
      <c r="F512" s="22"/>
      <c r="I512" s="21"/>
      <c r="K512" s="22"/>
      <c r="L512" s="24"/>
      <c r="M512" s="24"/>
      <c r="N512" s="21"/>
      <c r="P512" s="22"/>
      <c r="S512" s="21"/>
    </row>
    <row r="513" spans="1:19" x14ac:dyDescent="0.35">
      <c r="A513" s="25">
        <v>45203</v>
      </c>
      <c r="B513" s="24">
        <v>26766.76</v>
      </c>
      <c r="C513" s="24">
        <v>26766.76</v>
      </c>
      <c r="D513" s="23">
        <f t="shared" si="7"/>
        <v>-7.6101085495265848E-3</v>
      </c>
      <c r="F513" s="22"/>
      <c r="I513" s="21"/>
      <c r="K513" s="22"/>
      <c r="L513" s="24"/>
      <c r="M513" s="24"/>
      <c r="N513" s="21"/>
      <c r="P513" s="22"/>
      <c r="S513" s="21"/>
    </row>
    <row r="514" spans="1:19" x14ac:dyDescent="0.35">
      <c r="A514" s="25">
        <v>45204</v>
      </c>
      <c r="B514" s="24">
        <v>26880.39</v>
      </c>
      <c r="C514" s="24">
        <v>26880.39</v>
      </c>
      <c r="D514" s="23">
        <f t="shared" si="7"/>
        <v>4.24519067679469E-3</v>
      </c>
      <c r="F514" s="22"/>
      <c r="I514" s="21"/>
      <c r="K514" s="22"/>
      <c r="L514" s="24"/>
      <c r="M514" s="24"/>
      <c r="N514" s="21"/>
      <c r="P514" s="22"/>
      <c r="S514" s="21"/>
    </row>
    <row r="515" spans="1:19" x14ac:dyDescent="0.35">
      <c r="A515" s="25">
        <v>45205</v>
      </c>
      <c r="B515" s="24">
        <v>27033.29</v>
      </c>
      <c r="C515" s="24">
        <v>27033.29</v>
      </c>
      <c r="D515" s="23">
        <f t="shared" ref="D515:D578" si="8">(B515-B514)/B514</f>
        <v>5.6881615184899269E-3</v>
      </c>
      <c r="F515" s="22"/>
      <c r="I515" s="21"/>
      <c r="K515" s="22"/>
      <c r="L515" s="24"/>
      <c r="M515" s="24"/>
      <c r="N515" s="21"/>
      <c r="P515" s="22"/>
      <c r="S515" s="21"/>
    </row>
    <row r="516" spans="1:19" x14ac:dyDescent="0.35">
      <c r="A516" s="25">
        <v>45208</v>
      </c>
      <c r="B516" s="24">
        <v>26773.95</v>
      </c>
      <c r="C516" s="24">
        <v>26773.95</v>
      </c>
      <c r="D516" s="23">
        <f t="shared" si="8"/>
        <v>-9.5933569313982926E-3</v>
      </c>
      <c r="F516" s="22"/>
      <c r="I516" s="21"/>
      <c r="K516" s="22"/>
      <c r="L516" s="24"/>
      <c r="M516" s="24"/>
      <c r="N516" s="21"/>
      <c r="P516" s="22"/>
      <c r="S516" s="21"/>
    </row>
    <row r="517" spans="1:19" x14ac:dyDescent="0.35">
      <c r="A517" s="25">
        <v>45209</v>
      </c>
      <c r="B517" s="24">
        <v>27048.54</v>
      </c>
      <c r="C517" s="24">
        <v>27048.54</v>
      </c>
      <c r="D517" s="23">
        <f t="shared" si="8"/>
        <v>1.0255864375633783E-2</v>
      </c>
      <c r="F517" s="22"/>
      <c r="I517" s="21"/>
      <c r="K517" s="22"/>
      <c r="L517" s="24"/>
      <c r="M517" s="24"/>
      <c r="N517" s="21"/>
      <c r="P517" s="22"/>
      <c r="S517" s="21"/>
    </row>
    <row r="518" spans="1:19" x14ac:dyDescent="0.35">
      <c r="A518" s="25">
        <v>45210</v>
      </c>
      <c r="B518" s="24">
        <v>27211.1</v>
      </c>
      <c r="C518" s="24">
        <v>27211.1</v>
      </c>
      <c r="D518" s="23">
        <f t="shared" si="8"/>
        <v>6.0099362109747017E-3</v>
      </c>
      <c r="F518" s="22"/>
      <c r="I518" s="21"/>
      <c r="K518" s="22"/>
      <c r="L518" s="24"/>
      <c r="M518" s="24"/>
      <c r="N518" s="21"/>
      <c r="P518" s="22"/>
      <c r="S518" s="21"/>
    </row>
    <row r="519" spans="1:19" x14ac:dyDescent="0.35">
      <c r="A519" s="25">
        <v>45211</v>
      </c>
      <c r="B519" s="24">
        <v>27230.45</v>
      </c>
      <c r="C519" s="24">
        <v>27230.45</v>
      </c>
      <c r="D519" s="23">
        <f t="shared" si="8"/>
        <v>7.1110686447817923E-4</v>
      </c>
      <c r="F519" s="22"/>
      <c r="I519" s="21"/>
      <c r="K519" s="22"/>
      <c r="L519" s="24"/>
      <c r="M519" s="24"/>
      <c r="N519" s="21"/>
      <c r="P519" s="22"/>
      <c r="S519" s="21"/>
    </row>
    <row r="520" spans="1:19" x14ac:dyDescent="0.35">
      <c r="A520" s="25">
        <v>45212</v>
      </c>
      <c r="B520" s="24">
        <v>27184.52</v>
      </c>
      <c r="C520" s="24">
        <v>27184.52</v>
      </c>
      <c r="D520" s="23">
        <f t="shared" si="8"/>
        <v>-1.6867146888869002E-3</v>
      </c>
      <c r="F520" s="22"/>
      <c r="I520" s="21"/>
      <c r="K520" s="22"/>
      <c r="L520" s="24"/>
      <c r="M520" s="24"/>
      <c r="N520" s="21"/>
      <c r="P520" s="22"/>
      <c r="S520" s="21"/>
    </row>
    <row r="521" spans="1:19" x14ac:dyDescent="0.35">
      <c r="A521" s="25">
        <v>45215</v>
      </c>
      <c r="B521" s="24">
        <v>27188.68</v>
      </c>
      <c r="C521" s="24">
        <v>27188.68</v>
      </c>
      <c r="D521" s="23">
        <f t="shared" si="8"/>
        <v>1.5302826755814907E-4</v>
      </c>
      <c r="F521" s="22"/>
      <c r="I521" s="21"/>
      <c r="K521" s="22"/>
      <c r="L521" s="24"/>
      <c r="M521" s="24"/>
      <c r="N521" s="21"/>
      <c r="P521" s="22"/>
      <c r="S521" s="21"/>
    </row>
    <row r="522" spans="1:19" x14ac:dyDescent="0.35">
      <c r="A522" s="25">
        <v>45216</v>
      </c>
      <c r="B522" s="24">
        <v>27305.47</v>
      </c>
      <c r="C522" s="24">
        <v>27305.47</v>
      </c>
      <c r="D522" s="23">
        <f t="shared" si="8"/>
        <v>4.2955377017200123E-3</v>
      </c>
      <c r="F522" s="22"/>
      <c r="I522" s="21"/>
      <c r="K522" s="22"/>
      <c r="L522" s="24"/>
      <c r="M522" s="24"/>
      <c r="N522" s="21"/>
      <c r="P522" s="22"/>
      <c r="S522" s="21"/>
    </row>
    <row r="523" spans="1:19" x14ac:dyDescent="0.35">
      <c r="A523" s="25">
        <v>45217</v>
      </c>
      <c r="B523" s="24">
        <v>27112.09</v>
      </c>
      <c r="C523" s="24">
        <v>27112.09</v>
      </c>
      <c r="D523" s="23">
        <f t="shared" si="8"/>
        <v>-7.0820974698476537E-3</v>
      </c>
      <c r="F523" s="22"/>
      <c r="I523" s="21"/>
      <c r="K523" s="22"/>
      <c r="L523" s="24"/>
      <c r="M523" s="24"/>
      <c r="N523" s="21"/>
      <c r="P523" s="22"/>
      <c r="S523" s="21"/>
    </row>
    <row r="524" spans="1:19" x14ac:dyDescent="0.35">
      <c r="A524" s="25">
        <v>45218</v>
      </c>
      <c r="B524" s="24">
        <v>27061.52</v>
      </c>
      <c r="C524" s="24">
        <v>27061.52</v>
      </c>
      <c r="D524" s="23">
        <f t="shared" si="8"/>
        <v>-1.8652195385896E-3</v>
      </c>
      <c r="F524" s="22"/>
      <c r="I524" s="21"/>
      <c r="K524" s="22"/>
      <c r="L524" s="24"/>
      <c r="M524" s="24"/>
      <c r="N524" s="21"/>
      <c r="P524" s="22"/>
      <c r="S524" s="21"/>
    </row>
    <row r="525" spans="1:19" x14ac:dyDescent="0.35">
      <c r="A525" s="25">
        <v>45219</v>
      </c>
      <c r="B525" s="24">
        <v>26905.17</v>
      </c>
      <c r="C525" s="24">
        <v>26905.17</v>
      </c>
      <c r="D525" s="23">
        <f t="shared" si="8"/>
        <v>-5.777576425862338E-3</v>
      </c>
      <c r="F525" s="22"/>
      <c r="I525" s="21"/>
      <c r="K525" s="22"/>
      <c r="L525" s="24"/>
      <c r="M525" s="24"/>
      <c r="N525" s="21"/>
      <c r="P525" s="22"/>
      <c r="S525" s="21"/>
    </row>
    <row r="526" spans="1:19" x14ac:dyDescent="0.35">
      <c r="A526" s="25">
        <v>45222</v>
      </c>
      <c r="B526" s="24">
        <v>26404.83</v>
      </c>
      <c r="C526" s="24">
        <v>26404.83</v>
      </c>
      <c r="D526" s="23">
        <f t="shared" si="8"/>
        <v>-1.8596425891380598E-2</v>
      </c>
      <c r="F526" s="22"/>
      <c r="I526" s="21"/>
      <c r="K526" s="22"/>
      <c r="L526" s="24"/>
      <c r="M526" s="24"/>
      <c r="N526" s="21"/>
      <c r="P526" s="22"/>
      <c r="S526" s="21"/>
    </row>
    <row r="527" spans="1:19" x14ac:dyDescent="0.35">
      <c r="A527" s="25">
        <v>45224</v>
      </c>
      <c r="B527" s="24">
        <v>26217.58</v>
      </c>
      <c r="C527" s="24">
        <v>26217.58</v>
      </c>
      <c r="D527" s="23">
        <f t="shared" si="8"/>
        <v>-7.0915056071180916E-3</v>
      </c>
      <c r="F527" s="22"/>
      <c r="I527" s="21"/>
      <c r="K527" s="22"/>
      <c r="L527" s="24"/>
      <c r="M527" s="24"/>
      <c r="N527" s="21"/>
      <c r="P527" s="22"/>
      <c r="S527" s="21"/>
    </row>
    <row r="528" spans="1:19" x14ac:dyDescent="0.35">
      <c r="A528" s="25">
        <v>45225</v>
      </c>
      <c r="B528" s="24">
        <v>25896.34</v>
      </c>
      <c r="C528" s="24">
        <v>25896.34</v>
      </c>
      <c r="D528" s="23">
        <f t="shared" si="8"/>
        <v>-1.225284713539547E-2</v>
      </c>
      <c r="F528" s="22"/>
      <c r="I528" s="21"/>
      <c r="K528" s="22"/>
      <c r="L528" s="24"/>
      <c r="M528" s="24"/>
      <c r="N528" s="21"/>
      <c r="P528" s="22"/>
      <c r="S528" s="21"/>
    </row>
    <row r="529" spans="1:19" x14ac:dyDescent="0.35">
      <c r="A529" s="25">
        <v>45226</v>
      </c>
      <c r="B529" s="24">
        <v>26225.88</v>
      </c>
      <c r="C529" s="24">
        <v>26225.88</v>
      </c>
      <c r="D529" s="23">
        <f t="shared" si="8"/>
        <v>1.2725350377698195E-2</v>
      </c>
      <c r="F529" s="22"/>
      <c r="I529" s="21"/>
      <c r="K529" s="22"/>
      <c r="L529" s="24"/>
      <c r="M529" s="24"/>
      <c r="N529" s="21"/>
      <c r="P529" s="22"/>
      <c r="S529" s="21"/>
    </row>
    <row r="530" spans="1:19" x14ac:dyDescent="0.35">
      <c r="A530" s="25">
        <v>45229</v>
      </c>
      <c r="B530" s="24">
        <v>26320.74</v>
      </c>
      <c r="C530" s="24">
        <v>26320.74</v>
      </c>
      <c r="D530" s="23">
        <f t="shared" si="8"/>
        <v>3.6170378267574082E-3</v>
      </c>
      <c r="F530" s="22"/>
      <c r="I530" s="21"/>
      <c r="K530" s="22"/>
      <c r="L530" s="24"/>
      <c r="M530" s="24"/>
      <c r="N530" s="21"/>
      <c r="P530" s="22"/>
      <c r="S530" s="21"/>
    </row>
    <row r="531" spans="1:19" x14ac:dyDescent="0.35">
      <c r="A531" s="25">
        <v>45230</v>
      </c>
      <c r="B531" s="24">
        <v>26281.759999999998</v>
      </c>
      <c r="C531" s="24">
        <v>26281.759999999998</v>
      </c>
      <c r="D531" s="23">
        <f t="shared" si="8"/>
        <v>-1.4809614015412636E-3</v>
      </c>
      <c r="F531" s="22"/>
      <c r="I531" s="21"/>
      <c r="K531" s="22"/>
      <c r="L531" s="24"/>
      <c r="M531" s="24"/>
      <c r="N531" s="21"/>
      <c r="P531" s="22"/>
      <c r="S531" s="21"/>
    </row>
    <row r="532" spans="1:19" x14ac:dyDescent="0.35">
      <c r="A532" s="25">
        <v>45231</v>
      </c>
      <c r="B532" s="24">
        <v>26176.34</v>
      </c>
      <c r="C532" s="24">
        <v>26176.34</v>
      </c>
      <c r="D532" s="23">
        <f t="shared" si="8"/>
        <v>-4.0111468942718546E-3</v>
      </c>
      <c r="F532" s="22"/>
      <c r="I532" s="21"/>
      <c r="K532" s="22"/>
      <c r="L532" s="24"/>
      <c r="M532" s="24"/>
      <c r="N532" s="21"/>
      <c r="P532" s="22"/>
      <c r="S532" s="21"/>
    </row>
    <row r="533" spans="1:19" x14ac:dyDescent="0.35">
      <c r="A533" s="25">
        <v>45232</v>
      </c>
      <c r="B533" s="24">
        <v>26428.25</v>
      </c>
      <c r="C533" s="24">
        <v>26428.25</v>
      </c>
      <c r="D533" s="23">
        <f t="shared" si="8"/>
        <v>9.6235760996380652E-3</v>
      </c>
      <c r="F533" s="22"/>
      <c r="I533" s="21"/>
      <c r="K533" s="22"/>
      <c r="L533" s="24"/>
      <c r="M533" s="24"/>
      <c r="N533" s="21"/>
      <c r="P533" s="22"/>
      <c r="S533" s="21"/>
    </row>
    <row r="534" spans="1:19" x14ac:dyDescent="0.35">
      <c r="A534" s="25">
        <v>45233</v>
      </c>
      <c r="B534" s="24">
        <v>26603.200000000001</v>
      </c>
      <c r="C534" s="24">
        <v>26603.200000000001</v>
      </c>
      <c r="D534" s="23">
        <f t="shared" si="8"/>
        <v>6.61981024093539E-3</v>
      </c>
      <c r="F534" s="22"/>
      <c r="I534" s="21"/>
      <c r="K534" s="22"/>
      <c r="L534" s="24"/>
      <c r="M534" s="24"/>
      <c r="N534" s="21"/>
      <c r="P534" s="22"/>
      <c r="S534" s="21"/>
    </row>
    <row r="535" spans="1:19" x14ac:dyDescent="0.35">
      <c r="A535" s="25">
        <v>45236</v>
      </c>
      <c r="B535" s="24">
        <v>26852.91</v>
      </c>
      <c r="C535" s="24">
        <v>26852.91</v>
      </c>
      <c r="D535" s="23">
        <f t="shared" si="8"/>
        <v>9.3864647861911024E-3</v>
      </c>
      <c r="F535" s="22"/>
      <c r="I535" s="21"/>
      <c r="K535" s="22"/>
      <c r="L535" s="24"/>
      <c r="M535" s="24"/>
      <c r="N535" s="21"/>
      <c r="P535" s="22"/>
      <c r="S535" s="21"/>
    </row>
    <row r="536" spans="1:19" x14ac:dyDescent="0.35">
      <c r="A536" s="25">
        <v>45237</v>
      </c>
      <c r="B536" s="24">
        <v>26897.88</v>
      </c>
      <c r="C536" s="24">
        <v>26897.88</v>
      </c>
      <c r="D536" s="23">
        <f t="shared" si="8"/>
        <v>1.6746788336906937E-3</v>
      </c>
      <c r="F536" s="22"/>
      <c r="I536" s="21"/>
      <c r="K536" s="22"/>
      <c r="L536" s="24"/>
      <c r="M536" s="24"/>
      <c r="N536" s="21"/>
      <c r="P536" s="22"/>
      <c r="S536" s="21"/>
    </row>
    <row r="537" spans="1:19" x14ac:dyDescent="0.35">
      <c r="A537" s="25">
        <v>45238</v>
      </c>
      <c r="B537" s="24">
        <v>27010.76</v>
      </c>
      <c r="C537" s="24">
        <v>27010.76</v>
      </c>
      <c r="D537" s="23">
        <f t="shared" si="8"/>
        <v>4.1966132646884206E-3</v>
      </c>
      <c r="F537" s="22"/>
      <c r="I537" s="21"/>
      <c r="K537" s="22"/>
      <c r="L537" s="24"/>
      <c r="M537" s="24"/>
      <c r="N537" s="21"/>
      <c r="P537" s="22"/>
      <c r="S537" s="21"/>
    </row>
    <row r="538" spans="1:19" x14ac:dyDescent="0.35">
      <c r="A538" s="25">
        <v>45239</v>
      </c>
      <c r="B538" s="24">
        <v>26947.4</v>
      </c>
      <c r="C538" s="24">
        <v>26947.4</v>
      </c>
      <c r="D538" s="23">
        <f t="shared" si="8"/>
        <v>-2.3457318490852147E-3</v>
      </c>
      <c r="F538" s="22"/>
      <c r="I538" s="21"/>
      <c r="K538" s="22"/>
      <c r="L538" s="24"/>
      <c r="M538" s="24"/>
      <c r="N538" s="21"/>
      <c r="P538" s="22"/>
      <c r="S538" s="21"/>
    </row>
    <row r="539" spans="1:19" x14ac:dyDescent="0.35">
      <c r="A539" s="25">
        <v>45240</v>
      </c>
      <c r="B539" s="24">
        <v>27007.31</v>
      </c>
      <c r="C539" s="24">
        <v>27007.31</v>
      </c>
      <c r="D539" s="23">
        <f t="shared" si="8"/>
        <v>2.2232200509139971E-3</v>
      </c>
      <c r="F539" s="22"/>
      <c r="I539" s="21"/>
      <c r="K539" s="22"/>
      <c r="L539" s="24"/>
      <c r="M539" s="24"/>
      <c r="N539" s="21"/>
      <c r="P539" s="22"/>
      <c r="S539" s="21"/>
    </row>
    <row r="540" spans="1:19" x14ac:dyDescent="0.35">
      <c r="A540" s="25">
        <v>45242</v>
      </c>
      <c r="B540" s="24">
        <v>27170.84</v>
      </c>
      <c r="C540" s="24">
        <v>27170.84</v>
      </c>
      <c r="D540" s="23">
        <f t="shared" si="8"/>
        <v>6.0550273240836958E-3</v>
      </c>
      <c r="F540" s="22"/>
      <c r="I540" s="21"/>
      <c r="K540" s="22"/>
      <c r="L540" s="24"/>
      <c r="M540" s="24"/>
      <c r="N540" s="21"/>
      <c r="P540" s="22"/>
      <c r="S540" s="21"/>
    </row>
    <row r="541" spans="1:19" x14ac:dyDescent="0.35">
      <c r="A541" s="25">
        <v>45243</v>
      </c>
      <c r="B541" s="24">
        <v>27105.14</v>
      </c>
      <c r="C541" s="24">
        <v>27105.14</v>
      </c>
      <c r="D541" s="23">
        <f t="shared" si="8"/>
        <v>-2.4180334505668846E-3</v>
      </c>
      <c r="F541" s="22"/>
      <c r="I541" s="21"/>
      <c r="K541" s="22"/>
      <c r="L541" s="24"/>
      <c r="M541" s="24"/>
      <c r="N541" s="21"/>
      <c r="P541" s="22"/>
      <c r="S541" s="21"/>
    </row>
    <row r="542" spans="1:19" x14ac:dyDescent="0.35">
      <c r="A542" s="25">
        <v>45245</v>
      </c>
      <c r="B542" s="24">
        <v>27402.22</v>
      </c>
      <c r="C542" s="24">
        <v>27402.22</v>
      </c>
      <c r="D542" s="23">
        <f t="shared" si="8"/>
        <v>1.0960282809828754E-2</v>
      </c>
      <c r="F542" s="22"/>
      <c r="I542" s="21"/>
      <c r="K542" s="22"/>
      <c r="L542" s="24"/>
      <c r="M542" s="24"/>
      <c r="N542" s="21"/>
      <c r="P542" s="22"/>
      <c r="S542" s="21"/>
    </row>
    <row r="543" spans="1:19" x14ac:dyDescent="0.35">
      <c r="A543" s="25">
        <v>45246</v>
      </c>
      <c r="B543" s="24">
        <v>27539.17</v>
      </c>
      <c r="C543" s="24">
        <v>27539.17</v>
      </c>
      <c r="D543" s="23">
        <f t="shared" si="8"/>
        <v>4.9977702536508749E-3</v>
      </c>
      <c r="F543" s="22"/>
      <c r="I543" s="21"/>
      <c r="K543" s="22"/>
      <c r="L543" s="24"/>
      <c r="M543" s="24"/>
      <c r="N543" s="21"/>
      <c r="P543" s="22"/>
      <c r="S543" s="21"/>
    </row>
    <row r="544" spans="1:19" x14ac:dyDescent="0.35">
      <c r="A544" s="25">
        <v>45247</v>
      </c>
      <c r="B544" s="24">
        <v>27551.74</v>
      </c>
      <c r="C544" s="24">
        <v>27551.74</v>
      </c>
      <c r="D544" s="23">
        <f t="shared" si="8"/>
        <v>4.5644077145401798E-4</v>
      </c>
      <c r="F544" s="22"/>
      <c r="I544" s="21"/>
      <c r="K544" s="22"/>
      <c r="L544" s="24"/>
      <c r="M544" s="24"/>
      <c r="N544" s="21"/>
      <c r="P544" s="22"/>
      <c r="S544" s="21"/>
    </row>
    <row r="545" spans="1:19" x14ac:dyDescent="0.35">
      <c r="A545" s="25">
        <v>45250</v>
      </c>
      <c r="B545" s="24">
        <v>27510.09</v>
      </c>
      <c r="C545" s="24">
        <v>27510.09</v>
      </c>
      <c r="D545" s="23">
        <f t="shared" si="8"/>
        <v>-1.511701257343509E-3</v>
      </c>
      <c r="F545" s="22"/>
      <c r="I545" s="21"/>
      <c r="K545" s="22"/>
      <c r="L545" s="24"/>
      <c r="M545" s="24"/>
      <c r="N545" s="21"/>
      <c r="P545" s="22"/>
      <c r="S545" s="21"/>
    </row>
    <row r="546" spans="1:19" x14ac:dyDescent="0.35">
      <c r="A546" s="25">
        <v>45251</v>
      </c>
      <c r="B546" s="24">
        <v>27594.87</v>
      </c>
      <c r="C546" s="24">
        <v>27594.87</v>
      </c>
      <c r="D546" s="23">
        <f t="shared" si="8"/>
        <v>3.0817783584131801E-3</v>
      </c>
      <c r="F546" s="22"/>
      <c r="I546" s="21"/>
      <c r="K546" s="22"/>
      <c r="L546" s="24"/>
      <c r="M546" s="24"/>
      <c r="N546" s="21"/>
      <c r="P546" s="22"/>
      <c r="S546" s="21"/>
    </row>
    <row r="547" spans="1:19" x14ac:dyDescent="0.35">
      <c r="A547" s="25">
        <v>45252</v>
      </c>
      <c r="B547" s="24">
        <v>27595.66</v>
      </c>
      <c r="C547" s="24">
        <v>27595.66</v>
      </c>
      <c r="D547" s="23">
        <f t="shared" si="8"/>
        <v>2.8628509574456163E-5</v>
      </c>
      <c r="F547" s="22"/>
      <c r="I547" s="21"/>
      <c r="K547" s="22"/>
      <c r="L547" s="24"/>
      <c r="M547" s="24"/>
      <c r="N547" s="21"/>
      <c r="P547" s="22"/>
      <c r="S547" s="21"/>
    </row>
    <row r="548" spans="1:19" x14ac:dyDescent="0.35">
      <c r="A548" s="25">
        <v>45253</v>
      </c>
      <c r="B548" s="24">
        <v>27614.05</v>
      </c>
      <c r="C548" s="24">
        <v>27614.05</v>
      </c>
      <c r="D548" s="23">
        <f t="shared" si="8"/>
        <v>6.6640913824852956E-4</v>
      </c>
      <c r="F548" s="22"/>
      <c r="I548" s="21"/>
      <c r="K548" s="22"/>
      <c r="L548" s="24"/>
      <c r="M548" s="24"/>
      <c r="N548" s="21"/>
      <c r="P548" s="22"/>
      <c r="S548" s="21"/>
    </row>
    <row r="549" spans="1:19" x14ac:dyDescent="0.35">
      <c r="A549" s="25">
        <v>45254</v>
      </c>
      <c r="B549" s="24">
        <v>27621.9</v>
      </c>
      <c r="C549" s="24">
        <v>27621.9</v>
      </c>
      <c r="D549" s="23">
        <f t="shared" si="8"/>
        <v>2.8427557710666065E-4</v>
      </c>
      <c r="F549" s="22"/>
      <c r="I549" s="21"/>
      <c r="K549" s="22"/>
      <c r="L549" s="24"/>
      <c r="M549" s="24"/>
      <c r="N549" s="21"/>
      <c r="P549" s="22"/>
      <c r="S549" s="21"/>
    </row>
    <row r="550" spans="1:19" x14ac:dyDescent="0.35">
      <c r="A550" s="25">
        <v>45258</v>
      </c>
      <c r="B550" s="24">
        <v>27775.75</v>
      </c>
      <c r="C550" s="24">
        <v>27775.75</v>
      </c>
      <c r="D550" s="23">
        <f t="shared" si="8"/>
        <v>5.5698558028230696E-3</v>
      </c>
      <c r="F550" s="22"/>
      <c r="I550" s="21"/>
      <c r="K550" s="22"/>
      <c r="L550" s="24"/>
      <c r="M550" s="24"/>
      <c r="N550" s="21"/>
      <c r="P550" s="22"/>
      <c r="S550" s="21"/>
    </row>
    <row r="551" spans="1:19" x14ac:dyDescent="0.35">
      <c r="A551" s="25">
        <v>45259</v>
      </c>
      <c r="B551" s="24">
        <v>28029.82</v>
      </c>
      <c r="C551" s="24">
        <v>28029.82</v>
      </c>
      <c r="D551" s="23">
        <f t="shared" si="8"/>
        <v>9.1471877447053523E-3</v>
      </c>
      <c r="F551" s="22"/>
      <c r="I551" s="21"/>
      <c r="K551" s="22"/>
      <c r="L551" s="24"/>
      <c r="M551" s="24"/>
      <c r="N551" s="21"/>
      <c r="P551" s="22"/>
      <c r="S551" s="21"/>
    </row>
    <row r="552" spans="1:19" x14ac:dyDescent="0.35">
      <c r="A552" s="25">
        <v>45260</v>
      </c>
      <c r="B552" s="24">
        <v>28161.16</v>
      </c>
      <c r="C552" s="24">
        <v>28161.16</v>
      </c>
      <c r="D552" s="23">
        <f t="shared" si="8"/>
        <v>4.6857239896652978E-3</v>
      </c>
      <c r="F552" s="22"/>
      <c r="I552" s="21"/>
      <c r="K552" s="22"/>
      <c r="L552" s="24"/>
      <c r="M552" s="24"/>
      <c r="N552" s="21"/>
      <c r="P552" s="22"/>
      <c r="S552" s="21"/>
    </row>
    <row r="553" spans="1:19" x14ac:dyDescent="0.35">
      <c r="A553" s="25">
        <v>45261</v>
      </c>
      <c r="B553" s="24">
        <v>28360.55</v>
      </c>
      <c r="C553" s="24">
        <v>28360.55</v>
      </c>
      <c r="D553" s="23">
        <f t="shared" si="8"/>
        <v>7.0803191345810831E-3</v>
      </c>
      <c r="F553" s="22"/>
      <c r="I553" s="21"/>
      <c r="K553" s="22"/>
      <c r="L553" s="24"/>
      <c r="M553" s="24"/>
      <c r="N553" s="21"/>
      <c r="P553" s="22"/>
      <c r="S553" s="21"/>
    </row>
    <row r="554" spans="1:19" x14ac:dyDescent="0.35">
      <c r="A554" s="25">
        <v>45264</v>
      </c>
      <c r="B554" s="24">
        <v>28882.17</v>
      </c>
      <c r="C554" s="24">
        <v>28882.17</v>
      </c>
      <c r="D554" s="23">
        <f t="shared" si="8"/>
        <v>1.8392450075897647E-2</v>
      </c>
      <c r="F554" s="22"/>
      <c r="I554" s="21"/>
      <c r="K554" s="22"/>
      <c r="L554" s="24"/>
      <c r="M554" s="24"/>
      <c r="N554" s="21"/>
      <c r="P554" s="22"/>
      <c r="S554" s="21"/>
    </row>
    <row r="555" spans="1:19" x14ac:dyDescent="0.35">
      <c r="A555" s="25">
        <v>45265</v>
      </c>
      <c r="B555" s="24">
        <v>29101.4</v>
      </c>
      <c r="C555" s="24">
        <v>29101.4</v>
      </c>
      <c r="D555" s="23">
        <f t="shared" si="8"/>
        <v>7.590496143468556E-3</v>
      </c>
      <c r="F555" s="22"/>
      <c r="I555" s="21"/>
      <c r="K555" s="22"/>
      <c r="L555" s="24"/>
      <c r="M555" s="24"/>
      <c r="N555" s="21"/>
      <c r="P555" s="22"/>
      <c r="S555" s="21"/>
    </row>
    <row r="556" spans="1:19" x14ac:dyDescent="0.35">
      <c r="A556" s="25">
        <v>45266</v>
      </c>
      <c r="B556" s="24">
        <v>29244.57</v>
      </c>
      <c r="C556" s="24">
        <v>29244.57</v>
      </c>
      <c r="D556" s="23">
        <f t="shared" si="8"/>
        <v>4.9196945851401738E-3</v>
      </c>
      <c r="F556" s="22"/>
      <c r="I556" s="21"/>
      <c r="K556" s="22"/>
      <c r="L556" s="24"/>
      <c r="M556" s="24"/>
      <c r="N556" s="21"/>
      <c r="P556" s="22"/>
      <c r="S556" s="21"/>
    </row>
    <row r="557" spans="1:19" x14ac:dyDescent="0.35">
      <c r="A557" s="25">
        <v>45267</v>
      </c>
      <c r="B557" s="24">
        <v>29281.91</v>
      </c>
      <c r="C557" s="24">
        <v>29281.91</v>
      </c>
      <c r="D557" s="23">
        <f t="shared" si="8"/>
        <v>1.2768182264263125E-3</v>
      </c>
      <c r="F557" s="22"/>
      <c r="I557" s="21"/>
      <c r="K557" s="22"/>
      <c r="L557" s="24"/>
      <c r="M557" s="24"/>
      <c r="N557" s="21"/>
      <c r="P557" s="22"/>
      <c r="S557" s="21"/>
    </row>
    <row r="558" spans="1:19" x14ac:dyDescent="0.35">
      <c r="A558" s="25">
        <v>45268</v>
      </c>
      <c r="B558" s="24">
        <v>29281.34</v>
      </c>
      <c r="C558" s="24">
        <v>29281.34</v>
      </c>
      <c r="D558" s="23">
        <f t="shared" si="8"/>
        <v>-1.9465943307649977E-5</v>
      </c>
      <c r="F558" s="22"/>
      <c r="I558" s="21"/>
      <c r="K558" s="22"/>
      <c r="L558" s="24"/>
      <c r="M558" s="24"/>
      <c r="N558" s="21"/>
      <c r="P558" s="22"/>
      <c r="S558" s="21"/>
    </row>
    <row r="559" spans="1:19" x14ac:dyDescent="0.35">
      <c r="A559" s="25">
        <v>45271</v>
      </c>
      <c r="B559" s="24">
        <v>29385.81</v>
      </c>
      <c r="C559" s="24">
        <v>29385.81</v>
      </c>
      <c r="D559" s="23">
        <f t="shared" si="8"/>
        <v>3.5678012003549416E-3</v>
      </c>
      <c r="F559" s="22"/>
      <c r="I559" s="21"/>
      <c r="K559" s="22"/>
      <c r="L559" s="24"/>
      <c r="M559" s="24"/>
      <c r="N559" s="21"/>
      <c r="P559" s="22"/>
      <c r="S559" s="21"/>
    </row>
    <row r="560" spans="1:19" x14ac:dyDescent="0.35">
      <c r="A560" s="25">
        <v>45272</v>
      </c>
      <c r="B560" s="24">
        <v>29255.200000000001</v>
      </c>
      <c r="C560" s="24">
        <v>29255.200000000001</v>
      </c>
      <c r="D560" s="23">
        <f t="shared" si="8"/>
        <v>-4.4446622366373627E-3</v>
      </c>
      <c r="F560" s="22"/>
      <c r="I560" s="21"/>
      <c r="K560" s="22"/>
      <c r="L560" s="24"/>
      <c r="M560" s="24"/>
      <c r="N560" s="21"/>
      <c r="P560" s="22"/>
      <c r="S560" s="21"/>
    </row>
    <row r="561" spans="1:19" x14ac:dyDescent="0.35">
      <c r="A561" s="25">
        <v>45273</v>
      </c>
      <c r="B561" s="24">
        <v>29356.39</v>
      </c>
      <c r="C561" s="24">
        <v>29356.39</v>
      </c>
      <c r="D561" s="23">
        <f t="shared" si="8"/>
        <v>3.4588722688615593E-3</v>
      </c>
      <c r="F561" s="22"/>
      <c r="I561" s="21"/>
      <c r="K561" s="22"/>
      <c r="L561" s="24"/>
      <c r="M561" s="24"/>
      <c r="N561" s="21"/>
      <c r="P561" s="22"/>
      <c r="S561" s="21"/>
    </row>
    <row r="562" spans="1:19" x14ac:dyDescent="0.35">
      <c r="A562" s="25">
        <v>45274</v>
      </c>
      <c r="B562" s="24">
        <v>29704.91</v>
      </c>
      <c r="C562" s="24">
        <v>29704.91</v>
      </c>
      <c r="D562" s="23">
        <f t="shared" si="8"/>
        <v>1.1872031949432489E-2</v>
      </c>
      <c r="F562" s="22"/>
      <c r="I562" s="21"/>
      <c r="K562" s="22"/>
      <c r="L562" s="24"/>
      <c r="M562" s="24"/>
      <c r="N562" s="21"/>
      <c r="P562" s="22"/>
      <c r="S562" s="21"/>
    </row>
    <row r="563" spans="1:19" x14ac:dyDescent="0.35">
      <c r="A563" s="25">
        <v>45275</v>
      </c>
      <c r="B563" s="24">
        <v>29972.97</v>
      </c>
      <c r="C563" s="24">
        <v>29972.97</v>
      </c>
      <c r="D563" s="23">
        <f t="shared" si="8"/>
        <v>9.0240973630285812E-3</v>
      </c>
      <c r="F563" s="22"/>
      <c r="I563" s="21"/>
      <c r="K563" s="22"/>
      <c r="L563" s="24"/>
      <c r="M563" s="24"/>
      <c r="N563" s="21"/>
      <c r="P563" s="22"/>
      <c r="S563" s="21"/>
    </row>
    <row r="564" spans="1:19" x14ac:dyDescent="0.35">
      <c r="A564" s="25">
        <v>45278</v>
      </c>
      <c r="B564" s="24">
        <v>29989.39</v>
      </c>
      <c r="C564" s="24">
        <v>29989.39</v>
      </c>
      <c r="D564" s="23">
        <f t="shared" si="8"/>
        <v>5.4782692539305424E-4</v>
      </c>
      <c r="F564" s="22"/>
      <c r="I564" s="21"/>
      <c r="K564" s="22"/>
      <c r="L564" s="24"/>
      <c r="M564" s="24"/>
      <c r="N564" s="21"/>
      <c r="P564" s="22"/>
      <c r="S564" s="21"/>
    </row>
    <row r="565" spans="1:19" x14ac:dyDescent="0.35">
      <c r="A565" s="25">
        <v>45279</v>
      </c>
      <c r="B565" s="24">
        <v>30010.85</v>
      </c>
      <c r="C565" s="24">
        <v>30010.85</v>
      </c>
      <c r="D565" s="23">
        <f t="shared" si="8"/>
        <v>7.1558641239448774E-4</v>
      </c>
      <c r="F565" s="22"/>
      <c r="I565" s="21"/>
      <c r="K565" s="22"/>
      <c r="L565" s="24"/>
      <c r="M565" s="24"/>
      <c r="N565" s="21"/>
      <c r="P565" s="22"/>
      <c r="S565" s="21"/>
    </row>
    <row r="566" spans="1:19" x14ac:dyDescent="0.35">
      <c r="A566" s="25">
        <v>45280</v>
      </c>
      <c r="B566" s="24">
        <v>29400.59</v>
      </c>
      <c r="C566" s="24">
        <v>29400.59</v>
      </c>
      <c r="D566" s="23">
        <f t="shared" si="8"/>
        <v>-2.0334645636494748E-2</v>
      </c>
      <c r="F566" s="22"/>
      <c r="I566" s="21"/>
      <c r="K566" s="22"/>
      <c r="L566" s="24"/>
      <c r="M566" s="24"/>
      <c r="N566" s="21"/>
      <c r="P566" s="22"/>
      <c r="S566" s="21"/>
    </row>
    <row r="567" spans="1:19" x14ac:dyDescent="0.35">
      <c r="A567" s="25">
        <v>45281</v>
      </c>
      <c r="B567" s="24">
        <v>29654.71</v>
      </c>
      <c r="C567" s="24">
        <v>29654.71</v>
      </c>
      <c r="D567" s="23">
        <f t="shared" si="8"/>
        <v>8.6433639597028149E-3</v>
      </c>
      <c r="F567" s="22"/>
      <c r="I567" s="21"/>
      <c r="K567" s="22"/>
      <c r="L567" s="24"/>
      <c r="M567" s="24"/>
      <c r="N567" s="21"/>
      <c r="P567" s="22"/>
      <c r="S567" s="21"/>
    </row>
    <row r="568" spans="1:19" x14ac:dyDescent="0.35">
      <c r="A568" s="25">
        <v>45282</v>
      </c>
      <c r="B568" s="24">
        <v>29831.49</v>
      </c>
      <c r="C568" s="24">
        <v>29831.49</v>
      </c>
      <c r="D568" s="23">
        <f t="shared" si="8"/>
        <v>5.9612790008738061E-3</v>
      </c>
      <c r="F568" s="22"/>
      <c r="I568" s="21"/>
      <c r="K568" s="22"/>
      <c r="L568" s="24"/>
      <c r="M568" s="24"/>
      <c r="N568" s="21"/>
      <c r="P568" s="22"/>
      <c r="S568" s="21"/>
    </row>
    <row r="569" spans="1:19" x14ac:dyDescent="0.35">
      <c r="A569" s="25">
        <v>45286</v>
      </c>
      <c r="B569" s="24">
        <v>29978.9</v>
      </c>
      <c r="C569" s="24">
        <v>29978.9</v>
      </c>
      <c r="D569" s="23">
        <f t="shared" si="8"/>
        <v>4.9414226376221851E-3</v>
      </c>
      <c r="F569" s="22"/>
      <c r="I569" s="21"/>
      <c r="K569" s="22"/>
      <c r="L569" s="24"/>
      <c r="M569" s="24"/>
      <c r="N569" s="21"/>
      <c r="P569" s="22"/>
      <c r="S569" s="21"/>
    </row>
    <row r="570" spans="1:19" x14ac:dyDescent="0.35">
      <c r="A570" s="25">
        <v>45287</v>
      </c>
      <c r="B570" s="24">
        <v>30210.78</v>
      </c>
      <c r="C570" s="24">
        <v>30210.78</v>
      </c>
      <c r="D570" s="23">
        <f t="shared" si="8"/>
        <v>7.7347734573315688E-3</v>
      </c>
      <c r="F570" s="22"/>
      <c r="I570" s="21"/>
      <c r="K570" s="22"/>
      <c r="L570" s="24"/>
      <c r="M570" s="24"/>
      <c r="N570" s="21"/>
      <c r="P570" s="22"/>
      <c r="S570" s="21"/>
    </row>
    <row r="571" spans="1:19" x14ac:dyDescent="0.35">
      <c r="A571" s="25">
        <v>45288</v>
      </c>
      <c r="B571" s="24">
        <v>30370.94</v>
      </c>
      <c r="C571" s="24">
        <v>30370.94</v>
      </c>
      <c r="D571" s="23">
        <f t="shared" si="8"/>
        <v>5.3014188974928773E-3</v>
      </c>
      <c r="F571" s="22"/>
      <c r="I571" s="21"/>
      <c r="K571" s="22"/>
      <c r="L571" s="24"/>
      <c r="M571" s="24"/>
      <c r="N571" s="21"/>
      <c r="P571" s="22"/>
      <c r="S571" s="21"/>
    </row>
    <row r="572" spans="1:19" x14ac:dyDescent="0.35">
      <c r="A572" s="25">
        <v>45289</v>
      </c>
      <c r="B572" s="24">
        <v>30417.8</v>
      </c>
      <c r="C572" s="24">
        <v>30417.8</v>
      </c>
      <c r="D572" s="23">
        <f t="shared" si="8"/>
        <v>1.5429222803113958E-3</v>
      </c>
      <c r="F572" s="22"/>
      <c r="I572" s="21"/>
      <c r="K572" s="22"/>
      <c r="L572" s="24"/>
      <c r="M572" s="24"/>
      <c r="N572" s="21"/>
      <c r="P572" s="22"/>
      <c r="S572" s="21"/>
    </row>
    <row r="573" spans="1:19" x14ac:dyDescent="0.35">
      <c r="A573" s="25">
        <v>45293</v>
      </c>
      <c r="B573" s="24">
        <v>30400.92</v>
      </c>
      <c r="C573" s="24">
        <v>30400.92</v>
      </c>
      <c r="D573" s="23">
        <f t="shared" si="8"/>
        <v>-5.5493822695924821E-4</v>
      </c>
      <c r="F573" s="22"/>
      <c r="I573" s="21"/>
      <c r="K573" s="22"/>
      <c r="L573" s="24"/>
      <c r="M573" s="24"/>
      <c r="N573" s="21"/>
      <c r="P573" s="22"/>
      <c r="S573" s="21"/>
    </row>
    <row r="574" spans="1:19" x14ac:dyDescent="0.35">
      <c r="A574" s="25">
        <v>45294</v>
      </c>
      <c r="B574" s="24">
        <v>30320.7</v>
      </c>
      <c r="C574" s="24">
        <v>30320.7</v>
      </c>
      <c r="D574" s="23">
        <f t="shared" si="8"/>
        <v>-2.6387359329914204E-3</v>
      </c>
      <c r="F574" s="22"/>
      <c r="I574" s="21"/>
      <c r="K574" s="22"/>
      <c r="L574" s="24"/>
      <c r="M574" s="24"/>
      <c r="N574" s="21"/>
      <c r="P574" s="22"/>
      <c r="S574" s="21"/>
    </row>
    <row r="575" spans="1:19" x14ac:dyDescent="0.35">
      <c r="A575" s="25">
        <v>45295</v>
      </c>
      <c r="B575" s="24">
        <v>30593.27</v>
      </c>
      <c r="C575" s="24">
        <v>30593.27</v>
      </c>
      <c r="D575" s="23">
        <f t="shared" si="8"/>
        <v>8.9895681827926038E-3</v>
      </c>
      <c r="F575" s="22"/>
      <c r="I575" s="21"/>
      <c r="K575" s="22"/>
      <c r="L575" s="24"/>
      <c r="M575" s="24"/>
      <c r="N575" s="21"/>
      <c r="P575" s="22"/>
      <c r="S575" s="21"/>
    </row>
    <row r="576" spans="1:19" x14ac:dyDescent="0.35">
      <c r="A576" s="25">
        <v>45296</v>
      </c>
      <c r="B576" s="24">
        <v>30670.51</v>
      </c>
      <c r="C576" s="24">
        <v>30670.51</v>
      </c>
      <c r="D576" s="23">
        <f t="shared" si="8"/>
        <v>2.5247382839427746E-3</v>
      </c>
      <c r="F576" s="22"/>
      <c r="I576" s="21"/>
      <c r="K576" s="22"/>
      <c r="L576" s="24"/>
      <c r="M576" s="24"/>
      <c r="N576" s="21"/>
      <c r="P576" s="22"/>
      <c r="S576" s="21"/>
    </row>
    <row r="577" spans="1:19" x14ac:dyDescent="0.35">
      <c r="A577" s="25">
        <v>45299</v>
      </c>
      <c r="B577" s="24">
        <v>30399.86</v>
      </c>
      <c r="C577" s="24">
        <v>30399.86</v>
      </c>
      <c r="D577" s="23">
        <f t="shared" si="8"/>
        <v>-8.8244375460335631E-3</v>
      </c>
      <c r="F577" s="22"/>
      <c r="I577" s="21"/>
      <c r="K577" s="22"/>
      <c r="L577" s="24"/>
      <c r="M577" s="24"/>
      <c r="N577" s="21"/>
      <c r="P577" s="22"/>
      <c r="S577" s="21"/>
    </row>
    <row r="578" spans="1:19" x14ac:dyDescent="0.35">
      <c r="A578" s="25">
        <v>45300</v>
      </c>
      <c r="B578" s="24">
        <v>30465.39</v>
      </c>
      <c r="C578" s="24">
        <v>30465.39</v>
      </c>
      <c r="D578" s="23">
        <f t="shared" si="8"/>
        <v>2.1556020323777424E-3</v>
      </c>
      <c r="F578" s="22"/>
      <c r="I578" s="21"/>
      <c r="K578" s="22"/>
      <c r="L578" s="24"/>
      <c r="M578" s="24"/>
      <c r="N578" s="21"/>
      <c r="P578" s="22"/>
      <c r="S578" s="21"/>
    </row>
    <row r="579" spans="1:19" x14ac:dyDescent="0.35">
      <c r="A579" s="25">
        <v>45301</v>
      </c>
      <c r="B579" s="24">
        <v>30556.65</v>
      </c>
      <c r="C579" s="24">
        <v>30556.65</v>
      </c>
      <c r="D579" s="23">
        <f t="shared" ref="D579:D642" si="9">(B579-B578)/B578</f>
        <v>2.9955303378687106E-3</v>
      </c>
      <c r="F579" s="22"/>
      <c r="I579" s="21"/>
      <c r="K579" s="22"/>
      <c r="L579" s="24"/>
      <c r="M579" s="24"/>
      <c r="N579" s="21"/>
      <c r="P579" s="22"/>
      <c r="S579" s="21"/>
    </row>
    <row r="580" spans="1:19" x14ac:dyDescent="0.35">
      <c r="A580" s="25">
        <v>45302</v>
      </c>
      <c r="B580" s="24">
        <v>30660.78</v>
      </c>
      <c r="C580" s="24">
        <v>30660.78</v>
      </c>
      <c r="D580" s="23">
        <f t="shared" si="9"/>
        <v>3.4077688490065953E-3</v>
      </c>
      <c r="F580" s="22"/>
      <c r="I580" s="21"/>
      <c r="K580" s="22"/>
      <c r="L580" s="24"/>
      <c r="M580" s="24"/>
      <c r="N580" s="21"/>
      <c r="P580" s="22"/>
      <c r="S580" s="21"/>
    </row>
    <row r="581" spans="1:19" x14ac:dyDescent="0.35">
      <c r="A581" s="25">
        <v>45303</v>
      </c>
      <c r="B581" s="24">
        <v>30913.19</v>
      </c>
      <c r="C581" s="24">
        <v>30913.19</v>
      </c>
      <c r="D581" s="23">
        <f t="shared" si="9"/>
        <v>8.2323411211325959E-3</v>
      </c>
      <c r="F581" s="22"/>
      <c r="I581" s="21"/>
      <c r="K581" s="22"/>
      <c r="L581" s="24"/>
      <c r="M581" s="24"/>
      <c r="N581" s="21"/>
      <c r="P581" s="22"/>
      <c r="S581" s="21"/>
    </row>
    <row r="582" spans="1:19" x14ac:dyDescent="0.35">
      <c r="A582" s="25">
        <v>45306</v>
      </c>
      <c r="B582" s="24">
        <v>31132.31</v>
      </c>
      <c r="C582" s="24">
        <v>31132.31</v>
      </c>
      <c r="D582" s="23">
        <f t="shared" si="9"/>
        <v>7.0882364453491416E-3</v>
      </c>
      <c r="F582" s="22"/>
      <c r="I582" s="21"/>
      <c r="K582" s="22"/>
      <c r="L582" s="24"/>
      <c r="M582" s="24"/>
      <c r="N582" s="21"/>
      <c r="P582" s="22"/>
      <c r="S582" s="21"/>
    </row>
    <row r="583" spans="1:19" x14ac:dyDescent="0.35">
      <c r="A583" s="25">
        <v>45307</v>
      </c>
      <c r="B583" s="24">
        <v>31041.51</v>
      </c>
      <c r="C583" s="24">
        <v>31041.51</v>
      </c>
      <c r="D583" s="23">
        <f t="shared" si="9"/>
        <v>-2.9165840890060168E-3</v>
      </c>
      <c r="F583" s="22"/>
      <c r="I583" s="21"/>
      <c r="K583" s="22"/>
      <c r="L583" s="24"/>
      <c r="M583" s="24"/>
      <c r="N583" s="21"/>
      <c r="P583" s="22"/>
      <c r="S583" s="21"/>
    </row>
    <row r="584" spans="1:19" x14ac:dyDescent="0.35">
      <c r="A584" s="25">
        <v>45308</v>
      </c>
      <c r="B584" s="24">
        <v>30509.29</v>
      </c>
      <c r="C584" s="24">
        <v>30509.29</v>
      </c>
      <c r="D584" s="23">
        <f t="shared" si="9"/>
        <v>-1.7145428814513131E-2</v>
      </c>
      <c r="F584" s="22"/>
      <c r="I584" s="21"/>
      <c r="K584" s="22"/>
      <c r="L584" s="24"/>
      <c r="M584" s="24"/>
      <c r="N584" s="21"/>
      <c r="P584" s="22"/>
      <c r="S584" s="21"/>
    </row>
    <row r="585" spans="1:19" x14ac:dyDescent="0.35">
      <c r="A585" s="25">
        <v>45309</v>
      </c>
      <c r="B585" s="24">
        <v>30395.29</v>
      </c>
      <c r="C585" s="24">
        <v>30395.29</v>
      </c>
      <c r="D585" s="23">
        <f t="shared" si="9"/>
        <v>-3.7365667965396769E-3</v>
      </c>
      <c r="F585" s="22"/>
      <c r="I585" s="21"/>
      <c r="K585" s="22"/>
      <c r="L585" s="24"/>
      <c r="M585" s="24"/>
      <c r="N585" s="21"/>
      <c r="P585" s="22"/>
      <c r="S585" s="21"/>
    </row>
    <row r="586" spans="1:19" x14ac:dyDescent="0.35">
      <c r="A586" s="25">
        <v>45310</v>
      </c>
      <c r="B586" s="24">
        <v>30703.17</v>
      </c>
      <c r="C586" s="24">
        <v>30703.17</v>
      </c>
      <c r="D586" s="23">
        <f t="shared" si="9"/>
        <v>1.0129200938697982E-2</v>
      </c>
      <c r="F586" s="22"/>
      <c r="I586" s="21"/>
      <c r="K586" s="22"/>
      <c r="L586" s="24"/>
      <c r="M586" s="24"/>
      <c r="N586" s="21"/>
      <c r="P586" s="22"/>
      <c r="S586" s="21"/>
    </row>
    <row r="587" spans="1:19" x14ac:dyDescent="0.35">
      <c r="A587" s="25">
        <v>45311</v>
      </c>
      <c r="B587" s="24">
        <v>30696.16</v>
      </c>
      <c r="C587" s="24">
        <v>30696.16</v>
      </c>
      <c r="D587" s="23">
        <f t="shared" si="9"/>
        <v>-2.2831518699855421E-4</v>
      </c>
      <c r="F587" s="22"/>
      <c r="I587" s="21"/>
      <c r="K587" s="22"/>
      <c r="L587" s="24"/>
      <c r="M587" s="24"/>
      <c r="N587" s="21"/>
      <c r="P587" s="22"/>
      <c r="S587" s="21"/>
    </row>
    <row r="588" spans="1:19" x14ac:dyDescent="0.35">
      <c r="A588" s="25">
        <v>45315</v>
      </c>
      <c r="B588" s="24">
        <v>30460.23</v>
      </c>
      <c r="C588" s="24">
        <v>30460.23</v>
      </c>
      <c r="D588" s="23">
        <f t="shared" si="9"/>
        <v>-7.6859776597463748E-3</v>
      </c>
      <c r="F588" s="22"/>
      <c r="I588" s="21"/>
      <c r="K588" s="22"/>
      <c r="L588" s="24"/>
      <c r="M588" s="24"/>
      <c r="N588" s="21"/>
      <c r="P588" s="22"/>
      <c r="S588" s="21"/>
    </row>
    <row r="589" spans="1:19" x14ac:dyDescent="0.35">
      <c r="A589" s="25">
        <v>45316</v>
      </c>
      <c r="B589" s="24">
        <v>30369.59</v>
      </c>
      <c r="C589" s="24">
        <v>30369.59</v>
      </c>
      <c r="D589" s="23">
        <f t="shared" si="9"/>
        <v>-2.9756833746823128E-3</v>
      </c>
      <c r="F589" s="22"/>
      <c r="I589" s="21"/>
      <c r="K589" s="22"/>
      <c r="L589" s="24"/>
      <c r="M589" s="24"/>
      <c r="N589" s="21"/>
      <c r="P589" s="22"/>
      <c r="S589" s="21"/>
    </row>
    <row r="590" spans="1:19" x14ac:dyDescent="0.35">
      <c r="A590" s="25">
        <v>45320</v>
      </c>
      <c r="B590" s="24">
        <v>30868.87</v>
      </c>
      <c r="C590" s="24">
        <v>30868.87</v>
      </c>
      <c r="D590" s="23">
        <f t="shared" si="9"/>
        <v>1.6440129748211907E-2</v>
      </c>
      <c r="F590" s="22"/>
      <c r="I590" s="21"/>
      <c r="K590" s="22"/>
      <c r="L590" s="24"/>
      <c r="M590" s="24"/>
      <c r="N590" s="21"/>
      <c r="P590" s="22"/>
      <c r="S590" s="21"/>
    </row>
    <row r="591" spans="1:19" x14ac:dyDescent="0.35">
      <c r="A591" s="25">
        <v>45321</v>
      </c>
      <c r="B591" s="24">
        <v>30654.14</v>
      </c>
      <c r="C591" s="24">
        <v>30654.14</v>
      </c>
      <c r="D591" s="23">
        <f t="shared" si="9"/>
        <v>-6.9561989149586482E-3</v>
      </c>
      <c r="F591" s="22"/>
      <c r="I591" s="21"/>
      <c r="K591" s="22"/>
      <c r="L591" s="24"/>
      <c r="M591" s="24"/>
      <c r="N591" s="21"/>
      <c r="P591" s="22"/>
      <c r="S591" s="21"/>
    </row>
    <row r="592" spans="1:19" x14ac:dyDescent="0.35">
      <c r="A592" s="25">
        <v>45322</v>
      </c>
      <c r="B592" s="24">
        <v>31011.17</v>
      </c>
      <c r="C592" s="24">
        <v>31011.17</v>
      </c>
      <c r="D592" s="23">
        <f t="shared" si="9"/>
        <v>1.164704017140911E-2</v>
      </c>
      <c r="F592" s="22"/>
      <c r="I592" s="21"/>
      <c r="K592" s="22"/>
      <c r="L592" s="24"/>
      <c r="M592" s="24"/>
      <c r="N592" s="21"/>
      <c r="P592" s="22"/>
      <c r="S592" s="21"/>
    </row>
    <row r="593" spans="1:19" x14ac:dyDescent="0.35">
      <c r="A593" s="25">
        <v>45323</v>
      </c>
      <c r="B593" s="24">
        <v>30972.560000000001</v>
      </c>
      <c r="C593" s="24">
        <v>30972.560000000001</v>
      </c>
      <c r="D593" s="23">
        <f t="shared" si="9"/>
        <v>-1.2450352566509726E-3</v>
      </c>
      <c r="F593" s="22"/>
      <c r="I593" s="21"/>
      <c r="K593" s="22"/>
      <c r="L593" s="24"/>
      <c r="M593" s="24"/>
      <c r="N593" s="21"/>
      <c r="P593" s="22"/>
      <c r="S593" s="21"/>
    </row>
    <row r="594" spans="1:19" x14ac:dyDescent="0.35">
      <c r="A594" s="25">
        <v>45324</v>
      </c>
      <c r="B594" s="24">
        <v>31181.94</v>
      </c>
      <c r="C594" s="24">
        <v>31181.94</v>
      </c>
      <c r="D594" s="23">
        <f t="shared" si="9"/>
        <v>6.7601773957334287E-3</v>
      </c>
      <c r="F594" s="22"/>
      <c r="I594" s="21"/>
      <c r="K594" s="22"/>
      <c r="L594" s="24"/>
      <c r="M594" s="24"/>
      <c r="N594" s="21"/>
      <c r="P594" s="22"/>
      <c r="S594" s="21"/>
    </row>
    <row r="595" spans="1:19" x14ac:dyDescent="0.35">
      <c r="A595" s="25">
        <v>45327</v>
      </c>
      <c r="B595" s="24">
        <v>31092.89</v>
      </c>
      <c r="C595" s="24">
        <v>31092.89</v>
      </c>
      <c r="D595" s="23">
        <f t="shared" si="9"/>
        <v>-2.8558197469432394E-3</v>
      </c>
      <c r="F595" s="22"/>
      <c r="I595" s="21"/>
      <c r="K595" s="22"/>
      <c r="L595" s="24"/>
      <c r="M595" s="24"/>
      <c r="N595" s="21"/>
      <c r="P595" s="22"/>
      <c r="S595" s="21"/>
    </row>
    <row r="596" spans="1:19" x14ac:dyDescent="0.35">
      <c r="A596" s="25">
        <v>45328</v>
      </c>
      <c r="B596" s="24">
        <v>31378.02</v>
      </c>
      <c r="C596" s="24">
        <v>31378.02</v>
      </c>
      <c r="D596" s="23">
        <f t="shared" si="9"/>
        <v>9.1702636840770031E-3</v>
      </c>
      <c r="F596" s="22"/>
      <c r="I596" s="21"/>
      <c r="K596" s="22"/>
      <c r="L596" s="24"/>
      <c r="M596" s="24"/>
      <c r="N596" s="21"/>
      <c r="P596" s="22"/>
      <c r="S596" s="21"/>
    </row>
    <row r="597" spans="1:19" x14ac:dyDescent="0.35">
      <c r="A597" s="25">
        <v>45329</v>
      </c>
      <c r="B597" s="24">
        <v>31497.14</v>
      </c>
      <c r="C597" s="24">
        <v>31497.14</v>
      </c>
      <c r="D597" s="23">
        <f t="shared" si="9"/>
        <v>3.7962879748307567E-3</v>
      </c>
      <c r="F597" s="22"/>
      <c r="I597" s="21"/>
      <c r="K597" s="22"/>
      <c r="L597" s="24"/>
      <c r="M597" s="24"/>
      <c r="N597" s="21"/>
      <c r="P597" s="22"/>
      <c r="S597" s="21"/>
    </row>
    <row r="598" spans="1:19" x14ac:dyDescent="0.35">
      <c r="A598" s="25">
        <v>45330</v>
      </c>
      <c r="B598" s="24">
        <v>31317.58</v>
      </c>
      <c r="C598" s="24">
        <v>31317.58</v>
      </c>
      <c r="D598" s="23">
        <f t="shared" si="9"/>
        <v>-5.7008350599450511E-3</v>
      </c>
      <c r="F598" s="22"/>
      <c r="I598" s="21"/>
      <c r="K598" s="22"/>
      <c r="L598" s="24"/>
      <c r="M598" s="24"/>
      <c r="N598" s="21"/>
      <c r="P598" s="22"/>
      <c r="S598" s="21"/>
    </row>
    <row r="599" spans="1:19" x14ac:dyDescent="0.35">
      <c r="A599" s="25">
        <v>45331</v>
      </c>
      <c r="B599" s="24">
        <v>31279.68</v>
      </c>
      <c r="C599" s="24">
        <v>31279.68</v>
      </c>
      <c r="D599" s="23">
        <f t="shared" si="9"/>
        <v>-1.2101829068530024E-3</v>
      </c>
      <c r="F599" s="22"/>
      <c r="I599" s="21"/>
      <c r="K599" s="22"/>
      <c r="L599" s="24"/>
      <c r="M599" s="24"/>
      <c r="N599" s="21"/>
      <c r="P599" s="22"/>
      <c r="S599" s="21"/>
    </row>
    <row r="600" spans="1:19" x14ac:dyDescent="0.35">
      <c r="A600" s="25">
        <v>45334</v>
      </c>
      <c r="B600" s="24">
        <v>30831.81</v>
      </c>
      <c r="C600" s="24">
        <v>30831.81</v>
      </c>
      <c r="D600" s="23">
        <f t="shared" si="9"/>
        <v>-1.4318241107325873E-2</v>
      </c>
      <c r="F600" s="22"/>
      <c r="I600" s="21"/>
      <c r="K600" s="22"/>
      <c r="L600" s="24"/>
      <c r="M600" s="24"/>
      <c r="N600" s="21"/>
      <c r="P600" s="22"/>
      <c r="S600" s="21"/>
    </row>
    <row r="601" spans="1:19" x14ac:dyDescent="0.35">
      <c r="A601" s="25">
        <v>45335</v>
      </c>
      <c r="B601" s="24">
        <v>31000.76</v>
      </c>
      <c r="C601" s="24">
        <v>31000.76</v>
      </c>
      <c r="D601" s="23">
        <f t="shared" si="9"/>
        <v>5.4797301877508031E-3</v>
      </c>
      <c r="F601" s="22"/>
      <c r="I601" s="21"/>
      <c r="K601" s="22"/>
      <c r="L601" s="24"/>
      <c r="M601" s="24"/>
      <c r="N601" s="21"/>
      <c r="P601" s="22"/>
      <c r="S601" s="21"/>
    </row>
    <row r="602" spans="1:19" x14ac:dyDescent="0.35">
      <c r="A602" s="25">
        <v>45336</v>
      </c>
      <c r="B602" s="24">
        <v>31219.360000000001</v>
      </c>
      <c r="C602" s="24">
        <v>31219.360000000001</v>
      </c>
      <c r="D602" s="23">
        <f t="shared" si="9"/>
        <v>7.0514400292122576E-3</v>
      </c>
      <c r="F602" s="22"/>
      <c r="I602" s="21"/>
      <c r="K602" s="22"/>
      <c r="L602" s="24"/>
      <c r="M602" s="24"/>
      <c r="N602" s="21"/>
      <c r="P602" s="22"/>
      <c r="S602" s="21"/>
    </row>
    <row r="603" spans="1:19" x14ac:dyDescent="0.35">
      <c r="A603" s="25">
        <v>45337</v>
      </c>
      <c r="B603" s="24">
        <v>31403.73</v>
      </c>
      <c r="C603" s="24">
        <v>31403.73</v>
      </c>
      <c r="D603" s="23">
        <f t="shared" si="9"/>
        <v>5.9056303524479357E-3</v>
      </c>
      <c r="F603" s="22"/>
      <c r="I603" s="21"/>
      <c r="K603" s="22"/>
      <c r="L603" s="24"/>
      <c r="M603" s="24"/>
      <c r="N603" s="21"/>
      <c r="P603" s="22"/>
      <c r="S603" s="21"/>
    </row>
    <row r="604" spans="1:19" x14ac:dyDescent="0.35">
      <c r="A604" s="25">
        <v>45338</v>
      </c>
      <c r="B604" s="24">
        <v>31609.27</v>
      </c>
      <c r="C604" s="24">
        <v>31609.27</v>
      </c>
      <c r="D604" s="23">
        <f t="shared" si="9"/>
        <v>6.5450823835258064E-3</v>
      </c>
      <c r="F604" s="22"/>
      <c r="I604" s="21"/>
      <c r="K604" s="22"/>
      <c r="L604" s="24"/>
      <c r="M604" s="24"/>
      <c r="N604" s="21"/>
      <c r="P604" s="22"/>
      <c r="S604" s="21"/>
    </row>
    <row r="605" spans="1:19" x14ac:dyDescent="0.35">
      <c r="A605" s="25">
        <v>45341</v>
      </c>
      <c r="B605" s="24">
        <v>31728.7</v>
      </c>
      <c r="C605" s="24">
        <v>31728.7</v>
      </c>
      <c r="D605" s="23">
        <f t="shared" si="9"/>
        <v>3.7783219922510164E-3</v>
      </c>
      <c r="F605" s="22"/>
      <c r="I605" s="21"/>
      <c r="K605" s="22"/>
      <c r="L605" s="24"/>
      <c r="M605" s="24"/>
      <c r="N605" s="21"/>
      <c r="P605" s="22"/>
      <c r="S605" s="21"/>
    </row>
    <row r="606" spans="1:19" x14ac:dyDescent="0.35">
      <c r="A606" s="25">
        <v>45342</v>
      </c>
      <c r="B606" s="24">
        <v>31781.65</v>
      </c>
      <c r="C606" s="24">
        <v>31781.65</v>
      </c>
      <c r="D606" s="23">
        <f t="shared" si="9"/>
        <v>1.6688361010694017E-3</v>
      </c>
      <c r="F606" s="22"/>
      <c r="I606" s="21"/>
      <c r="K606" s="22"/>
      <c r="L606" s="24"/>
      <c r="M606" s="24"/>
      <c r="N606" s="21"/>
      <c r="P606" s="22"/>
      <c r="S606" s="21"/>
    </row>
    <row r="607" spans="1:19" x14ac:dyDescent="0.35">
      <c r="A607" s="25">
        <v>45343</v>
      </c>
      <c r="B607" s="24">
        <v>31557.54</v>
      </c>
      <c r="C607" s="24">
        <v>31557.54</v>
      </c>
      <c r="D607" s="23">
        <f t="shared" si="9"/>
        <v>-7.0515533334487221E-3</v>
      </c>
      <c r="F607" s="22"/>
      <c r="I607" s="21"/>
      <c r="K607" s="22"/>
      <c r="L607" s="24"/>
      <c r="M607" s="24"/>
      <c r="N607" s="21"/>
      <c r="P607" s="22"/>
      <c r="S607" s="21"/>
    </row>
    <row r="608" spans="1:19" x14ac:dyDescent="0.35">
      <c r="A608" s="25">
        <v>45344</v>
      </c>
      <c r="B608" s="24">
        <v>31802.39</v>
      </c>
      <c r="C608" s="24">
        <v>31802.39</v>
      </c>
      <c r="D608" s="23">
        <f t="shared" si="9"/>
        <v>7.7588430530389418E-3</v>
      </c>
      <c r="F608" s="22"/>
      <c r="I608" s="21"/>
      <c r="K608" s="22"/>
      <c r="L608" s="24"/>
      <c r="M608" s="24"/>
      <c r="N608" s="21"/>
      <c r="P608" s="22"/>
      <c r="S608" s="21"/>
    </row>
    <row r="609" spans="1:19" x14ac:dyDescent="0.35">
      <c r="A609" s="25">
        <v>45345</v>
      </c>
      <c r="B609" s="24">
        <v>31849.62</v>
      </c>
      <c r="C609" s="24">
        <v>31849.62</v>
      </c>
      <c r="D609" s="23">
        <f t="shared" si="9"/>
        <v>1.4851085091403371E-3</v>
      </c>
      <c r="F609" s="22"/>
      <c r="I609" s="21"/>
      <c r="K609" s="22"/>
      <c r="L609" s="24"/>
      <c r="M609" s="24"/>
      <c r="N609" s="21"/>
      <c r="P609" s="22"/>
      <c r="S609" s="21"/>
    </row>
    <row r="610" spans="1:19" x14ac:dyDescent="0.35">
      <c r="A610" s="25">
        <v>45348</v>
      </c>
      <c r="B610" s="24">
        <v>31759.23</v>
      </c>
      <c r="C610" s="24">
        <v>31759.23</v>
      </c>
      <c r="D610" s="23">
        <f t="shared" si="9"/>
        <v>-2.8380244411079134E-3</v>
      </c>
      <c r="F610" s="22"/>
      <c r="I610" s="21"/>
      <c r="K610" s="22"/>
      <c r="L610" s="24"/>
      <c r="M610" s="24"/>
      <c r="N610" s="21"/>
      <c r="P610" s="22"/>
      <c r="S610" s="21"/>
    </row>
    <row r="611" spans="1:19" x14ac:dyDescent="0.35">
      <c r="A611" s="25">
        <v>45349</v>
      </c>
      <c r="B611" s="24">
        <v>31817.3</v>
      </c>
      <c r="C611" s="24">
        <v>31817.3</v>
      </c>
      <c r="D611" s="23">
        <f t="shared" si="9"/>
        <v>1.828444833202811E-3</v>
      </c>
      <c r="F611" s="22"/>
      <c r="I611" s="21"/>
      <c r="K611" s="22"/>
      <c r="L611" s="24"/>
      <c r="M611" s="24"/>
      <c r="N611" s="21"/>
      <c r="P611" s="22"/>
      <c r="S611" s="21"/>
    </row>
    <row r="612" spans="1:19" x14ac:dyDescent="0.35">
      <c r="A612" s="25">
        <v>45350</v>
      </c>
      <c r="B612" s="24">
        <v>31390.09</v>
      </c>
      <c r="C612" s="24">
        <v>31390.09</v>
      </c>
      <c r="D612" s="23">
        <f t="shared" si="9"/>
        <v>-1.3426972118941555E-2</v>
      </c>
      <c r="F612" s="22"/>
      <c r="I612" s="21"/>
      <c r="K612" s="22"/>
      <c r="L612" s="24"/>
      <c r="M612" s="24"/>
      <c r="N612" s="21"/>
      <c r="P612" s="22"/>
      <c r="S612" s="21"/>
    </row>
    <row r="613" spans="1:19" x14ac:dyDescent="0.35">
      <c r="A613" s="25">
        <v>45351</v>
      </c>
      <c r="B613" s="24">
        <v>31499.31</v>
      </c>
      <c r="C613" s="24">
        <v>31499.31</v>
      </c>
      <c r="D613" s="23">
        <f t="shared" si="9"/>
        <v>3.4794420786943003E-3</v>
      </c>
      <c r="F613" s="22"/>
      <c r="I613" s="21"/>
      <c r="K613" s="22"/>
      <c r="L613" s="24"/>
      <c r="M613" s="24"/>
      <c r="N613" s="21"/>
      <c r="P613" s="22"/>
      <c r="S613" s="21"/>
    </row>
    <row r="614" spans="1:19" x14ac:dyDescent="0.35">
      <c r="A614" s="25">
        <v>45352</v>
      </c>
      <c r="B614" s="24">
        <v>31906.58</v>
      </c>
      <c r="C614" s="24">
        <v>31906.58</v>
      </c>
      <c r="D614" s="23">
        <f t="shared" si="9"/>
        <v>1.2929489566596869E-2</v>
      </c>
      <c r="F614" s="22"/>
      <c r="I614" s="21"/>
      <c r="K614" s="22"/>
      <c r="L614" s="24"/>
      <c r="M614" s="24"/>
      <c r="N614" s="21"/>
      <c r="P614" s="22"/>
      <c r="S614" s="21"/>
    </row>
    <row r="615" spans="1:19" x14ac:dyDescent="0.35">
      <c r="A615" s="25">
        <v>45353</v>
      </c>
      <c r="B615" s="24">
        <v>32018.73</v>
      </c>
      <c r="C615" s="24">
        <v>32018.73</v>
      </c>
      <c r="D615" s="23">
        <f t="shared" si="9"/>
        <v>3.5149489541028154E-3</v>
      </c>
      <c r="F615" s="22"/>
      <c r="I615" s="21"/>
      <c r="K615" s="22"/>
      <c r="L615" s="24"/>
      <c r="M615" s="24"/>
      <c r="N615" s="21"/>
      <c r="P615" s="22"/>
      <c r="S615" s="21"/>
    </row>
    <row r="616" spans="1:19" x14ac:dyDescent="0.35">
      <c r="A616" s="25">
        <v>45355</v>
      </c>
      <c r="B616" s="24">
        <v>32035.51</v>
      </c>
      <c r="C616" s="24">
        <v>32035.51</v>
      </c>
      <c r="D616" s="23">
        <f t="shared" si="9"/>
        <v>5.2406825629869877E-4</v>
      </c>
      <c r="F616" s="22"/>
      <c r="I616" s="21"/>
      <c r="K616" s="22"/>
      <c r="L616" s="24"/>
      <c r="M616" s="24"/>
      <c r="N616" s="21"/>
      <c r="P616" s="22"/>
      <c r="S616" s="21"/>
    </row>
    <row r="617" spans="1:19" x14ac:dyDescent="0.35">
      <c r="A617" s="25">
        <v>45356</v>
      </c>
      <c r="B617" s="24">
        <v>31957.1</v>
      </c>
      <c r="C617" s="24">
        <v>31957.1</v>
      </c>
      <c r="D617" s="23">
        <f t="shared" si="9"/>
        <v>-2.4475964328334356E-3</v>
      </c>
      <c r="F617" s="22"/>
      <c r="I617" s="21"/>
      <c r="K617" s="22"/>
      <c r="L617" s="24"/>
      <c r="M617" s="24"/>
      <c r="N617" s="21"/>
      <c r="P617" s="22"/>
      <c r="S617" s="21"/>
    </row>
    <row r="618" spans="1:19" x14ac:dyDescent="0.35">
      <c r="A618" s="25">
        <v>45357</v>
      </c>
      <c r="B618" s="24">
        <v>31953.91</v>
      </c>
      <c r="C618" s="24">
        <v>31953.91</v>
      </c>
      <c r="D618" s="23">
        <f t="shared" si="9"/>
        <v>-9.9821322961053739E-5</v>
      </c>
      <c r="F618" s="22"/>
      <c r="I618" s="21"/>
      <c r="K618" s="22"/>
      <c r="L618" s="24"/>
      <c r="M618" s="24"/>
      <c r="N618" s="21"/>
      <c r="P618" s="22"/>
      <c r="S618" s="21"/>
    </row>
    <row r="619" spans="1:19" x14ac:dyDescent="0.35">
      <c r="A619" s="25">
        <v>45358</v>
      </c>
      <c r="B619" s="24">
        <v>32040.62</v>
      </c>
      <c r="C619" s="24">
        <v>32040.62</v>
      </c>
      <c r="D619" s="23">
        <f t="shared" si="9"/>
        <v>2.7135959261323302E-3</v>
      </c>
      <c r="F619" s="22"/>
      <c r="I619" s="21"/>
      <c r="K619" s="22"/>
      <c r="L619" s="24"/>
      <c r="M619" s="24"/>
      <c r="N619" s="21"/>
      <c r="P619" s="22"/>
      <c r="S619" s="21"/>
    </row>
    <row r="620" spans="1:19" x14ac:dyDescent="0.35">
      <c r="A620" s="25">
        <v>45362</v>
      </c>
      <c r="B620" s="24">
        <v>31811.65</v>
      </c>
      <c r="C620" s="24">
        <v>31811.65</v>
      </c>
      <c r="D620" s="23">
        <f t="shared" si="9"/>
        <v>-7.1462412400258649E-3</v>
      </c>
      <c r="F620" s="22"/>
      <c r="I620" s="21"/>
      <c r="K620" s="22"/>
      <c r="L620" s="24"/>
      <c r="M620" s="24"/>
      <c r="N620" s="21"/>
      <c r="P620" s="22"/>
      <c r="S620" s="21"/>
    </row>
    <row r="621" spans="1:19" x14ac:dyDescent="0.35">
      <c r="A621" s="25">
        <v>45363</v>
      </c>
      <c r="B621" s="24">
        <v>31627.67</v>
      </c>
      <c r="C621" s="24">
        <v>31627.67</v>
      </c>
      <c r="D621" s="23">
        <f t="shared" si="9"/>
        <v>-5.7834158240771287E-3</v>
      </c>
      <c r="F621" s="22"/>
      <c r="I621" s="21"/>
      <c r="K621" s="22"/>
      <c r="L621" s="24"/>
      <c r="M621" s="24"/>
      <c r="N621" s="21"/>
      <c r="P621" s="22"/>
      <c r="S621" s="21"/>
    </row>
    <row r="622" spans="1:19" x14ac:dyDescent="0.35">
      <c r="A622" s="25">
        <v>45364</v>
      </c>
      <c r="B622" s="24">
        <v>30804.35</v>
      </c>
      <c r="C622" s="24">
        <v>30804.35</v>
      </c>
      <c r="D622" s="23">
        <f t="shared" si="9"/>
        <v>-2.6031636222333159E-2</v>
      </c>
      <c r="F622" s="22"/>
      <c r="I622" s="21"/>
      <c r="K622" s="22"/>
      <c r="L622" s="24"/>
      <c r="M622" s="24"/>
      <c r="N622" s="21"/>
      <c r="P622" s="22"/>
      <c r="S622" s="21"/>
    </row>
    <row r="623" spans="1:19" x14ac:dyDescent="0.35">
      <c r="A623" s="25">
        <v>45365</v>
      </c>
      <c r="B623" s="24">
        <v>31227.759999999998</v>
      </c>
      <c r="C623" s="24">
        <v>31227.759999999998</v>
      </c>
      <c r="D623" s="23">
        <f t="shared" si="9"/>
        <v>1.3745136644662195E-2</v>
      </c>
      <c r="F623" s="22"/>
      <c r="I623" s="21"/>
      <c r="K623" s="22"/>
      <c r="L623" s="24"/>
      <c r="M623" s="24"/>
      <c r="N623" s="21"/>
      <c r="P623" s="22"/>
      <c r="S623" s="21"/>
    </row>
    <row r="624" spans="1:19" x14ac:dyDescent="0.35">
      <c r="A624" s="25">
        <v>45366</v>
      </c>
      <c r="B624" s="24">
        <v>31085.07</v>
      </c>
      <c r="C624" s="24">
        <v>31085.07</v>
      </c>
      <c r="D624" s="23">
        <f t="shared" si="9"/>
        <v>-4.5693319021280652E-3</v>
      </c>
      <c r="F624" s="22"/>
      <c r="I624" s="21"/>
      <c r="K624" s="22"/>
      <c r="L624" s="24"/>
      <c r="M624" s="24"/>
      <c r="N624" s="21"/>
      <c r="P624" s="22"/>
      <c r="S624" s="21"/>
    </row>
    <row r="625" spans="1:19" x14ac:dyDescent="0.35">
      <c r="A625" s="25">
        <v>45367</v>
      </c>
      <c r="B625" s="24">
        <v>32026.71</v>
      </c>
      <c r="C625" s="24">
        <v>32026.71</v>
      </c>
      <c r="D625" s="23">
        <f t="shared" si="9"/>
        <v>3.0292355783660754E-2</v>
      </c>
      <c r="F625" s="22"/>
      <c r="I625" s="21"/>
      <c r="K625" s="22"/>
      <c r="L625" s="24"/>
      <c r="M625" s="24"/>
      <c r="N625" s="21"/>
      <c r="P625" s="22"/>
      <c r="S625" s="21"/>
    </row>
    <row r="626" spans="1:19" x14ac:dyDescent="0.35">
      <c r="A626" s="25">
        <v>45369</v>
      </c>
      <c r="B626" s="24">
        <v>31113.75</v>
      </c>
      <c r="C626" s="24">
        <v>31113.75</v>
      </c>
      <c r="D626" s="23">
        <f t="shared" si="9"/>
        <v>-2.8506206225990718E-2</v>
      </c>
      <c r="F626" s="22"/>
      <c r="I626" s="21"/>
      <c r="K626" s="22"/>
      <c r="L626" s="24"/>
      <c r="M626" s="24"/>
      <c r="N626" s="21"/>
      <c r="P626" s="22"/>
      <c r="S626" s="21"/>
    </row>
    <row r="627" spans="1:19" x14ac:dyDescent="0.35">
      <c r="A627" s="25">
        <v>45370</v>
      </c>
      <c r="B627" s="24">
        <v>30749.48</v>
      </c>
      <c r="C627" s="24">
        <v>30749.48</v>
      </c>
      <c r="D627" s="23">
        <f t="shared" si="9"/>
        <v>-1.1707685508818462E-2</v>
      </c>
      <c r="F627" s="22"/>
      <c r="I627" s="21"/>
      <c r="K627" s="22"/>
      <c r="L627" s="24"/>
      <c r="M627" s="24"/>
      <c r="N627" s="21"/>
      <c r="P627" s="22"/>
      <c r="S627" s="21"/>
    </row>
    <row r="628" spans="1:19" x14ac:dyDescent="0.35">
      <c r="A628" s="25">
        <v>45371</v>
      </c>
      <c r="B628" s="24">
        <v>30783.19</v>
      </c>
      <c r="C628" s="24">
        <v>30783.19</v>
      </c>
      <c r="D628" s="23">
        <f t="shared" si="9"/>
        <v>1.096278701298335E-3</v>
      </c>
      <c r="F628" s="22"/>
      <c r="I628" s="21"/>
      <c r="K628" s="22"/>
      <c r="L628" s="24"/>
      <c r="M628" s="24"/>
      <c r="N628" s="21"/>
      <c r="P628" s="22"/>
      <c r="S628" s="21"/>
    </row>
    <row r="629" spans="1:19" x14ac:dyDescent="0.35">
      <c r="A629" s="25">
        <v>45372</v>
      </c>
      <c r="B629" s="24">
        <v>31199.42</v>
      </c>
      <c r="C629" s="24">
        <v>31199.42</v>
      </c>
      <c r="D629" s="23">
        <f t="shared" si="9"/>
        <v>1.3521340705755303E-2</v>
      </c>
      <c r="F629" s="22"/>
      <c r="I629" s="21"/>
      <c r="K629" s="22"/>
      <c r="L629" s="24"/>
      <c r="M629" s="24"/>
      <c r="N629" s="21"/>
      <c r="P629" s="22"/>
      <c r="S629" s="21"/>
    </row>
    <row r="630" spans="1:19" x14ac:dyDescent="0.35">
      <c r="A630" s="25">
        <v>45373</v>
      </c>
      <c r="B630" s="24">
        <v>31353.21</v>
      </c>
      <c r="C630" s="24">
        <v>31353.21</v>
      </c>
      <c r="D630" s="23">
        <f t="shared" si="9"/>
        <v>4.9292583003145854E-3</v>
      </c>
      <c r="F630" s="22"/>
      <c r="I630" s="21"/>
      <c r="K630" s="22"/>
      <c r="L630" s="24"/>
      <c r="M630" s="24"/>
      <c r="N630" s="21"/>
      <c r="P630" s="22"/>
      <c r="S630" s="21"/>
    </row>
    <row r="631" spans="1:19" x14ac:dyDescent="0.35">
      <c r="A631" s="25">
        <v>45378</v>
      </c>
      <c r="B631" s="24">
        <v>31499.32</v>
      </c>
      <c r="C631" s="24">
        <v>31499.32</v>
      </c>
      <c r="D631" s="23">
        <f t="shared" si="9"/>
        <v>4.6601288990824408E-3</v>
      </c>
      <c r="F631" s="22"/>
      <c r="I631" s="21"/>
      <c r="K631" s="22"/>
      <c r="L631" s="24"/>
      <c r="M631" s="24"/>
      <c r="N631" s="21"/>
      <c r="P631" s="22"/>
      <c r="S631" s="21"/>
    </row>
    <row r="632" spans="1:19" x14ac:dyDescent="0.35">
      <c r="A632" s="25">
        <v>45384</v>
      </c>
      <c r="B632" s="24">
        <v>32256.66</v>
      </c>
      <c r="C632" s="24">
        <v>32256.66</v>
      </c>
      <c r="D632" s="23">
        <f t="shared" si="9"/>
        <v>2.4043058707299083E-2</v>
      </c>
      <c r="F632" s="22"/>
      <c r="I632" s="21"/>
      <c r="K632" s="22"/>
      <c r="L632" s="24"/>
      <c r="M632" s="24"/>
      <c r="N632" s="21"/>
      <c r="P632" s="22"/>
      <c r="S632" s="21"/>
    </row>
    <row r="633" spans="1:19" x14ac:dyDescent="0.35">
      <c r="A633" s="25">
        <v>45385</v>
      </c>
      <c r="B633" s="24">
        <v>32313.03</v>
      </c>
      <c r="C633" s="24">
        <v>32313.03</v>
      </c>
      <c r="D633" s="23">
        <f t="shared" si="9"/>
        <v>1.7475460881566467E-3</v>
      </c>
      <c r="F633" s="22"/>
      <c r="I633" s="21"/>
      <c r="K633" s="22"/>
      <c r="L633" s="24"/>
      <c r="M633" s="24"/>
      <c r="N633" s="21"/>
      <c r="P633" s="22"/>
      <c r="S633" s="21"/>
    </row>
    <row r="634" spans="1:19" x14ac:dyDescent="0.35">
      <c r="A634" s="25">
        <v>45386</v>
      </c>
      <c r="B634" s="24">
        <v>32405.59</v>
      </c>
      <c r="C634" s="24">
        <v>32405.59</v>
      </c>
      <c r="D634" s="23">
        <f t="shared" si="9"/>
        <v>2.8644791280793324E-3</v>
      </c>
      <c r="F634" s="22"/>
      <c r="I634" s="21"/>
      <c r="K634" s="22"/>
      <c r="L634" s="24"/>
      <c r="M634" s="24"/>
      <c r="N634" s="21"/>
      <c r="P634" s="22"/>
      <c r="S634" s="21"/>
    </row>
    <row r="635" spans="1:19" x14ac:dyDescent="0.35">
      <c r="A635" s="25">
        <v>45387</v>
      </c>
      <c r="B635" s="24">
        <v>32484.71</v>
      </c>
      <c r="C635" s="24">
        <v>32484.71</v>
      </c>
      <c r="D635" s="23">
        <f t="shared" si="9"/>
        <v>2.4415540652090884E-3</v>
      </c>
      <c r="F635" s="22"/>
      <c r="I635" s="21"/>
      <c r="K635" s="22"/>
      <c r="L635" s="24"/>
      <c r="M635" s="24"/>
      <c r="N635" s="21"/>
      <c r="P635" s="22"/>
      <c r="S635" s="21"/>
    </row>
    <row r="636" spans="1:19" x14ac:dyDescent="0.35">
      <c r="A636" s="25">
        <v>45390</v>
      </c>
      <c r="B636" s="24">
        <v>32647.88</v>
      </c>
      <c r="C636" s="24">
        <v>32647.88</v>
      </c>
      <c r="D636" s="23">
        <f t="shared" si="9"/>
        <v>5.0229785028095336E-3</v>
      </c>
      <c r="F636" s="22"/>
      <c r="I636" s="21"/>
      <c r="K636" s="22"/>
      <c r="L636" s="24"/>
      <c r="M636" s="24"/>
      <c r="N636" s="21"/>
      <c r="P636" s="22"/>
      <c r="S636" s="21"/>
    </row>
    <row r="637" spans="1:19" x14ac:dyDescent="0.35">
      <c r="A637" s="25">
        <v>45391</v>
      </c>
      <c r="B637" s="24">
        <v>32603.32</v>
      </c>
      <c r="C637" s="24">
        <v>32603.32</v>
      </c>
      <c r="D637" s="23">
        <f t="shared" si="9"/>
        <v>-1.364866570203067E-3</v>
      </c>
      <c r="F637" s="22"/>
      <c r="I637" s="21"/>
      <c r="K637" s="22"/>
      <c r="L637" s="24"/>
      <c r="M637" s="24"/>
      <c r="N637" s="21"/>
      <c r="P637" s="22"/>
      <c r="S637" s="21"/>
    </row>
    <row r="638" spans="1:19" x14ac:dyDescent="0.35">
      <c r="A638" s="25">
        <v>45392</v>
      </c>
      <c r="B638" s="24">
        <v>32798.550000000003</v>
      </c>
      <c r="C638" s="24">
        <v>32798.550000000003</v>
      </c>
      <c r="D638" s="23">
        <f t="shared" si="9"/>
        <v>5.9880404817669857E-3</v>
      </c>
      <c r="F638" s="22"/>
      <c r="I638" s="21"/>
      <c r="K638" s="22"/>
      <c r="L638" s="24"/>
      <c r="M638" s="24"/>
      <c r="N638" s="21"/>
      <c r="P638" s="22"/>
      <c r="S638" s="21"/>
    </row>
    <row r="639" spans="1:19" x14ac:dyDescent="0.35">
      <c r="A639" s="25">
        <v>45394</v>
      </c>
      <c r="B639" s="24">
        <v>32532.43</v>
      </c>
      <c r="C639" s="24">
        <v>32532.43</v>
      </c>
      <c r="D639" s="23">
        <f t="shared" si="9"/>
        <v>-8.1137733222963384E-3</v>
      </c>
      <c r="F639" s="22"/>
      <c r="I639" s="21"/>
      <c r="K639" s="22"/>
      <c r="L639" s="24"/>
      <c r="M639" s="24"/>
      <c r="N639" s="21"/>
      <c r="P639" s="22"/>
      <c r="S639" s="21"/>
    </row>
    <row r="640" spans="1:19" x14ac:dyDescent="0.35">
      <c r="A640" s="25">
        <v>45397</v>
      </c>
      <c r="B640" s="24">
        <v>32114.13</v>
      </c>
      <c r="C640" s="24">
        <v>32114.13</v>
      </c>
      <c r="D640" s="23">
        <f t="shared" si="9"/>
        <v>-1.2857938985805834E-2</v>
      </c>
      <c r="F640" s="22"/>
      <c r="I640" s="21"/>
      <c r="K640" s="22"/>
      <c r="L640" s="24"/>
      <c r="M640" s="24"/>
      <c r="N640" s="21"/>
      <c r="P640" s="22"/>
      <c r="S640" s="21"/>
    </row>
    <row r="641" spans="1:19" x14ac:dyDescent="0.35">
      <c r="A641" s="25">
        <v>45398</v>
      </c>
      <c r="B641" s="24">
        <v>32026.71</v>
      </c>
      <c r="C641" s="24">
        <v>32026.71</v>
      </c>
      <c r="D641" s="23">
        <f t="shared" si="9"/>
        <v>-2.722166224026679E-3</v>
      </c>
      <c r="F641" s="22"/>
      <c r="I641" s="21"/>
      <c r="K641" s="22"/>
      <c r="L641" s="24"/>
      <c r="M641" s="24"/>
      <c r="N641" s="21"/>
      <c r="P641" s="22"/>
      <c r="S641" s="21"/>
    </row>
    <row r="642" spans="1:19" x14ac:dyDescent="0.35">
      <c r="A642" s="25">
        <v>45400</v>
      </c>
      <c r="B642" s="24">
        <v>31872.54</v>
      </c>
      <c r="C642" s="24">
        <v>31872.54</v>
      </c>
      <c r="D642" s="23">
        <f t="shared" si="9"/>
        <v>-4.8137944859149833E-3</v>
      </c>
      <c r="F642" s="22"/>
      <c r="I642" s="21"/>
      <c r="K642" s="22"/>
      <c r="L642" s="24"/>
      <c r="M642" s="24"/>
      <c r="N642" s="21"/>
      <c r="P642" s="22"/>
      <c r="S642" s="21"/>
    </row>
    <row r="643" spans="1:19" x14ac:dyDescent="0.35">
      <c r="A643" s="25">
        <v>45401</v>
      </c>
      <c r="B643" s="24">
        <v>31967.61</v>
      </c>
      <c r="C643" s="24">
        <v>31967.61</v>
      </c>
      <c r="D643" s="23">
        <f t="shared" ref="D643:D706" si="10">(B643-B642)/B642</f>
        <v>2.9828184386936122E-3</v>
      </c>
      <c r="F643" s="22"/>
      <c r="I643" s="21"/>
      <c r="K643" s="22"/>
      <c r="L643" s="24"/>
      <c r="M643" s="24"/>
      <c r="N643" s="21"/>
      <c r="P643" s="22"/>
      <c r="S643" s="21"/>
    </row>
    <row r="644" spans="1:19" x14ac:dyDescent="0.35">
      <c r="A644" s="25">
        <v>45404</v>
      </c>
      <c r="B644" s="24">
        <v>32265.09</v>
      </c>
      <c r="C644" s="24">
        <v>32265.09</v>
      </c>
      <c r="D644" s="23">
        <f t="shared" si="10"/>
        <v>9.3056690819238452E-3</v>
      </c>
      <c r="F644" s="22"/>
      <c r="I644" s="21"/>
      <c r="K644" s="22"/>
      <c r="L644" s="24"/>
      <c r="M644" s="24"/>
      <c r="N644" s="21"/>
      <c r="P644" s="22"/>
      <c r="S644" s="21"/>
    </row>
    <row r="645" spans="1:19" x14ac:dyDescent="0.35">
      <c r="A645" s="25">
        <v>45405</v>
      </c>
      <c r="B645" s="24">
        <v>32387.08</v>
      </c>
      <c r="C645" s="24">
        <v>32387.08</v>
      </c>
      <c r="D645" s="23">
        <f t="shared" si="10"/>
        <v>3.7808665650708429E-3</v>
      </c>
      <c r="F645" s="22"/>
      <c r="I645" s="21"/>
      <c r="K645" s="22"/>
      <c r="L645" s="24"/>
      <c r="M645" s="24"/>
      <c r="N645" s="21"/>
      <c r="P645" s="22"/>
      <c r="S645" s="21"/>
    </row>
    <row r="646" spans="1:19" x14ac:dyDescent="0.35">
      <c r="A646" s="25">
        <v>45406</v>
      </c>
      <c r="B646" s="24">
        <v>32509.43</v>
      </c>
      <c r="C646" s="24">
        <v>32509.43</v>
      </c>
      <c r="D646" s="23">
        <f t="shared" si="10"/>
        <v>3.7777410004235807E-3</v>
      </c>
      <c r="F646" s="22"/>
      <c r="I646" s="21"/>
      <c r="K646" s="22"/>
      <c r="L646" s="24"/>
      <c r="M646" s="24"/>
      <c r="N646" s="21"/>
      <c r="P646" s="22"/>
      <c r="S646" s="21"/>
    </row>
    <row r="647" spans="1:19" x14ac:dyDescent="0.35">
      <c r="A647" s="25">
        <v>45407</v>
      </c>
      <c r="B647" s="24">
        <v>32724.61</v>
      </c>
      <c r="C647" s="24">
        <v>32724.61</v>
      </c>
      <c r="D647" s="23">
        <f t="shared" si="10"/>
        <v>6.6190025478761174E-3</v>
      </c>
      <c r="F647" s="22"/>
      <c r="I647" s="21"/>
      <c r="K647" s="22"/>
      <c r="L647" s="24"/>
      <c r="M647" s="24"/>
      <c r="N647" s="21"/>
      <c r="P647" s="22"/>
      <c r="S647" s="21"/>
    </row>
    <row r="648" spans="1:19" x14ac:dyDescent="0.35">
      <c r="A648" s="25">
        <v>45408</v>
      </c>
      <c r="B648" s="24">
        <v>32919.57</v>
      </c>
      <c r="C648" s="24">
        <v>32919.57</v>
      </c>
      <c r="D648" s="23">
        <f t="shared" si="10"/>
        <v>5.9575958277271789E-3</v>
      </c>
      <c r="F648" s="22"/>
      <c r="I648" s="21"/>
      <c r="K648" s="22"/>
      <c r="L648" s="24"/>
      <c r="M648" s="24"/>
      <c r="N648" s="21"/>
      <c r="P648" s="22"/>
      <c r="S648" s="21"/>
    </row>
    <row r="649" spans="1:19" x14ac:dyDescent="0.35">
      <c r="A649" s="25">
        <v>45412</v>
      </c>
      <c r="B649" s="24">
        <v>32927.379999999997</v>
      </c>
      <c r="C649" s="24">
        <v>32927.379999999997</v>
      </c>
      <c r="D649" s="23">
        <f t="shared" si="10"/>
        <v>2.3724489718418776E-4</v>
      </c>
      <c r="F649" s="22"/>
      <c r="I649" s="21"/>
      <c r="K649" s="22"/>
      <c r="L649" s="24"/>
      <c r="M649" s="24"/>
      <c r="N649" s="21"/>
      <c r="P649" s="22"/>
      <c r="S649" s="21"/>
    </row>
    <row r="650" spans="1:19" x14ac:dyDescent="0.35">
      <c r="A650" s="25">
        <v>45414</v>
      </c>
      <c r="B650" s="24">
        <v>33063</v>
      </c>
      <c r="C650" s="24">
        <v>33063</v>
      </c>
      <c r="D650" s="23">
        <f t="shared" si="10"/>
        <v>4.1187607395426736E-3</v>
      </c>
      <c r="F650" s="22"/>
      <c r="I650" s="21"/>
      <c r="K650" s="22"/>
      <c r="L650" s="24"/>
      <c r="M650" s="24"/>
      <c r="N650" s="21"/>
      <c r="P650" s="22"/>
      <c r="S650" s="21"/>
    </row>
    <row r="651" spans="1:19" x14ac:dyDescent="0.35">
      <c r="A651" s="25">
        <v>45415</v>
      </c>
      <c r="B651" s="24">
        <v>32868.94</v>
      </c>
      <c r="C651" s="24">
        <v>32868.94</v>
      </c>
      <c r="D651" s="23">
        <f t="shared" si="10"/>
        <v>-5.8694008408189721E-3</v>
      </c>
      <c r="F651" s="22"/>
      <c r="I651" s="21"/>
      <c r="K651" s="22"/>
      <c r="L651" s="24"/>
      <c r="M651" s="24"/>
      <c r="N651" s="21"/>
      <c r="P651" s="22"/>
      <c r="S651" s="21"/>
    </row>
    <row r="652" spans="1:19" x14ac:dyDescent="0.35">
      <c r="A652" s="25">
        <v>45419</v>
      </c>
      <c r="B652" s="24">
        <v>32365.34</v>
      </c>
      <c r="C652" s="24">
        <v>32365.34</v>
      </c>
      <c r="D652" s="23">
        <f t="shared" si="10"/>
        <v>-1.5321455453081303E-2</v>
      </c>
      <c r="F652" s="22"/>
      <c r="I652" s="21"/>
      <c r="K652" s="22"/>
      <c r="L652" s="24"/>
      <c r="M652" s="24"/>
      <c r="N652" s="21"/>
      <c r="P652" s="22"/>
      <c r="S652" s="21"/>
    </row>
    <row r="653" spans="1:19" x14ac:dyDescent="0.35">
      <c r="A653" s="25">
        <v>45420</v>
      </c>
      <c r="B653" s="24">
        <v>32473.360000000001</v>
      </c>
      <c r="C653" s="24">
        <v>32473.360000000001</v>
      </c>
      <c r="D653" s="23">
        <f t="shared" si="10"/>
        <v>3.3375209406111732E-3</v>
      </c>
      <c r="F653" s="22"/>
      <c r="I653" s="21"/>
      <c r="K653" s="22"/>
      <c r="L653" s="24"/>
      <c r="M653" s="24"/>
      <c r="N653" s="21"/>
      <c r="P653" s="22"/>
      <c r="S653" s="21"/>
    </row>
    <row r="654" spans="1:19" x14ac:dyDescent="0.35">
      <c r="A654" s="25">
        <v>45421</v>
      </c>
      <c r="B654" s="24">
        <v>31908.53</v>
      </c>
      <c r="C654" s="24">
        <v>31908.53</v>
      </c>
      <c r="D654" s="23">
        <f t="shared" si="10"/>
        <v>-1.7393642049975788E-2</v>
      </c>
      <c r="F654" s="22"/>
      <c r="I654" s="21"/>
      <c r="K654" s="22"/>
      <c r="L654" s="24"/>
      <c r="M654" s="24"/>
      <c r="N654" s="21"/>
      <c r="P654" s="22"/>
      <c r="S654" s="21"/>
    </row>
    <row r="655" spans="1:19" x14ac:dyDescent="0.35">
      <c r="A655" s="25">
        <v>45425</v>
      </c>
      <c r="B655" s="24">
        <v>32197.97</v>
      </c>
      <c r="C655" s="24">
        <v>32197.97</v>
      </c>
      <c r="D655" s="23">
        <f t="shared" si="10"/>
        <v>9.0709286827065465E-3</v>
      </c>
      <c r="F655" s="22"/>
      <c r="I655" s="21"/>
      <c r="K655" s="22"/>
      <c r="L655" s="24"/>
      <c r="M655" s="24"/>
      <c r="N655" s="21"/>
      <c r="P655" s="22"/>
      <c r="S655" s="21"/>
    </row>
    <row r="656" spans="1:19" x14ac:dyDescent="0.35">
      <c r="A656" s="25">
        <v>45426</v>
      </c>
      <c r="B656" s="24">
        <v>32469.95</v>
      </c>
      <c r="C656" s="24">
        <v>32469.95</v>
      </c>
      <c r="D656" s="23">
        <f t="shared" si="10"/>
        <v>8.4471163865299445E-3</v>
      </c>
      <c r="F656" s="22"/>
      <c r="I656" s="21"/>
      <c r="K656" s="22"/>
      <c r="L656" s="24"/>
      <c r="M656" s="24"/>
      <c r="N656" s="21"/>
      <c r="P656" s="22"/>
      <c r="S656" s="21"/>
    </row>
    <row r="657" spans="1:19" x14ac:dyDescent="0.35">
      <c r="A657" s="25">
        <v>45428</v>
      </c>
      <c r="B657" s="24">
        <v>32860.879999999997</v>
      </c>
      <c r="C657" s="24">
        <v>32860.879999999997</v>
      </c>
      <c r="D657" s="23">
        <f t="shared" si="10"/>
        <v>1.2039747520399527E-2</v>
      </c>
      <c r="F657" s="22"/>
      <c r="I657" s="21"/>
      <c r="K657" s="22"/>
      <c r="L657" s="24"/>
      <c r="M657" s="24"/>
      <c r="N657" s="21"/>
      <c r="P657" s="22"/>
      <c r="S657" s="21"/>
    </row>
    <row r="658" spans="1:19" x14ac:dyDescent="0.35">
      <c r="A658" s="25">
        <v>45429</v>
      </c>
      <c r="B658" s="24">
        <v>33073.629999999997</v>
      </c>
      <c r="C658" s="24">
        <v>33073.629999999997</v>
      </c>
      <c r="D658" s="23">
        <f t="shared" si="10"/>
        <v>6.4742636228853276E-3</v>
      </c>
      <c r="F658" s="22"/>
      <c r="I658" s="21"/>
      <c r="K658" s="22"/>
      <c r="L658" s="24"/>
      <c r="M658" s="24"/>
      <c r="N658" s="21"/>
      <c r="P658" s="22"/>
      <c r="S658" s="21"/>
    </row>
    <row r="659" spans="1:19" x14ac:dyDescent="0.35">
      <c r="A659" s="25">
        <v>45430</v>
      </c>
      <c r="B659" s="24">
        <v>33199.1</v>
      </c>
      <c r="C659" s="24">
        <v>33199.1</v>
      </c>
      <c r="D659" s="23">
        <f t="shared" si="10"/>
        <v>3.7936567591764551E-3</v>
      </c>
      <c r="F659" s="22"/>
      <c r="I659" s="21"/>
      <c r="K659" s="22"/>
      <c r="L659" s="24"/>
      <c r="M659" s="24"/>
      <c r="N659" s="21"/>
      <c r="P659" s="22"/>
      <c r="S659" s="21"/>
    </row>
    <row r="660" spans="1:19" x14ac:dyDescent="0.35">
      <c r="A660" s="25">
        <v>45433</v>
      </c>
      <c r="B660" s="24">
        <v>33266.910000000003</v>
      </c>
      <c r="C660" s="24">
        <v>33266.910000000003</v>
      </c>
      <c r="D660" s="23">
        <f t="shared" si="10"/>
        <v>2.0425252491785909E-3</v>
      </c>
      <c r="F660" s="22"/>
      <c r="I660" s="21"/>
      <c r="K660" s="22"/>
      <c r="L660" s="24"/>
      <c r="M660" s="24"/>
      <c r="N660" s="21"/>
      <c r="P660" s="22"/>
      <c r="S660" s="21"/>
    </row>
    <row r="661" spans="1:19" x14ac:dyDescent="0.35">
      <c r="A661" s="25">
        <v>45434</v>
      </c>
      <c r="B661" s="24">
        <v>33357.18</v>
      </c>
      <c r="C661" s="24">
        <v>33357.18</v>
      </c>
      <c r="D661" s="23">
        <f t="shared" si="10"/>
        <v>2.7135072058089189E-3</v>
      </c>
      <c r="F661" s="22"/>
      <c r="I661" s="21"/>
      <c r="K661" s="22"/>
      <c r="L661" s="24"/>
      <c r="M661" s="24"/>
      <c r="N661" s="21"/>
      <c r="P661" s="22"/>
      <c r="S661" s="21"/>
    </row>
    <row r="662" spans="1:19" x14ac:dyDescent="0.35">
      <c r="A662" s="25">
        <v>45435</v>
      </c>
      <c r="B662" s="24">
        <v>33752.67</v>
      </c>
      <c r="C662" s="24">
        <v>33752.67</v>
      </c>
      <c r="D662" s="23">
        <f t="shared" si="10"/>
        <v>1.1856218061598671E-2</v>
      </c>
      <c r="F662" s="22"/>
      <c r="I662" s="21"/>
      <c r="K662" s="22"/>
      <c r="L662" s="24"/>
      <c r="M662" s="24"/>
      <c r="N662" s="21"/>
      <c r="P662" s="22"/>
      <c r="S662" s="21"/>
    </row>
    <row r="663" spans="1:19" x14ac:dyDescent="0.35">
      <c r="A663" s="25">
        <v>45436</v>
      </c>
      <c r="B663" s="24">
        <v>33744.480000000003</v>
      </c>
      <c r="C663" s="24">
        <v>33744.480000000003</v>
      </c>
      <c r="D663" s="23">
        <f t="shared" si="10"/>
        <v>-2.4264747055551612E-4</v>
      </c>
      <c r="F663" s="22"/>
      <c r="I663" s="21"/>
      <c r="K663" s="22"/>
      <c r="L663" s="24"/>
      <c r="M663" s="24"/>
      <c r="N663" s="21"/>
      <c r="P663" s="22"/>
      <c r="S663" s="21"/>
    </row>
    <row r="664" spans="1:19" x14ac:dyDescent="0.35">
      <c r="A664" s="25">
        <v>45439</v>
      </c>
      <c r="B664" s="24">
        <v>33759.03</v>
      </c>
      <c r="C664" s="24">
        <v>33759.03</v>
      </c>
      <c r="D664" s="23">
        <f t="shared" si="10"/>
        <v>4.3118163326255534E-4</v>
      </c>
      <c r="F664" s="22"/>
      <c r="I664" s="21"/>
      <c r="K664" s="22"/>
      <c r="L664" s="24"/>
      <c r="M664" s="24"/>
      <c r="N664" s="21"/>
      <c r="P664" s="22"/>
      <c r="S664" s="21"/>
    </row>
    <row r="665" spans="1:19" x14ac:dyDescent="0.35">
      <c r="A665" s="25">
        <v>45440</v>
      </c>
      <c r="B665" s="24">
        <v>33593.17</v>
      </c>
      <c r="C665" s="24">
        <v>33593.17</v>
      </c>
      <c r="D665" s="23">
        <f t="shared" si="10"/>
        <v>-4.9130558549816327E-3</v>
      </c>
      <c r="F665" s="22"/>
      <c r="I665" s="21"/>
      <c r="K665" s="22"/>
      <c r="L665" s="24"/>
      <c r="M665" s="24"/>
      <c r="N665" s="21"/>
      <c r="P665" s="22"/>
      <c r="S665" s="21"/>
    </row>
    <row r="666" spans="1:19" x14ac:dyDescent="0.35">
      <c r="A666" s="25">
        <v>45441</v>
      </c>
      <c r="B666" s="24">
        <v>33387.370000000003</v>
      </c>
      <c r="C666" s="24">
        <v>33387.370000000003</v>
      </c>
      <c r="D666" s="23">
        <f t="shared" si="10"/>
        <v>-6.1262453052211398E-3</v>
      </c>
      <c r="F666" s="22"/>
      <c r="I666" s="21"/>
      <c r="K666" s="22"/>
      <c r="L666" s="24"/>
      <c r="M666" s="24"/>
      <c r="N666" s="21"/>
      <c r="P666" s="22"/>
      <c r="S666" s="21"/>
    </row>
    <row r="667" spans="1:19" x14ac:dyDescent="0.35">
      <c r="A667" s="25">
        <v>45442</v>
      </c>
      <c r="B667" s="24">
        <v>33045.31</v>
      </c>
      <c r="C667" s="24">
        <v>33045.31</v>
      </c>
      <c r="D667" s="23">
        <f t="shared" si="10"/>
        <v>-1.0245191520027033E-2</v>
      </c>
      <c r="F667" s="22"/>
      <c r="I667" s="21"/>
      <c r="K667" s="22"/>
      <c r="L667" s="24"/>
      <c r="M667" s="24"/>
      <c r="N667" s="21"/>
      <c r="P667" s="22"/>
      <c r="S667" s="21"/>
    </row>
    <row r="668" spans="1:19" x14ac:dyDescent="0.35">
      <c r="A668" s="25">
        <v>45443</v>
      </c>
      <c r="B668" s="24">
        <v>33168.199999999997</v>
      </c>
      <c r="C668" s="24">
        <v>33168.199999999997</v>
      </c>
      <c r="D668" s="23">
        <f t="shared" si="10"/>
        <v>3.7188333230948486E-3</v>
      </c>
      <c r="F668" s="22"/>
      <c r="I668" s="21"/>
      <c r="K668" s="22"/>
      <c r="L668" s="24"/>
      <c r="M668" s="24"/>
      <c r="N668" s="21"/>
      <c r="P668" s="22"/>
      <c r="S668" s="21"/>
    </row>
    <row r="669" spans="1:19" x14ac:dyDescent="0.35">
      <c r="A669" s="25">
        <v>45447</v>
      </c>
      <c r="B669" s="24">
        <v>31956.22</v>
      </c>
      <c r="C669" s="24">
        <v>31956.22</v>
      </c>
      <c r="D669" s="23">
        <f t="shared" si="10"/>
        <v>-3.6540421246856809E-2</v>
      </c>
      <c r="F669" s="22"/>
      <c r="I669" s="21"/>
      <c r="K669" s="22"/>
      <c r="L669" s="24"/>
      <c r="M669" s="24"/>
      <c r="N669" s="21"/>
      <c r="P669" s="22"/>
      <c r="S669" s="21"/>
    </row>
    <row r="670" spans="1:19" x14ac:dyDescent="0.35">
      <c r="A670" s="25">
        <v>45448</v>
      </c>
      <c r="B670" s="24">
        <v>33104.99</v>
      </c>
      <c r="C670" s="24">
        <v>33104.99</v>
      </c>
      <c r="D670" s="23">
        <f t="shared" si="10"/>
        <v>3.5948244191584509E-2</v>
      </c>
      <c r="F670" s="22"/>
      <c r="I670" s="21"/>
      <c r="K670" s="22"/>
      <c r="L670" s="24"/>
      <c r="M670" s="24"/>
      <c r="N670" s="21"/>
      <c r="P670" s="22"/>
      <c r="S670" s="21"/>
    </row>
    <row r="671" spans="1:19" x14ac:dyDescent="0.35">
      <c r="A671" s="25">
        <v>45449</v>
      </c>
      <c r="B671" s="24">
        <v>33104.99</v>
      </c>
      <c r="C671" s="24">
        <v>33104.99</v>
      </c>
      <c r="D671" s="23">
        <f t="shared" si="10"/>
        <v>0</v>
      </c>
      <c r="F671" s="22"/>
      <c r="I671" s="21"/>
      <c r="K671" s="22"/>
      <c r="L671" s="24"/>
      <c r="M671" s="24"/>
      <c r="N671" s="21"/>
      <c r="P671" s="22"/>
      <c r="S671" s="21"/>
    </row>
    <row r="672" spans="1:19" x14ac:dyDescent="0.35">
      <c r="A672" s="25">
        <v>45450</v>
      </c>
      <c r="B672" s="24">
        <v>34221.81</v>
      </c>
      <c r="C672" s="24">
        <v>34221.81</v>
      </c>
      <c r="D672" s="23">
        <f t="shared" si="10"/>
        <v>3.3735699663404214E-2</v>
      </c>
      <c r="F672" s="22"/>
      <c r="I672" s="21"/>
      <c r="K672" s="22"/>
      <c r="L672" s="24"/>
      <c r="M672" s="24"/>
      <c r="N672" s="21"/>
      <c r="P672" s="22"/>
      <c r="S672" s="21"/>
    </row>
    <row r="673" spans="1:19" x14ac:dyDescent="0.35">
      <c r="A673" s="25">
        <v>45453</v>
      </c>
      <c r="B673" s="24">
        <v>34291.15</v>
      </c>
      <c r="C673" s="24">
        <v>34291.15</v>
      </c>
      <c r="D673" s="23">
        <f t="shared" si="10"/>
        <v>2.0261932375874856E-3</v>
      </c>
      <c r="F673" s="22"/>
      <c r="I673" s="21"/>
      <c r="K673" s="22"/>
      <c r="L673" s="24"/>
      <c r="M673" s="24"/>
      <c r="N673" s="21"/>
      <c r="P673" s="22"/>
      <c r="S673" s="21"/>
    </row>
    <row r="674" spans="1:19" x14ac:dyDescent="0.35">
      <c r="A674" s="25">
        <v>45455</v>
      </c>
      <c r="B674" s="24">
        <v>34536.949999999997</v>
      </c>
      <c r="C674" s="24">
        <v>34536.949999999997</v>
      </c>
      <c r="D674" s="23">
        <f t="shared" si="10"/>
        <v>7.1680302352063324E-3</v>
      </c>
      <c r="F674" s="22"/>
      <c r="I674" s="21"/>
      <c r="K674" s="22"/>
      <c r="L674" s="24"/>
      <c r="M674" s="24"/>
      <c r="N674" s="21"/>
      <c r="P674" s="22"/>
      <c r="S674" s="21"/>
    </row>
    <row r="675" spans="1:19" x14ac:dyDescent="0.35">
      <c r="A675" s="25">
        <v>45456</v>
      </c>
      <c r="B675" s="24">
        <v>34715.589999999997</v>
      </c>
      <c r="C675" s="24">
        <v>34715.589999999997</v>
      </c>
      <c r="D675" s="23">
        <f t="shared" si="10"/>
        <v>5.1724312656444603E-3</v>
      </c>
      <c r="F675" s="22"/>
      <c r="I675" s="21"/>
      <c r="K675" s="22"/>
      <c r="L675" s="24"/>
      <c r="M675" s="24"/>
      <c r="N675" s="21"/>
      <c r="P675" s="22"/>
      <c r="S675" s="21"/>
    </row>
    <row r="676" spans="1:19" x14ac:dyDescent="0.35">
      <c r="A676" s="25">
        <v>45457</v>
      </c>
      <c r="B676" s="24">
        <v>34943.919999999998</v>
      </c>
      <c r="C676" s="24">
        <v>34943.919999999998</v>
      </c>
      <c r="D676" s="23">
        <f t="shared" si="10"/>
        <v>6.5771602902327678E-3</v>
      </c>
      <c r="F676" s="22"/>
      <c r="I676" s="21"/>
      <c r="K676" s="22"/>
      <c r="L676" s="24"/>
      <c r="M676" s="24"/>
      <c r="N676" s="21"/>
      <c r="P676" s="22"/>
      <c r="S676" s="21"/>
    </row>
    <row r="677" spans="1:19" x14ac:dyDescent="0.35">
      <c r="A677" s="25">
        <v>45461</v>
      </c>
      <c r="B677" s="24">
        <v>35127.1</v>
      </c>
      <c r="C677" s="24">
        <v>35127.1</v>
      </c>
      <c r="D677" s="23">
        <f t="shared" si="10"/>
        <v>5.2421136495275945E-3</v>
      </c>
      <c r="F677" s="22"/>
      <c r="I677" s="21"/>
      <c r="K677" s="22"/>
      <c r="L677" s="24"/>
      <c r="M677" s="24"/>
      <c r="N677" s="21"/>
      <c r="P677" s="22"/>
      <c r="S677" s="21"/>
    </row>
    <row r="678" spans="1:19" x14ac:dyDescent="0.35">
      <c r="A678" s="25">
        <v>45462</v>
      </c>
      <c r="B678" s="24">
        <v>34963.410000000003</v>
      </c>
      <c r="C678" s="24">
        <v>34963.410000000003</v>
      </c>
      <c r="D678" s="23">
        <f t="shared" si="10"/>
        <v>-4.6599349220401076E-3</v>
      </c>
      <c r="F678" s="22"/>
      <c r="I678" s="21"/>
      <c r="K678" s="22"/>
      <c r="L678" s="24"/>
      <c r="M678" s="24"/>
      <c r="N678" s="21"/>
      <c r="P678" s="22"/>
      <c r="S678" s="21"/>
    </row>
    <row r="679" spans="1:19" x14ac:dyDescent="0.35">
      <c r="A679" s="25">
        <v>45463</v>
      </c>
      <c r="B679" s="24">
        <v>35096.03</v>
      </c>
      <c r="C679" s="24">
        <v>35096.03</v>
      </c>
      <c r="D679" s="23">
        <f t="shared" si="10"/>
        <v>3.7931082809141135E-3</v>
      </c>
      <c r="F679" s="22"/>
      <c r="I679" s="21"/>
      <c r="K679" s="22"/>
      <c r="L679" s="24"/>
      <c r="M679" s="24"/>
      <c r="N679" s="21"/>
      <c r="P679" s="22"/>
      <c r="S679" s="21"/>
    </row>
    <row r="680" spans="1:19" x14ac:dyDescent="0.35">
      <c r="A680" s="25">
        <v>45464</v>
      </c>
      <c r="B680" s="24">
        <v>34991.85</v>
      </c>
      <c r="C680" s="24">
        <v>34991.85</v>
      </c>
      <c r="D680" s="23">
        <f t="shared" si="10"/>
        <v>-2.9684269132434723E-3</v>
      </c>
      <c r="F680" s="22"/>
      <c r="I680" s="21"/>
      <c r="K680" s="22"/>
      <c r="L680" s="24"/>
      <c r="M680" s="24"/>
      <c r="N680" s="21"/>
      <c r="P680" s="22"/>
      <c r="S680" s="21"/>
    </row>
    <row r="681" spans="1:19" x14ac:dyDescent="0.35">
      <c r="A681" s="25">
        <v>45467</v>
      </c>
      <c r="B681" s="24">
        <v>35075.14</v>
      </c>
      <c r="C681" s="24">
        <v>35075.14</v>
      </c>
      <c r="D681" s="23">
        <f t="shared" si="10"/>
        <v>2.3802685482476886E-3</v>
      </c>
      <c r="F681" s="22"/>
      <c r="I681" s="21"/>
      <c r="K681" s="22"/>
      <c r="L681" s="24"/>
      <c r="M681" s="24"/>
      <c r="N681" s="21"/>
      <c r="P681" s="22"/>
      <c r="S681" s="21"/>
    </row>
    <row r="682" spans="1:19" x14ac:dyDescent="0.35">
      <c r="A682" s="25">
        <v>45468</v>
      </c>
      <c r="B682" s="24">
        <v>35204.26</v>
      </c>
      <c r="C682" s="24">
        <v>35204.26</v>
      </c>
      <c r="D682" s="23">
        <f t="shared" si="10"/>
        <v>3.6812397612668865E-3</v>
      </c>
      <c r="F682" s="22"/>
      <c r="I682" s="21"/>
      <c r="K682" s="22"/>
      <c r="L682" s="24"/>
      <c r="M682" s="24"/>
      <c r="N682" s="21"/>
      <c r="P682" s="22"/>
      <c r="S682" s="21"/>
    </row>
    <row r="683" spans="1:19" x14ac:dyDescent="0.35">
      <c r="A683" s="25">
        <v>45469</v>
      </c>
      <c r="B683" s="24">
        <v>35308.410000000003</v>
      </c>
      <c r="C683" s="24">
        <v>35308.410000000003</v>
      </c>
      <c r="D683" s="23">
        <f t="shared" si="10"/>
        <v>2.9584487786421714E-3</v>
      </c>
      <c r="F683" s="22"/>
      <c r="I683" s="21"/>
      <c r="K683" s="22"/>
      <c r="L683" s="24"/>
      <c r="M683" s="24"/>
      <c r="N683" s="21"/>
      <c r="P683" s="22"/>
      <c r="S683" s="21"/>
    </row>
    <row r="684" spans="1:19" x14ac:dyDescent="0.35">
      <c r="A684" s="25">
        <v>45471</v>
      </c>
      <c r="B684" s="24">
        <v>35506.97</v>
      </c>
      <c r="C684" s="24">
        <v>35506.97</v>
      </c>
      <c r="D684" s="23">
        <f t="shared" si="10"/>
        <v>5.6235893941414426E-3</v>
      </c>
      <c r="F684" s="22"/>
      <c r="I684" s="21"/>
      <c r="K684" s="22"/>
      <c r="L684" s="24"/>
      <c r="M684" s="24"/>
      <c r="N684" s="21"/>
      <c r="P684" s="22"/>
      <c r="S684" s="21"/>
    </row>
    <row r="685" spans="1:19" x14ac:dyDescent="0.35">
      <c r="A685" s="25">
        <v>45474</v>
      </c>
      <c r="B685" s="24">
        <v>35771.61</v>
      </c>
      <c r="C685" s="24">
        <v>35771.61</v>
      </c>
      <c r="D685" s="23">
        <f t="shared" si="10"/>
        <v>7.4531845437670243E-3</v>
      </c>
      <c r="F685" s="22"/>
      <c r="I685" s="21"/>
      <c r="K685" s="22"/>
      <c r="L685" s="24"/>
      <c r="M685" s="24"/>
      <c r="N685" s="21"/>
      <c r="P685" s="22"/>
      <c r="S685" s="21"/>
    </row>
    <row r="686" spans="1:19" x14ac:dyDescent="0.35">
      <c r="A686" s="25">
        <v>45475</v>
      </c>
      <c r="B686" s="24">
        <v>35693.160000000003</v>
      </c>
      <c r="C686" s="24">
        <v>35693.160000000003</v>
      </c>
      <c r="D686" s="23">
        <f t="shared" si="10"/>
        <v>-2.1930799312638457E-3</v>
      </c>
      <c r="F686" s="22"/>
      <c r="I686" s="21"/>
      <c r="K686" s="22"/>
      <c r="L686" s="24"/>
      <c r="M686" s="24"/>
      <c r="N686" s="21"/>
      <c r="P686" s="22"/>
      <c r="S686" s="21"/>
    </row>
    <row r="687" spans="1:19" x14ac:dyDescent="0.35">
      <c r="A687" s="25">
        <v>45478</v>
      </c>
      <c r="B687" s="24">
        <v>36187.040000000001</v>
      </c>
      <c r="C687" s="24">
        <v>36187.040000000001</v>
      </c>
      <c r="D687" s="23">
        <f t="shared" si="10"/>
        <v>1.3836824758581121E-2</v>
      </c>
      <c r="F687" s="22"/>
      <c r="I687" s="21"/>
      <c r="K687" s="22"/>
      <c r="L687" s="24"/>
      <c r="M687" s="24"/>
      <c r="N687" s="21"/>
      <c r="P687" s="22"/>
      <c r="S687" s="21"/>
    </row>
    <row r="688" spans="1:19" x14ac:dyDescent="0.35">
      <c r="A688" s="25">
        <v>45481</v>
      </c>
      <c r="B688" s="24">
        <v>36161.199999999997</v>
      </c>
      <c r="C688" s="24">
        <v>36161.199999999997</v>
      </c>
      <c r="D688" s="23">
        <f t="shared" si="10"/>
        <v>-7.1406779885848032E-4</v>
      </c>
      <c r="F688" s="22"/>
      <c r="I688" s="21"/>
      <c r="K688" s="22"/>
      <c r="L688" s="24"/>
      <c r="M688" s="24"/>
      <c r="N688" s="21"/>
      <c r="P688" s="22"/>
      <c r="S688" s="21"/>
    </row>
    <row r="689" spans="1:19" x14ac:dyDescent="0.35">
      <c r="A689" s="25">
        <v>45482</v>
      </c>
      <c r="B689" s="24">
        <v>36314.78</v>
      </c>
      <c r="C689" s="24">
        <v>36314.78</v>
      </c>
      <c r="D689" s="23">
        <f t="shared" si="10"/>
        <v>4.2470935699037019E-3</v>
      </c>
      <c r="F689" s="22"/>
      <c r="I689" s="21"/>
      <c r="K689" s="22"/>
      <c r="L689" s="24"/>
      <c r="M689" s="24"/>
      <c r="N689" s="21"/>
      <c r="P689" s="22"/>
      <c r="S689" s="21"/>
    </row>
    <row r="690" spans="1:19" x14ac:dyDescent="0.35">
      <c r="A690" s="25">
        <v>45483</v>
      </c>
      <c r="B690" s="24">
        <v>36173.97</v>
      </c>
      <c r="C690" s="24">
        <v>36173.97</v>
      </c>
      <c r="D690" s="23">
        <f t="shared" si="10"/>
        <v>-3.8774845944267783E-3</v>
      </c>
      <c r="F690" s="22"/>
      <c r="I690" s="21"/>
      <c r="K690" s="22"/>
      <c r="L690" s="24"/>
      <c r="M690" s="24"/>
      <c r="N690" s="21"/>
      <c r="P690" s="22"/>
      <c r="S690" s="21"/>
    </row>
    <row r="691" spans="1:19" x14ac:dyDescent="0.35">
      <c r="A691" s="25">
        <v>45484</v>
      </c>
      <c r="B691" s="24">
        <v>36217.5</v>
      </c>
      <c r="C691" s="24">
        <v>36217.5</v>
      </c>
      <c r="D691" s="23">
        <f t="shared" si="10"/>
        <v>1.2033514706845513E-3</v>
      </c>
      <c r="F691" s="22"/>
      <c r="I691" s="21"/>
      <c r="K691" s="22"/>
      <c r="L691" s="24"/>
      <c r="M691" s="24"/>
      <c r="N691" s="21"/>
      <c r="P691" s="22"/>
      <c r="S691" s="21"/>
    </row>
    <row r="692" spans="1:19" x14ac:dyDescent="0.35">
      <c r="A692" s="25">
        <v>45485</v>
      </c>
      <c r="B692" s="24">
        <v>36362.300000000003</v>
      </c>
      <c r="C692" s="24">
        <v>36362.300000000003</v>
      </c>
      <c r="D692" s="23">
        <f t="shared" si="10"/>
        <v>3.9980672326914591E-3</v>
      </c>
      <c r="F692" s="22"/>
      <c r="I692" s="21"/>
      <c r="K692" s="22"/>
      <c r="L692" s="24"/>
      <c r="M692" s="24"/>
      <c r="N692" s="21"/>
      <c r="P692" s="22"/>
      <c r="S692" s="21"/>
    </row>
    <row r="693" spans="1:19" x14ac:dyDescent="0.35">
      <c r="A693" s="25">
        <v>45488</v>
      </c>
      <c r="B693" s="24">
        <v>36542.559999999998</v>
      </c>
      <c r="C693" s="24">
        <v>36542.559999999998</v>
      </c>
      <c r="D693" s="23">
        <f t="shared" si="10"/>
        <v>4.9573321819575428E-3</v>
      </c>
      <c r="F693" s="22"/>
      <c r="I693" s="21"/>
      <c r="K693" s="22"/>
      <c r="L693" s="24"/>
      <c r="M693" s="24"/>
      <c r="N693" s="21"/>
      <c r="P693" s="22"/>
      <c r="S693" s="21"/>
    </row>
    <row r="694" spans="1:19" x14ac:dyDescent="0.35">
      <c r="A694" s="25">
        <v>45489</v>
      </c>
      <c r="B694" s="24">
        <v>36536.660000000003</v>
      </c>
      <c r="C694" s="24">
        <v>36536.660000000003</v>
      </c>
      <c r="D694" s="23">
        <f t="shared" si="10"/>
        <v>-1.6145557399356201E-4</v>
      </c>
      <c r="F694" s="22"/>
      <c r="I694" s="21"/>
      <c r="K694" s="22"/>
      <c r="L694" s="24"/>
      <c r="M694" s="24"/>
      <c r="N694" s="21"/>
      <c r="P694" s="22"/>
      <c r="S694" s="21"/>
    </row>
    <row r="695" spans="1:19" x14ac:dyDescent="0.35">
      <c r="A695" s="25">
        <v>45491</v>
      </c>
      <c r="B695" s="24">
        <v>36546.199999999997</v>
      </c>
      <c r="C695" s="24">
        <v>36546.199999999997</v>
      </c>
      <c r="D695" s="23">
        <f t="shared" si="10"/>
        <v>2.6110761082139407E-4</v>
      </c>
      <c r="F695" s="22"/>
      <c r="I695" s="21"/>
      <c r="K695" s="22"/>
      <c r="L695" s="24"/>
      <c r="M695" s="24"/>
      <c r="N695" s="21"/>
      <c r="P695" s="22"/>
      <c r="S695" s="21"/>
    </row>
    <row r="696" spans="1:19" x14ac:dyDescent="0.35">
      <c r="A696" s="25">
        <v>45492</v>
      </c>
      <c r="B696" s="24">
        <v>35989.82</v>
      </c>
      <c r="C696" s="24">
        <v>35989.82</v>
      </c>
      <c r="D696" s="23">
        <f t="shared" si="10"/>
        <v>-1.522401781854194E-2</v>
      </c>
      <c r="F696" s="22"/>
      <c r="I696" s="21"/>
      <c r="K696" s="22"/>
      <c r="L696" s="24"/>
      <c r="M696" s="24"/>
      <c r="N696" s="21"/>
      <c r="P696" s="22"/>
      <c r="S696" s="21"/>
    </row>
    <row r="697" spans="1:19" x14ac:dyDescent="0.35">
      <c r="A697" s="25">
        <v>45495</v>
      </c>
      <c r="B697" s="24">
        <v>36130.29</v>
      </c>
      <c r="C697" s="24">
        <v>36130.29</v>
      </c>
      <c r="D697" s="23">
        <f t="shared" si="10"/>
        <v>3.9030481397239877E-3</v>
      </c>
      <c r="F697" s="22"/>
      <c r="I697" s="21"/>
      <c r="K697" s="22"/>
      <c r="L697" s="24"/>
      <c r="M697" s="24"/>
      <c r="N697" s="21"/>
      <c r="P697" s="22"/>
      <c r="S697" s="21"/>
    </row>
    <row r="698" spans="1:19" x14ac:dyDescent="0.35">
      <c r="A698" s="25">
        <v>45496</v>
      </c>
      <c r="B698" s="24">
        <v>36011.83</v>
      </c>
      <c r="C698" s="24">
        <v>36011.83</v>
      </c>
      <c r="D698" s="23">
        <f t="shared" si="10"/>
        <v>-3.278689432052694E-3</v>
      </c>
      <c r="F698" s="22"/>
      <c r="I698" s="21"/>
      <c r="K698" s="22"/>
      <c r="L698" s="24"/>
      <c r="M698" s="24"/>
      <c r="N698" s="21"/>
      <c r="P698" s="22"/>
      <c r="S698" s="21"/>
    </row>
    <row r="699" spans="1:19" x14ac:dyDescent="0.35">
      <c r="A699" s="25">
        <v>45497</v>
      </c>
      <c r="B699" s="24">
        <v>36101.160000000003</v>
      </c>
      <c r="C699" s="24">
        <v>36101.160000000003</v>
      </c>
      <c r="D699" s="23">
        <f t="shared" si="10"/>
        <v>2.4805737447944672E-3</v>
      </c>
      <c r="F699" s="22"/>
      <c r="I699" s="21"/>
      <c r="K699" s="22"/>
      <c r="L699" s="24"/>
      <c r="M699" s="24"/>
      <c r="N699" s="21"/>
      <c r="P699" s="22"/>
      <c r="S699" s="21"/>
    </row>
    <row r="700" spans="1:19" x14ac:dyDescent="0.35">
      <c r="A700" s="25">
        <v>45498</v>
      </c>
      <c r="B700" s="24">
        <v>36094.83</v>
      </c>
      <c r="C700" s="24">
        <v>36094.83</v>
      </c>
      <c r="D700" s="23">
        <f t="shared" si="10"/>
        <v>-1.7534062617383336E-4</v>
      </c>
      <c r="F700" s="22"/>
      <c r="I700" s="21"/>
      <c r="K700" s="22"/>
      <c r="L700" s="24"/>
      <c r="M700" s="24"/>
      <c r="N700" s="21"/>
      <c r="P700" s="22"/>
      <c r="S700" s="21"/>
    </row>
    <row r="701" spans="1:19" x14ac:dyDescent="0.35">
      <c r="A701" s="25">
        <v>45499</v>
      </c>
      <c r="B701" s="24">
        <v>36686.769999999997</v>
      </c>
      <c r="C701" s="24">
        <v>36686.769999999997</v>
      </c>
      <c r="D701" s="23">
        <f t="shared" si="10"/>
        <v>1.6399578554601727E-2</v>
      </c>
      <c r="F701" s="22"/>
      <c r="I701" s="21"/>
      <c r="K701" s="22"/>
      <c r="L701" s="24"/>
      <c r="M701" s="24"/>
      <c r="N701" s="21"/>
      <c r="P701" s="22"/>
      <c r="S701" s="21"/>
    </row>
    <row r="702" spans="1:19" x14ac:dyDescent="0.35">
      <c r="A702" s="25">
        <v>45502</v>
      </c>
      <c r="B702" s="24">
        <v>36848.019999999997</v>
      </c>
      <c r="C702" s="24">
        <v>36848.019999999997</v>
      </c>
      <c r="D702" s="23">
        <f t="shared" si="10"/>
        <v>4.3953174400471889E-3</v>
      </c>
      <c r="F702" s="22"/>
      <c r="I702" s="21"/>
      <c r="K702" s="22"/>
      <c r="L702" s="24"/>
      <c r="M702" s="24"/>
      <c r="N702" s="21"/>
      <c r="P702" s="22"/>
      <c r="S702" s="21"/>
    </row>
    <row r="703" spans="1:19" x14ac:dyDescent="0.35">
      <c r="A703" s="25">
        <v>45503</v>
      </c>
      <c r="B703" s="24">
        <v>36923.230000000003</v>
      </c>
      <c r="C703" s="24">
        <v>36923.230000000003</v>
      </c>
      <c r="D703" s="23">
        <f t="shared" si="10"/>
        <v>2.0410866038394035E-3</v>
      </c>
      <c r="F703" s="22"/>
      <c r="I703" s="21"/>
      <c r="K703" s="22"/>
      <c r="L703" s="24"/>
      <c r="M703" s="24"/>
      <c r="N703" s="21"/>
      <c r="P703" s="22"/>
      <c r="S703" s="21"/>
    </row>
    <row r="704" spans="1:19" x14ac:dyDescent="0.35">
      <c r="A704" s="25">
        <v>45504</v>
      </c>
      <c r="B704" s="24">
        <v>37066.080000000002</v>
      </c>
      <c r="C704" s="24">
        <v>37066.080000000002</v>
      </c>
      <c r="D704" s="23">
        <f t="shared" si="10"/>
        <v>3.8688381271085584E-3</v>
      </c>
      <c r="F704" s="22"/>
      <c r="I704" s="21"/>
      <c r="K704" s="22"/>
      <c r="L704" s="24"/>
      <c r="M704" s="24"/>
      <c r="N704" s="21"/>
      <c r="P704" s="22"/>
      <c r="S704" s="21"/>
    </row>
    <row r="705" spans="1:19" x14ac:dyDescent="0.35">
      <c r="A705" s="25">
        <v>45505</v>
      </c>
      <c r="B705" s="24">
        <v>37029.53</v>
      </c>
      <c r="C705" s="24">
        <v>37029.53</v>
      </c>
      <c r="D705" s="23">
        <f t="shared" si="10"/>
        <v>-9.8607675804948647E-4</v>
      </c>
      <c r="F705" s="22"/>
      <c r="I705" s="21"/>
      <c r="K705" s="22"/>
      <c r="L705" s="24"/>
      <c r="M705" s="24"/>
      <c r="N705" s="21"/>
      <c r="P705" s="22"/>
      <c r="S705" s="21"/>
    </row>
    <row r="706" spans="1:19" x14ac:dyDescent="0.35">
      <c r="A706" s="25">
        <v>45506</v>
      </c>
      <c r="B706" s="24">
        <v>36647.21</v>
      </c>
      <c r="C706" s="24">
        <v>36647.21</v>
      </c>
      <c r="D706" s="23">
        <f t="shared" si="10"/>
        <v>-1.0324732720075025E-2</v>
      </c>
      <c r="F706" s="22"/>
      <c r="I706" s="21"/>
      <c r="K706" s="22"/>
      <c r="L706" s="24"/>
      <c r="M706" s="24"/>
      <c r="N706" s="21"/>
      <c r="P706" s="22"/>
      <c r="S706" s="21"/>
    </row>
    <row r="707" spans="1:19" x14ac:dyDescent="0.35">
      <c r="A707" s="25">
        <v>45509</v>
      </c>
      <c r="B707" s="24">
        <v>35519.5</v>
      </c>
      <c r="C707" s="24">
        <v>35519.5</v>
      </c>
      <c r="D707" s="23">
        <f t="shared" ref="D707:D770" si="11">(B707-B706)/B706</f>
        <v>-3.0772056044648395E-2</v>
      </c>
      <c r="F707" s="22"/>
      <c r="I707" s="21"/>
      <c r="K707" s="22"/>
      <c r="L707" s="24"/>
      <c r="M707" s="24"/>
      <c r="N707" s="21"/>
      <c r="P707" s="22"/>
      <c r="S707" s="21"/>
    </row>
    <row r="708" spans="1:19" x14ac:dyDescent="0.35">
      <c r="A708" s="25">
        <v>45510</v>
      </c>
      <c r="B708" s="24">
        <v>35364.14</v>
      </c>
      <c r="C708" s="24">
        <v>35364.14</v>
      </c>
      <c r="D708" s="23">
        <f t="shared" si="11"/>
        <v>-4.3739354439111073E-3</v>
      </c>
      <c r="F708" s="22"/>
      <c r="I708" s="21"/>
      <c r="K708" s="22"/>
      <c r="L708" s="24"/>
      <c r="M708" s="24"/>
      <c r="N708" s="21"/>
      <c r="P708" s="22"/>
      <c r="S708" s="21"/>
    </row>
    <row r="709" spans="1:19" x14ac:dyDescent="0.35">
      <c r="A709" s="25">
        <v>45511</v>
      </c>
      <c r="B709" s="24">
        <v>36012.32</v>
      </c>
      <c r="C709" s="24">
        <v>36012.32</v>
      </c>
      <c r="D709" s="23">
        <f t="shared" si="11"/>
        <v>1.8328736397944367E-2</v>
      </c>
      <c r="F709" s="22"/>
      <c r="I709" s="21"/>
      <c r="K709" s="22"/>
      <c r="L709" s="24"/>
      <c r="M709" s="24"/>
      <c r="N709" s="21"/>
      <c r="P709" s="22"/>
      <c r="S709" s="21"/>
    </row>
    <row r="710" spans="1:19" x14ac:dyDescent="0.35">
      <c r="A710" s="25">
        <v>45512</v>
      </c>
      <c r="B710" s="24">
        <v>35786.639999999999</v>
      </c>
      <c r="C710" s="24">
        <v>35786.639999999999</v>
      </c>
      <c r="D710" s="23">
        <f t="shared" si="11"/>
        <v>-6.2667442697388089E-3</v>
      </c>
      <c r="F710" s="22"/>
      <c r="I710" s="21"/>
      <c r="K710" s="22"/>
      <c r="L710" s="24"/>
      <c r="M710" s="24"/>
      <c r="N710" s="21"/>
      <c r="P710" s="22"/>
      <c r="S710" s="21"/>
    </row>
    <row r="711" spans="1:19" x14ac:dyDescent="0.35">
      <c r="A711" s="25">
        <v>45513</v>
      </c>
      <c r="B711" s="24">
        <v>36133.360000000001</v>
      </c>
      <c r="C711" s="24">
        <v>36133.360000000001</v>
      </c>
      <c r="D711" s="23">
        <f t="shared" si="11"/>
        <v>9.6885318096362541E-3</v>
      </c>
      <c r="F711" s="22"/>
      <c r="I711" s="21"/>
      <c r="K711" s="22"/>
      <c r="L711" s="24"/>
      <c r="M711" s="24"/>
      <c r="N711" s="21"/>
      <c r="P711" s="22"/>
      <c r="S711" s="21"/>
    </row>
    <row r="712" spans="1:19" x14ac:dyDescent="0.35">
      <c r="A712" s="25">
        <v>45516</v>
      </c>
      <c r="B712" s="24">
        <v>36135.49</v>
      </c>
      <c r="C712" s="24">
        <v>36135.49</v>
      </c>
      <c r="D712" s="23">
        <f t="shared" si="11"/>
        <v>5.8948295979044867E-5</v>
      </c>
      <c r="F712" s="22"/>
      <c r="I712" s="21"/>
      <c r="K712" s="22"/>
      <c r="L712" s="24"/>
      <c r="M712" s="24"/>
      <c r="N712" s="21"/>
      <c r="P712" s="22"/>
      <c r="S712" s="21"/>
    </row>
    <row r="713" spans="1:19" x14ac:dyDescent="0.35">
      <c r="A713" s="25">
        <v>45517</v>
      </c>
      <c r="B713" s="24">
        <v>35804.660000000003</v>
      </c>
      <c r="C713" s="24">
        <v>35804.660000000003</v>
      </c>
      <c r="D713" s="23">
        <f t="shared" si="11"/>
        <v>-9.1552653637737985E-3</v>
      </c>
      <c r="F713" s="22"/>
      <c r="I713" s="21"/>
      <c r="K713" s="22"/>
      <c r="L713" s="24"/>
      <c r="M713" s="24"/>
      <c r="N713" s="21"/>
      <c r="P713" s="22"/>
      <c r="S713" s="21"/>
    </row>
    <row r="714" spans="1:19" x14ac:dyDescent="0.35">
      <c r="A714" s="25">
        <v>45518</v>
      </c>
      <c r="B714" s="24">
        <v>35754.300000000003</v>
      </c>
      <c r="C714" s="24">
        <v>35754.300000000003</v>
      </c>
      <c r="D714" s="23">
        <f t="shared" si="11"/>
        <v>-1.4065208271772606E-3</v>
      </c>
      <c r="F714" s="22"/>
      <c r="I714" s="21"/>
      <c r="K714" s="22"/>
      <c r="L714" s="24"/>
      <c r="M714" s="24"/>
      <c r="N714" s="21"/>
      <c r="P714" s="22"/>
      <c r="S714" s="21"/>
    </row>
    <row r="715" spans="1:19" x14ac:dyDescent="0.35">
      <c r="A715" s="25">
        <v>45520</v>
      </c>
      <c r="B715" s="24">
        <v>36365.97</v>
      </c>
      <c r="C715" s="24">
        <v>36365.97</v>
      </c>
      <c r="D715" s="23">
        <f t="shared" si="11"/>
        <v>1.7107592653191315E-2</v>
      </c>
      <c r="F715" s="22"/>
      <c r="I715" s="21"/>
      <c r="K715" s="22"/>
      <c r="L715" s="24"/>
      <c r="M715" s="24"/>
      <c r="N715" s="21"/>
      <c r="P715" s="22"/>
      <c r="S715" s="21"/>
    </row>
    <row r="716" spans="1:19" x14ac:dyDescent="0.35">
      <c r="A716" s="25">
        <v>45523</v>
      </c>
      <c r="B716" s="24">
        <v>36503.86</v>
      </c>
      <c r="C716" s="24">
        <v>36503.86</v>
      </c>
      <c r="D716" s="23">
        <f t="shared" si="11"/>
        <v>3.7917316656203427E-3</v>
      </c>
      <c r="F716" s="22"/>
      <c r="I716" s="21"/>
      <c r="K716" s="22"/>
      <c r="L716" s="24"/>
      <c r="M716" s="24"/>
      <c r="N716" s="21"/>
      <c r="P716" s="22"/>
      <c r="S716" s="21"/>
    </row>
    <row r="717" spans="1:19" x14ac:dyDescent="0.35">
      <c r="A717" s="25">
        <v>45524</v>
      </c>
      <c r="B717" s="24">
        <v>36726.550000000003</v>
      </c>
      <c r="C717" s="24">
        <v>36726.550000000003</v>
      </c>
      <c r="D717" s="23">
        <f t="shared" si="11"/>
        <v>6.1004507468525879E-3</v>
      </c>
      <c r="F717" s="22"/>
      <c r="I717" s="21"/>
      <c r="K717" s="22"/>
      <c r="L717" s="24"/>
      <c r="M717" s="24"/>
      <c r="N717" s="21"/>
      <c r="P717" s="22"/>
      <c r="S717" s="21"/>
    </row>
    <row r="718" spans="1:19" x14ac:dyDescent="0.35">
      <c r="A718" s="25">
        <v>45525</v>
      </c>
      <c r="B718" s="24">
        <v>36866.43</v>
      </c>
      <c r="C718" s="24">
        <v>36866.43</v>
      </c>
      <c r="D718" s="23">
        <f t="shared" si="11"/>
        <v>3.8086888095940777E-3</v>
      </c>
      <c r="F718" s="22"/>
      <c r="I718" s="21"/>
      <c r="K718" s="22"/>
      <c r="L718" s="24"/>
      <c r="M718" s="24"/>
      <c r="N718" s="21"/>
      <c r="P718" s="22"/>
      <c r="S718" s="21"/>
    </row>
    <row r="719" spans="1:19" x14ac:dyDescent="0.35">
      <c r="A719" s="25">
        <v>45526</v>
      </c>
      <c r="B719" s="24">
        <v>36980.53</v>
      </c>
      <c r="C719" s="24">
        <v>36980.53</v>
      </c>
      <c r="D719" s="23">
        <f t="shared" si="11"/>
        <v>3.0949565770268112E-3</v>
      </c>
      <c r="F719" s="22"/>
      <c r="I719" s="21"/>
      <c r="K719" s="22"/>
      <c r="L719" s="24"/>
      <c r="M719" s="24"/>
      <c r="N719" s="21"/>
      <c r="P719" s="22"/>
      <c r="S719" s="21"/>
    </row>
    <row r="720" spans="1:19" x14ac:dyDescent="0.35">
      <c r="A720" s="25">
        <v>45527</v>
      </c>
      <c r="B720" s="24">
        <v>36949.74</v>
      </c>
      <c r="C720" s="24">
        <v>36949.74</v>
      </c>
      <c r="D720" s="23">
        <f t="shared" si="11"/>
        <v>-8.3260028993637663E-4</v>
      </c>
      <c r="F720" s="22"/>
      <c r="I720" s="21"/>
      <c r="K720" s="22"/>
      <c r="L720" s="24"/>
      <c r="M720" s="24"/>
      <c r="N720" s="21"/>
      <c r="P720" s="22"/>
      <c r="S720" s="21"/>
    </row>
    <row r="721" spans="1:19" x14ac:dyDescent="0.35">
      <c r="A721" s="25">
        <v>45530</v>
      </c>
      <c r="B721" s="24">
        <v>37175.56</v>
      </c>
      <c r="C721" s="24">
        <v>37175.56</v>
      </c>
      <c r="D721" s="23">
        <f t="shared" si="11"/>
        <v>6.1115450338757385E-3</v>
      </c>
      <c r="F721" s="22"/>
      <c r="I721" s="21"/>
      <c r="K721" s="22"/>
      <c r="L721" s="24"/>
      <c r="M721" s="24"/>
      <c r="N721" s="21"/>
      <c r="P721" s="22"/>
      <c r="S721" s="21"/>
    </row>
    <row r="722" spans="1:19" x14ac:dyDescent="0.35">
      <c r="A722" s="25">
        <v>45531</v>
      </c>
      <c r="B722" s="24">
        <v>37243.599999999999</v>
      </c>
      <c r="C722" s="24">
        <v>37243.599999999999</v>
      </c>
      <c r="D722" s="23">
        <f t="shared" si="11"/>
        <v>1.8302347025841944E-3</v>
      </c>
      <c r="F722" s="22"/>
      <c r="I722" s="21"/>
      <c r="K722" s="22"/>
      <c r="L722" s="24"/>
      <c r="M722" s="24"/>
      <c r="N722" s="21"/>
      <c r="P722" s="22"/>
      <c r="S722" s="21"/>
    </row>
    <row r="723" spans="1:19" x14ac:dyDescent="0.35">
      <c r="A723" s="25">
        <v>45532</v>
      </c>
      <c r="B723" s="24">
        <v>37261.15</v>
      </c>
      <c r="C723" s="24">
        <v>37261.15</v>
      </c>
      <c r="D723" s="23">
        <f t="shared" si="11"/>
        <v>4.7122190121263546E-4</v>
      </c>
      <c r="F723" s="22"/>
      <c r="I723" s="21"/>
      <c r="K723" s="22"/>
      <c r="L723" s="24"/>
      <c r="M723" s="24"/>
      <c r="N723" s="21"/>
      <c r="P723" s="22"/>
      <c r="S723" s="21"/>
    </row>
    <row r="724" spans="1:19" x14ac:dyDescent="0.35">
      <c r="A724" s="25">
        <v>45533</v>
      </c>
      <c r="B724" s="24">
        <v>37285.57</v>
      </c>
      <c r="C724" s="24">
        <v>37285.57</v>
      </c>
      <c r="D724" s="23">
        <f t="shared" si="11"/>
        <v>6.5537429735792519E-4</v>
      </c>
      <c r="F724" s="22"/>
      <c r="I724" s="21"/>
      <c r="K724" s="22"/>
      <c r="L724" s="24"/>
      <c r="M724" s="24"/>
      <c r="N724" s="21"/>
      <c r="P724" s="22"/>
      <c r="S724" s="21"/>
    </row>
    <row r="725" spans="1:19" x14ac:dyDescent="0.35">
      <c r="A725" s="25">
        <v>45534</v>
      </c>
      <c r="B725" s="24">
        <v>37449.919999999998</v>
      </c>
      <c r="C725" s="24">
        <v>37449.919999999998</v>
      </c>
      <c r="D725" s="23">
        <f t="shared" si="11"/>
        <v>4.4078714634106049E-3</v>
      </c>
      <c r="F725" s="22"/>
      <c r="I725" s="21"/>
      <c r="K725" s="22"/>
      <c r="L725" s="24"/>
      <c r="M725" s="24"/>
      <c r="N725" s="21"/>
      <c r="P725" s="22"/>
      <c r="S725" s="21"/>
    </row>
    <row r="726" spans="1:19" x14ac:dyDescent="0.35">
      <c r="A726" s="25">
        <v>45537</v>
      </c>
      <c r="B726" s="24">
        <v>37491.24</v>
      </c>
      <c r="C726" s="24">
        <v>37491.24</v>
      </c>
      <c r="D726" s="23">
        <f t="shared" si="11"/>
        <v>1.1033401406464877E-3</v>
      </c>
      <c r="F726" s="22"/>
      <c r="I726" s="21"/>
      <c r="K726" s="22"/>
      <c r="L726" s="24"/>
      <c r="M726" s="24"/>
      <c r="N726" s="21"/>
      <c r="P726" s="22"/>
      <c r="S726" s="21"/>
    </row>
    <row r="727" spans="1:19" x14ac:dyDescent="0.35">
      <c r="A727" s="25">
        <v>45538</v>
      </c>
      <c r="B727" s="24">
        <v>37535.120000000003</v>
      </c>
      <c r="C727" s="24">
        <v>37535.120000000003</v>
      </c>
      <c r="D727" s="23">
        <f t="shared" si="11"/>
        <v>1.1704067403480029E-3</v>
      </c>
      <c r="F727" s="22"/>
      <c r="I727" s="21"/>
      <c r="K727" s="22"/>
      <c r="L727" s="24"/>
      <c r="M727" s="24"/>
      <c r="N727" s="21"/>
      <c r="P727" s="22"/>
      <c r="S727" s="21"/>
    </row>
    <row r="728" spans="1:19" x14ac:dyDescent="0.35">
      <c r="A728" s="25">
        <v>45539</v>
      </c>
      <c r="B728" s="24">
        <v>37472.699999999997</v>
      </c>
      <c r="C728" s="24">
        <v>37472.699999999997</v>
      </c>
      <c r="D728" s="23">
        <f t="shared" si="11"/>
        <v>-1.6629759009696924E-3</v>
      </c>
      <c r="F728" s="22"/>
      <c r="I728" s="21"/>
      <c r="K728" s="22"/>
      <c r="L728" s="24"/>
      <c r="M728" s="24"/>
      <c r="N728" s="21"/>
      <c r="P728" s="22"/>
      <c r="S728" s="21"/>
    </row>
    <row r="729" spans="1:19" x14ac:dyDescent="0.35">
      <c r="A729" s="25">
        <v>45540</v>
      </c>
      <c r="B729" s="24">
        <v>37494.75</v>
      </c>
      <c r="C729" s="24">
        <v>37494.75</v>
      </c>
      <c r="D729" s="23">
        <f t="shared" si="11"/>
        <v>5.8842837585770206E-4</v>
      </c>
      <c r="F729" s="22"/>
      <c r="I729" s="21"/>
      <c r="K729" s="22"/>
      <c r="L729" s="24"/>
      <c r="M729" s="24"/>
      <c r="N729" s="21"/>
      <c r="P729" s="22"/>
      <c r="S729" s="21"/>
    </row>
    <row r="730" spans="1:19" x14ac:dyDescent="0.35">
      <c r="A730" s="25">
        <v>45541</v>
      </c>
      <c r="B730" s="24">
        <v>37045.67</v>
      </c>
      <c r="C730" s="24">
        <v>37045.67</v>
      </c>
      <c r="D730" s="23">
        <f t="shared" si="11"/>
        <v>-1.1977143466752058E-2</v>
      </c>
      <c r="F730" s="22"/>
      <c r="I730" s="21"/>
      <c r="K730" s="22"/>
      <c r="L730" s="24"/>
      <c r="M730" s="24"/>
      <c r="N730" s="21"/>
      <c r="P730" s="22"/>
      <c r="S730" s="21"/>
    </row>
    <row r="731" spans="1:19" x14ac:dyDescent="0.35">
      <c r="A731" s="25">
        <v>45544</v>
      </c>
      <c r="B731" s="24">
        <v>37084.589999999997</v>
      </c>
      <c r="C731" s="24">
        <v>37084.589999999997</v>
      </c>
      <c r="D731" s="23">
        <f t="shared" si="11"/>
        <v>1.0505951167841816E-3</v>
      </c>
      <c r="F731" s="22"/>
      <c r="I731" s="21"/>
      <c r="K731" s="22"/>
      <c r="L731" s="24"/>
      <c r="M731" s="24"/>
      <c r="N731" s="21"/>
      <c r="P731" s="22"/>
      <c r="S731" s="21"/>
    </row>
    <row r="732" spans="1:19" x14ac:dyDescent="0.35">
      <c r="A732" s="25">
        <v>45545</v>
      </c>
      <c r="B732" s="24">
        <v>37307.879999999997</v>
      </c>
      <c r="C732" s="24">
        <v>37307.879999999997</v>
      </c>
      <c r="D732" s="23">
        <f t="shared" si="11"/>
        <v>6.0210993299373381E-3</v>
      </c>
      <c r="F732" s="22"/>
      <c r="I732" s="21"/>
      <c r="K732" s="22"/>
      <c r="L732" s="24"/>
      <c r="M732" s="24"/>
      <c r="N732" s="21"/>
      <c r="P732" s="22"/>
      <c r="S732" s="21"/>
    </row>
    <row r="733" spans="1:19" x14ac:dyDescent="0.35">
      <c r="A733" s="25">
        <v>45546</v>
      </c>
      <c r="B733" s="24">
        <v>37130.71</v>
      </c>
      <c r="C733" s="24">
        <v>37130.71</v>
      </c>
      <c r="D733" s="23">
        <f t="shared" si="11"/>
        <v>-4.7488627067525215E-3</v>
      </c>
      <c r="F733" s="22"/>
      <c r="I733" s="21"/>
      <c r="K733" s="22"/>
      <c r="L733" s="24"/>
      <c r="M733" s="24"/>
      <c r="N733" s="21"/>
      <c r="P733" s="22"/>
      <c r="S733" s="21"/>
    </row>
    <row r="734" spans="1:19" x14ac:dyDescent="0.35">
      <c r="A734" s="25">
        <v>45547</v>
      </c>
      <c r="B734" s="24">
        <v>37724.21</v>
      </c>
      <c r="C734" s="24">
        <v>37724.21</v>
      </c>
      <c r="D734" s="23">
        <f t="shared" si="11"/>
        <v>1.5984073560672555E-2</v>
      </c>
      <c r="F734" s="22"/>
      <c r="I734" s="21"/>
      <c r="K734" s="22"/>
      <c r="L734" s="24"/>
      <c r="M734" s="24"/>
      <c r="N734" s="21"/>
      <c r="P734" s="22"/>
      <c r="S734" s="21"/>
    </row>
    <row r="735" spans="1:19" x14ac:dyDescent="0.35">
      <c r="A735" s="25">
        <v>45548</v>
      </c>
      <c r="B735" s="24">
        <v>37757.919999999998</v>
      </c>
      <c r="C735" s="24">
        <v>37757.919999999998</v>
      </c>
      <c r="D735" s="23">
        <f t="shared" si="11"/>
        <v>8.9359061462119757E-4</v>
      </c>
      <c r="F735" s="22"/>
      <c r="I735" s="21"/>
      <c r="K735" s="22"/>
      <c r="L735" s="24"/>
      <c r="M735" s="24"/>
      <c r="N735" s="21"/>
      <c r="P735" s="22"/>
      <c r="S735" s="21"/>
    </row>
    <row r="736" spans="1:19" x14ac:dyDescent="0.35">
      <c r="A736" s="25">
        <v>45551</v>
      </c>
      <c r="B736" s="24">
        <v>37821.03</v>
      </c>
      <c r="C736" s="24">
        <v>37821.03</v>
      </c>
      <c r="D736" s="23">
        <f t="shared" si="11"/>
        <v>1.6714374096878373E-3</v>
      </c>
      <c r="F736" s="22"/>
      <c r="I736" s="21"/>
      <c r="K736" s="22"/>
      <c r="L736" s="24"/>
      <c r="M736" s="24"/>
      <c r="N736" s="21"/>
      <c r="P736" s="22"/>
      <c r="S736" s="21"/>
    </row>
    <row r="737" spans="1:19" x14ac:dyDescent="0.35">
      <c r="A737" s="25">
        <v>45552</v>
      </c>
      <c r="B737" s="24">
        <v>37824.519999999997</v>
      </c>
      <c r="C737" s="24">
        <v>37824.519999999997</v>
      </c>
      <c r="D737" s="23">
        <f t="shared" si="11"/>
        <v>9.2276704256810633E-5</v>
      </c>
      <c r="F737" s="22"/>
      <c r="I737" s="21"/>
      <c r="K737" s="22"/>
      <c r="L737" s="24"/>
      <c r="M737" s="24"/>
      <c r="N737" s="21"/>
      <c r="P737" s="22"/>
      <c r="S737" s="21"/>
    </row>
    <row r="738" spans="1:19" x14ac:dyDescent="0.35">
      <c r="A738" s="25">
        <v>45553</v>
      </c>
      <c r="B738" s="24">
        <v>37712.14</v>
      </c>
      <c r="C738" s="24">
        <v>37712.14</v>
      </c>
      <c r="D738" s="23">
        <f t="shared" si="11"/>
        <v>-2.9710885954401375E-3</v>
      </c>
      <c r="F738" s="22"/>
      <c r="I738" s="21"/>
      <c r="K738" s="22"/>
      <c r="L738" s="24"/>
      <c r="M738" s="24"/>
      <c r="N738" s="21"/>
      <c r="P738" s="22"/>
      <c r="S738" s="21"/>
    </row>
    <row r="739" spans="1:19" x14ac:dyDescent="0.35">
      <c r="A739" s="25">
        <v>45554</v>
      </c>
      <c r="B739" s="24">
        <v>37642.28</v>
      </c>
      <c r="C739" s="24">
        <v>37642.28</v>
      </c>
      <c r="D739" s="23">
        <f t="shared" si="11"/>
        <v>-1.8524538782471794E-3</v>
      </c>
      <c r="F739" s="22"/>
      <c r="I739" s="21"/>
      <c r="K739" s="22"/>
      <c r="L739" s="24"/>
      <c r="M739" s="24"/>
      <c r="N739" s="21"/>
      <c r="P739" s="22"/>
      <c r="S739" s="21"/>
    </row>
    <row r="740" spans="1:19" x14ac:dyDescent="0.35">
      <c r="A740" s="25">
        <v>45555</v>
      </c>
      <c r="B740" s="24">
        <v>38179.29</v>
      </c>
      <c r="C740" s="24">
        <v>38179.29</v>
      </c>
      <c r="D740" s="23">
        <f t="shared" si="11"/>
        <v>1.4266139033023558E-2</v>
      </c>
      <c r="F740" s="22"/>
      <c r="I740" s="21"/>
      <c r="K740" s="22"/>
      <c r="L740" s="24"/>
      <c r="M740" s="24"/>
      <c r="N740" s="21"/>
      <c r="P740" s="22"/>
      <c r="S740" s="21"/>
    </row>
    <row r="741" spans="1:19" x14ac:dyDescent="0.35">
      <c r="A741" s="25">
        <v>45558</v>
      </c>
      <c r="B741" s="24">
        <v>38472.29</v>
      </c>
      <c r="C741" s="24">
        <v>38472.29</v>
      </c>
      <c r="D741" s="23">
        <f t="shared" si="11"/>
        <v>7.6743176732726043E-3</v>
      </c>
      <c r="F741" s="22"/>
      <c r="I741" s="21"/>
      <c r="K741" s="22"/>
      <c r="L741" s="24"/>
      <c r="M741" s="24"/>
      <c r="N741" s="21"/>
      <c r="P741" s="22"/>
      <c r="S741" s="21"/>
    </row>
    <row r="742" spans="1:19" x14ac:dyDescent="0.35">
      <c r="A742" s="25">
        <v>45559</v>
      </c>
      <c r="B742" s="24">
        <v>38488.870000000003</v>
      </c>
      <c r="C742" s="24">
        <v>38488.870000000003</v>
      </c>
      <c r="D742" s="23">
        <f t="shared" si="11"/>
        <v>4.3095952957314854E-4</v>
      </c>
      <c r="F742" s="22"/>
      <c r="I742" s="21"/>
      <c r="K742" s="22"/>
      <c r="L742" s="24"/>
      <c r="M742" s="24"/>
      <c r="N742" s="21"/>
      <c r="P742" s="22"/>
      <c r="S742" s="21"/>
    </row>
    <row r="743" spans="1:19" x14ac:dyDescent="0.35">
      <c r="A743" s="25">
        <v>45560</v>
      </c>
      <c r="B743" s="24">
        <v>38460.31</v>
      </c>
      <c r="C743" s="24">
        <v>38460.31</v>
      </c>
      <c r="D743" s="23">
        <f t="shared" si="11"/>
        <v>-7.4203269672518178E-4</v>
      </c>
      <c r="F743" s="22"/>
      <c r="I743" s="21"/>
      <c r="K743" s="22"/>
      <c r="L743" s="24"/>
      <c r="M743" s="24"/>
      <c r="N743" s="21"/>
      <c r="P743" s="22"/>
      <c r="S743" s="21"/>
    </row>
    <row r="744" spans="1:19" x14ac:dyDescent="0.35">
      <c r="A744" s="25">
        <v>45561</v>
      </c>
      <c r="B744" s="24">
        <v>38658.58</v>
      </c>
      <c r="C744" s="24">
        <v>38658.58</v>
      </c>
      <c r="D744" s="23">
        <f t="shared" si="11"/>
        <v>5.1551846565980382E-3</v>
      </c>
      <c r="F744" s="22"/>
      <c r="I744" s="21"/>
      <c r="K744" s="22"/>
      <c r="L744" s="24"/>
      <c r="M744" s="24"/>
      <c r="N744" s="21"/>
      <c r="P744" s="22"/>
      <c r="S744" s="21"/>
    </row>
    <row r="745" spans="1:19" x14ac:dyDescent="0.35">
      <c r="A745" s="25">
        <v>45562</v>
      </c>
      <c r="B745" s="24">
        <v>38646.949999999997</v>
      </c>
      <c r="C745" s="24">
        <v>38646.949999999997</v>
      </c>
      <c r="D745" s="23">
        <f t="shared" si="11"/>
        <v>-3.0083877886887353E-4</v>
      </c>
      <c r="F745" s="22"/>
      <c r="I745" s="21"/>
      <c r="K745" s="22"/>
      <c r="L745" s="24"/>
      <c r="M745" s="24"/>
      <c r="N745" s="21"/>
      <c r="P745" s="22"/>
      <c r="S745" s="21"/>
    </row>
    <row r="746" spans="1:19" x14ac:dyDescent="0.35">
      <c r="A746" s="25">
        <v>45565</v>
      </c>
      <c r="B746" s="24">
        <v>38261.39</v>
      </c>
      <c r="C746" s="24">
        <v>38261.39</v>
      </c>
      <c r="D746" s="23">
        <f t="shared" si="11"/>
        <v>-9.9764664481931352E-3</v>
      </c>
      <c r="F746" s="22"/>
      <c r="I746" s="21"/>
      <c r="K746" s="22"/>
      <c r="L746" s="24"/>
      <c r="M746" s="24"/>
      <c r="N746" s="21"/>
      <c r="P746" s="22"/>
      <c r="S746" s="21"/>
    </row>
    <row r="747" spans="1:19" x14ac:dyDescent="0.35">
      <c r="A747" s="25">
        <v>45568</v>
      </c>
      <c r="B747" s="24">
        <v>37488.51</v>
      </c>
      <c r="C747" s="24">
        <v>37488.51</v>
      </c>
      <c r="D747" s="23">
        <f t="shared" si="11"/>
        <v>-2.0199997961391297E-2</v>
      </c>
      <c r="F747" s="22"/>
      <c r="I747" s="21"/>
      <c r="K747" s="22"/>
      <c r="L747" s="24"/>
      <c r="M747" s="24"/>
      <c r="N747" s="21"/>
      <c r="P747" s="22"/>
      <c r="S747" s="21"/>
    </row>
    <row r="748" spans="1:19" x14ac:dyDescent="0.35">
      <c r="A748" s="25">
        <v>45569</v>
      </c>
      <c r="B748" s="24">
        <v>37140.49</v>
      </c>
      <c r="C748" s="24">
        <v>37140.49</v>
      </c>
      <c r="D748" s="23">
        <f t="shared" si="11"/>
        <v>-9.2833777602791909E-3</v>
      </c>
      <c r="F748" s="22"/>
      <c r="I748" s="21"/>
      <c r="K748" s="22"/>
      <c r="L748" s="24"/>
      <c r="M748" s="24"/>
      <c r="N748" s="21"/>
      <c r="P748" s="22"/>
      <c r="S748" s="21"/>
    </row>
    <row r="749" spans="1:19" x14ac:dyDescent="0.35">
      <c r="A749" s="25">
        <v>45572</v>
      </c>
      <c r="B749" s="24">
        <v>36583.47</v>
      </c>
      <c r="C749" s="24">
        <v>36583.47</v>
      </c>
      <c r="D749" s="23">
        <f t="shared" si="11"/>
        <v>-1.499764811934352E-2</v>
      </c>
      <c r="F749" s="22"/>
      <c r="I749" s="21"/>
      <c r="K749" s="22"/>
      <c r="L749" s="24"/>
      <c r="M749" s="24"/>
      <c r="N749" s="21"/>
      <c r="P749" s="22"/>
      <c r="S749" s="21"/>
    </row>
    <row r="750" spans="1:19" x14ac:dyDescent="0.35">
      <c r="A750" s="25">
        <v>45573</v>
      </c>
      <c r="B750" s="24">
        <v>37105.17</v>
      </c>
      <c r="C750" s="24">
        <v>37105.17</v>
      </c>
      <c r="D750" s="23">
        <f t="shared" si="11"/>
        <v>1.4260538981129922E-2</v>
      </c>
      <c r="F750" s="22"/>
      <c r="I750" s="21"/>
      <c r="K750" s="22"/>
      <c r="L750" s="24"/>
      <c r="M750" s="24"/>
      <c r="N750" s="21"/>
      <c r="P750" s="22"/>
      <c r="S750" s="21"/>
    </row>
    <row r="751" spans="1:19" x14ac:dyDescent="0.35">
      <c r="A751" s="25">
        <v>45574</v>
      </c>
      <c r="B751" s="24">
        <v>37242.54</v>
      </c>
      <c r="C751" s="24">
        <v>37242.54</v>
      </c>
      <c r="D751" s="23">
        <f t="shared" si="11"/>
        <v>3.7021795075996857E-3</v>
      </c>
      <c r="F751" s="22"/>
      <c r="I751" s="21"/>
      <c r="K751" s="22"/>
      <c r="L751" s="24"/>
      <c r="M751" s="24"/>
      <c r="N751" s="21"/>
      <c r="P751" s="22"/>
      <c r="S751" s="21"/>
    </row>
    <row r="752" spans="1:19" x14ac:dyDescent="0.35">
      <c r="A752" s="25">
        <v>45575</v>
      </c>
      <c r="B752" s="24">
        <v>37240.29</v>
      </c>
      <c r="C752" s="24">
        <v>37240.29</v>
      </c>
      <c r="D752" s="23">
        <f t="shared" si="11"/>
        <v>-6.0414783739240127E-5</v>
      </c>
      <c r="F752" s="22"/>
      <c r="I752" s="21"/>
      <c r="K752" s="22"/>
      <c r="L752" s="24"/>
      <c r="M752" s="24"/>
      <c r="N752" s="21"/>
      <c r="P752" s="22"/>
      <c r="S752" s="21"/>
    </row>
    <row r="753" spans="1:19" x14ac:dyDescent="0.35">
      <c r="A753" s="25">
        <v>45576</v>
      </c>
      <c r="B753" s="24">
        <v>37261.17</v>
      </c>
      <c r="C753" s="24">
        <v>37261.17</v>
      </c>
      <c r="D753" s="23">
        <f t="shared" si="11"/>
        <v>5.6068306664629577E-4</v>
      </c>
      <c r="F753" s="22"/>
      <c r="I753" s="21"/>
      <c r="K753" s="22"/>
      <c r="L753" s="24"/>
      <c r="M753" s="24"/>
      <c r="N753" s="21"/>
      <c r="P753" s="22"/>
      <c r="S753" s="21"/>
    </row>
    <row r="754" spans="1:19" x14ac:dyDescent="0.35">
      <c r="A754" s="25">
        <v>45579</v>
      </c>
      <c r="B754" s="24">
        <v>37443.97</v>
      </c>
      <c r="C754" s="24">
        <v>37443.97</v>
      </c>
      <c r="D754" s="23">
        <f t="shared" si="11"/>
        <v>4.9059114354166261E-3</v>
      </c>
      <c r="F754" s="22"/>
      <c r="I754" s="21"/>
      <c r="K754" s="22"/>
      <c r="L754" s="24"/>
      <c r="M754" s="24"/>
      <c r="N754" s="21"/>
      <c r="P754" s="22"/>
      <c r="S754" s="21"/>
    </row>
    <row r="755" spans="1:19" x14ac:dyDescent="0.35">
      <c r="A755" s="25">
        <v>45580</v>
      </c>
      <c r="B755" s="24">
        <v>37457.599999999999</v>
      </c>
      <c r="C755" s="24">
        <v>37457.599999999999</v>
      </c>
      <c r="D755" s="23">
        <f t="shared" si="11"/>
        <v>3.6401054695849239E-4</v>
      </c>
      <c r="F755" s="22"/>
      <c r="I755" s="21"/>
      <c r="K755" s="22"/>
      <c r="L755" s="24"/>
      <c r="M755" s="24"/>
      <c r="N755" s="21"/>
      <c r="P755" s="22"/>
      <c r="S755" s="21"/>
    </row>
    <row r="756" spans="1:19" x14ac:dyDescent="0.35">
      <c r="A756" s="25">
        <v>45581</v>
      </c>
      <c r="B756" s="24">
        <v>37358.9</v>
      </c>
      <c r="C756" s="24">
        <v>37358.9</v>
      </c>
      <c r="D756" s="23">
        <f t="shared" si="11"/>
        <v>-2.6349792832428423E-3</v>
      </c>
      <c r="F756" s="22"/>
      <c r="I756" s="21"/>
      <c r="K756" s="22"/>
      <c r="L756" s="24"/>
      <c r="M756" s="24"/>
      <c r="N756" s="21"/>
      <c r="P756" s="22"/>
      <c r="S756" s="21"/>
    </row>
    <row r="757" spans="1:19" x14ac:dyDescent="0.35">
      <c r="A757" s="25">
        <v>45582</v>
      </c>
      <c r="B757" s="24">
        <v>36891.5</v>
      </c>
      <c r="C757" s="24">
        <v>36891.5</v>
      </c>
      <c r="D757" s="23">
        <f t="shared" si="11"/>
        <v>-1.2511075004885085E-2</v>
      </c>
      <c r="F757" s="22"/>
      <c r="I757" s="21"/>
      <c r="K757" s="22"/>
      <c r="L757" s="24"/>
      <c r="M757" s="24"/>
      <c r="N757" s="21"/>
      <c r="P757" s="22"/>
      <c r="S757" s="21"/>
    </row>
    <row r="758" spans="1:19" x14ac:dyDescent="0.35">
      <c r="A758" s="25">
        <v>45583</v>
      </c>
      <c r="B758" s="24">
        <v>36994.04</v>
      </c>
      <c r="C758" s="24">
        <v>36994.04</v>
      </c>
      <c r="D758" s="23">
        <f t="shared" si="11"/>
        <v>2.7795020533185389E-3</v>
      </c>
      <c r="F758" s="22"/>
      <c r="I758" s="21"/>
      <c r="K758" s="22"/>
      <c r="L758" s="24"/>
      <c r="M758" s="24"/>
      <c r="N758" s="21"/>
      <c r="P758" s="22"/>
      <c r="S758" s="21"/>
    </row>
    <row r="759" spans="1:19" x14ac:dyDescent="0.35">
      <c r="A759" s="25">
        <v>45586</v>
      </c>
      <c r="B759" s="24">
        <v>36713.97</v>
      </c>
      <c r="C759" s="24">
        <v>36713.97</v>
      </c>
      <c r="D759" s="23">
        <f t="shared" si="11"/>
        <v>-7.5706789526096552E-3</v>
      </c>
      <c r="F759" s="22"/>
      <c r="I759" s="21"/>
      <c r="K759" s="22"/>
      <c r="L759" s="24"/>
      <c r="M759" s="24"/>
      <c r="N759" s="21"/>
      <c r="P759" s="22"/>
      <c r="S759" s="21"/>
    </row>
    <row r="760" spans="1:19" x14ac:dyDescent="0.35">
      <c r="A760" s="25">
        <v>45587</v>
      </c>
      <c r="B760" s="24">
        <v>36008.15</v>
      </c>
      <c r="C760" s="24">
        <v>36008.15</v>
      </c>
      <c r="D760" s="23">
        <f t="shared" si="11"/>
        <v>-1.9224834579316803E-2</v>
      </c>
      <c r="F760" s="22"/>
      <c r="I760" s="21"/>
      <c r="K760" s="22"/>
      <c r="L760" s="24"/>
      <c r="M760" s="24"/>
      <c r="N760" s="21"/>
      <c r="P760" s="22"/>
      <c r="S760" s="21"/>
    </row>
    <row r="761" spans="1:19" x14ac:dyDescent="0.35">
      <c r="A761" s="25">
        <v>45588</v>
      </c>
      <c r="B761" s="24">
        <v>36050.230000000003</v>
      </c>
      <c r="C761" s="24">
        <v>36050.230000000003</v>
      </c>
      <c r="D761" s="23">
        <f t="shared" si="11"/>
        <v>1.1686243253263983E-3</v>
      </c>
      <c r="F761" s="22"/>
      <c r="I761" s="21"/>
      <c r="K761" s="22"/>
      <c r="L761" s="24"/>
      <c r="M761" s="24"/>
      <c r="N761" s="21"/>
      <c r="P761" s="22"/>
      <c r="S761" s="21"/>
    </row>
    <row r="762" spans="1:19" x14ac:dyDescent="0.35">
      <c r="A762" s="25">
        <v>45589</v>
      </c>
      <c r="B762" s="24">
        <v>35966.15</v>
      </c>
      <c r="C762" s="24">
        <v>35966.15</v>
      </c>
      <c r="D762" s="23">
        <f t="shared" si="11"/>
        <v>-2.3323013473146147E-3</v>
      </c>
      <c r="F762" s="22"/>
      <c r="I762" s="21"/>
      <c r="K762" s="22"/>
      <c r="L762" s="24"/>
      <c r="M762" s="24"/>
      <c r="N762" s="21"/>
      <c r="P762" s="22"/>
      <c r="S762" s="21"/>
    </row>
    <row r="763" spans="1:19" x14ac:dyDescent="0.35">
      <c r="A763" s="25">
        <v>45590</v>
      </c>
      <c r="B763" s="24">
        <v>35510.879999999997</v>
      </c>
      <c r="C763" s="24">
        <v>35510.879999999997</v>
      </c>
      <c r="D763" s="23">
        <f t="shared" si="11"/>
        <v>-1.265829119880788E-2</v>
      </c>
      <c r="F763" s="22"/>
      <c r="I763" s="21"/>
      <c r="K763" s="22"/>
      <c r="L763" s="24"/>
      <c r="M763" s="24"/>
      <c r="N763" s="21"/>
      <c r="P763" s="22"/>
      <c r="S763" s="21"/>
    </row>
    <row r="764" spans="1:19" x14ac:dyDescent="0.35">
      <c r="A764" s="25">
        <v>45593</v>
      </c>
      <c r="B764" s="24">
        <v>35749.31</v>
      </c>
      <c r="C764" s="24">
        <v>35749.31</v>
      </c>
      <c r="D764" s="23">
        <f t="shared" si="11"/>
        <v>6.7142802431254959E-3</v>
      </c>
      <c r="F764" s="22"/>
      <c r="I764" s="21"/>
      <c r="K764" s="22"/>
      <c r="L764" s="24"/>
      <c r="M764" s="24"/>
      <c r="N764" s="21"/>
      <c r="P764" s="22"/>
      <c r="S764" s="21"/>
    </row>
    <row r="765" spans="1:19" x14ac:dyDescent="0.35">
      <c r="A765" s="25">
        <v>45594</v>
      </c>
      <c r="B765" s="24">
        <v>35992.9</v>
      </c>
      <c r="C765" s="24">
        <v>35992.9</v>
      </c>
      <c r="D765" s="23">
        <f t="shared" si="11"/>
        <v>6.8138378055409687E-3</v>
      </c>
      <c r="F765" s="22"/>
      <c r="I765" s="21"/>
      <c r="K765" s="22"/>
      <c r="L765" s="24"/>
      <c r="M765" s="24"/>
      <c r="N765" s="21"/>
      <c r="P765" s="22"/>
      <c r="S765" s="21"/>
    </row>
    <row r="766" spans="1:19" x14ac:dyDescent="0.35">
      <c r="A766" s="25">
        <v>45595</v>
      </c>
      <c r="B766" s="24">
        <v>35921.769999999997</v>
      </c>
      <c r="C766" s="24">
        <v>35921.769999999997</v>
      </c>
      <c r="D766" s="23">
        <f t="shared" si="11"/>
        <v>-1.9762230884425723E-3</v>
      </c>
      <c r="F766" s="22"/>
      <c r="I766" s="21"/>
      <c r="K766" s="22"/>
      <c r="L766" s="24"/>
      <c r="M766" s="24"/>
      <c r="N766" s="21"/>
      <c r="P766" s="22"/>
      <c r="S766" s="21"/>
    </row>
    <row r="767" spans="1:19" x14ac:dyDescent="0.35">
      <c r="A767" s="25">
        <v>45596</v>
      </c>
      <c r="B767" s="24">
        <v>35830.980000000003</v>
      </c>
      <c r="C767" s="24">
        <v>35830.980000000003</v>
      </c>
      <c r="D767" s="23">
        <f t="shared" si="11"/>
        <v>-2.5274367048169844E-3</v>
      </c>
      <c r="F767" s="22"/>
      <c r="I767" s="21"/>
      <c r="K767" s="22"/>
      <c r="L767" s="24"/>
      <c r="M767" s="24"/>
      <c r="N767" s="21"/>
      <c r="P767" s="22"/>
      <c r="S767" s="21"/>
    </row>
    <row r="768" spans="1:19" x14ac:dyDescent="0.35">
      <c r="A768" s="25">
        <v>45597</v>
      </c>
      <c r="B768" s="24">
        <v>36042.89</v>
      </c>
      <c r="C768" s="24">
        <v>36042.89</v>
      </c>
      <c r="D768" s="23">
        <f t="shared" si="11"/>
        <v>5.9141558506073848E-3</v>
      </c>
      <c r="F768" s="22"/>
      <c r="I768" s="21"/>
      <c r="K768" s="22"/>
      <c r="L768" s="24"/>
      <c r="M768" s="24"/>
      <c r="N768" s="21"/>
      <c r="P768" s="22"/>
      <c r="S768" s="21"/>
    </row>
    <row r="769" spans="1:19" x14ac:dyDescent="0.35">
      <c r="A769" s="25">
        <v>45600</v>
      </c>
      <c r="B769" s="24">
        <v>35561.760000000002</v>
      </c>
      <c r="C769" s="24">
        <v>35561.760000000002</v>
      </c>
      <c r="D769" s="23">
        <f t="shared" si="11"/>
        <v>-1.3348818588076522E-2</v>
      </c>
      <c r="F769" s="22"/>
      <c r="I769" s="21"/>
      <c r="K769" s="22"/>
      <c r="L769" s="24"/>
      <c r="M769" s="24"/>
      <c r="N769" s="21"/>
      <c r="P769" s="22"/>
      <c r="S769" s="21"/>
    </row>
    <row r="770" spans="1:19" x14ac:dyDescent="0.35">
      <c r="A770" s="25">
        <v>45601</v>
      </c>
      <c r="B770" s="24">
        <v>35816.9</v>
      </c>
      <c r="C770" s="24">
        <v>35816.9</v>
      </c>
      <c r="D770" s="23">
        <f t="shared" si="11"/>
        <v>7.1745605391858955E-3</v>
      </c>
      <c r="F770" s="22"/>
      <c r="I770" s="21"/>
      <c r="K770" s="22"/>
      <c r="L770" s="24"/>
      <c r="M770" s="24"/>
      <c r="N770" s="21"/>
      <c r="P770" s="22"/>
      <c r="S770" s="21"/>
    </row>
    <row r="771" spans="1:19" x14ac:dyDescent="0.35">
      <c r="A771" s="25">
        <v>45602</v>
      </c>
      <c r="B771" s="24">
        <v>36377.550000000003</v>
      </c>
      <c r="C771" s="24">
        <v>36377.550000000003</v>
      </c>
      <c r="D771" s="23">
        <f t="shared" ref="D771:D834" si="12">(B771-B770)/B770</f>
        <v>1.5653225153489034E-2</v>
      </c>
      <c r="F771" s="22"/>
      <c r="I771" s="21"/>
      <c r="K771" s="22"/>
      <c r="L771" s="24"/>
      <c r="M771" s="24"/>
      <c r="N771" s="21"/>
      <c r="P771" s="22"/>
      <c r="S771" s="21"/>
    </row>
    <row r="772" spans="1:19" x14ac:dyDescent="0.35">
      <c r="A772" s="25">
        <v>45603</v>
      </c>
      <c r="B772" s="24">
        <v>36023.67</v>
      </c>
      <c r="C772" s="24">
        <v>36023.67</v>
      </c>
      <c r="D772" s="23">
        <f t="shared" si="12"/>
        <v>-9.7279778324819745E-3</v>
      </c>
      <c r="F772" s="22"/>
      <c r="I772" s="21"/>
      <c r="K772" s="22"/>
      <c r="L772" s="24"/>
      <c r="M772" s="24"/>
      <c r="N772" s="21"/>
      <c r="P772" s="22"/>
      <c r="S772" s="21"/>
    </row>
    <row r="773" spans="1:19" x14ac:dyDescent="0.35">
      <c r="A773" s="25">
        <v>45604</v>
      </c>
      <c r="B773" s="24">
        <v>35771.65</v>
      </c>
      <c r="C773" s="24">
        <v>35771.65</v>
      </c>
      <c r="D773" s="23">
        <f t="shared" si="12"/>
        <v>-6.9959557146730697E-3</v>
      </c>
      <c r="F773" s="22"/>
      <c r="I773" s="21"/>
      <c r="K773" s="22"/>
      <c r="L773" s="24"/>
      <c r="M773" s="24"/>
      <c r="N773" s="21"/>
      <c r="P773" s="22"/>
      <c r="S773" s="21"/>
    </row>
    <row r="774" spans="1:19" x14ac:dyDescent="0.35">
      <c r="A774" s="25">
        <v>45607</v>
      </c>
      <c r="B774" s="24">
        <v>35685.949999999997</v>
      </c>
      <c r="C774" s="24">
        <v>35685.949999999997</v>
      </c>
      <c r="D774" s="23">
        <f t="shared" si="12"/>
        <v>-2.395751943228908E-3</v>
      </c>
      <c r="F774" s="22"/>
      <c r="I774" s="21"/>
      <c r="K774" s="22"/>
      <c r="L774" s="24"/>
      <c r="M774" s="24"/>
      <c r="N774" s="21"/>
      <c r="P774" s="22"/>
      <c r="S774" s="21"/>
    </row>
    <row r="775" spans="1:19" x14ac:dyDescent="0.35">
      <c r="A775" s="25">
        <v>45608</v>
      </c>
      <c r="B775" s="24">
        <v>35275.39</v>
      </c>
      <c r="C775" s="24">
        <v>35275.39</v>
      </c>
      <c r="D775" s="23">
        <f t="shared" si="12"/>
        <v>-1.1504807914599379E-2</v>
      </c>
      <c r="F775" s="22"/>
      <c r="I775" s="21"/>
      <c r="K775" s="22"/>
      <c r="L775" s="24"/>
      <c r="M775" s="24"/>
      <c r="N775" s="21"/>
      <c r="P775" s="22"/>
      <c r="S775" s="21"/>
    </row>
    <row r="776" spans="1:19" x14ac:dyDescent="0.35">
      <c r="A776" s="25">
        <v>45609</v>
      </c>
      <c r="B776" s="24">
        <v>34618.080000000002</v>
      </c>
      <c r="C776" s="24">
        <v>34618.080000000002</v>
      </c>
      <c r="D776" s="23">
        <f t="shared" si="12"/>
        <v>-1.8633670669551711E-2</v>
      </c>
      <c r="F776" s="22"/>
      <c r="I776" s="21"/>
      <c r="K776" s="22"/>
      <c r="L776" s="24"/>
      <c r="M776" s="24"/>
      <c r="N776" s="21"/>
      <c r="P776" s="22"/>
      <c r="S776" s="21"/>
    </row>
    <row r="777" spans="1:19" x14ac:dyDescent="0.35">
      <c r="A777" s="25">
        <v>45610</v>
      </c>
      <c r="B777" s="24">
        <v>34699.379999999997</v>
      </c>
      <c r="C777" s="24">
        <v>34699.379999999997</v>
      </c>
      <c r="D777" s="23">
        <f t="shared" si="12"/>
        <v>2.3484837980614647E-3</v>
      </c>
      <c r="F777" s="22"/>
      <c r="I777" s="21"/>
      <c r="K777" s="22"/>
      <c r="L777" s="24"/>
      <c r="M777" s="24"/>
      <c r="N777" s="21"/>
      <c r="P777" s="22"/>
      <c r="S777" s="21"/>
    </row>
    <row r="778" spans="1:19" x14ac:dyDescent="0.35">
      <c r="A778" s="25">
        <v>45614</v>
      </c>
      <c r="B778" s="24">
        <v>34599.089999999997</v>
      </c>
      <c r="C778" s="24">
        <v>34599.089999999997</v>
      </c>
      <c r="D778" s="23">
        <f t="shared" si="12"/>
        <v>-2.890253370521343E-3</v>
      </c>
      <c r="F778" s="22"/>
      <c r="I778" s="21"/>
      <c r="K778" s="22"/>
      <c r="L778" s="24"/>
      <c r="M778" s="24"/>
      <c r="N778" s="21"/>
      <c r="P778" s="22"/>
      <c r="S778" s="21"/>
    </row>
    <row r="779" spans="1:19" x14ac:dyDescent="0.35">
      <c r="A779" s="25">
        <v>45617</v>
      </c>
      <c r="B779" s="24">
        <v>34476.589999999997</v>
      </c>
      <c r="C779" s="24">
        <v>34476.589999999997</v>
      </c>
      <c r="D779" s="23">
        <f t="shared" si="12"/>
        <v>-3.5405555464030993E-3</v>
      </c>
      <c r="F779" s="22"/>
      <c r="I779" s="21"/>
      <c r="K779" s="22"/>
      <c r="L779" s="24"/>
      <c r="M779" s="24"/>
      <c r="N779" s="21"/>
      <c r="P779" s="22"/>
      <c r="S779" s="21"/>
    </row>
    <row r="780" spans="1:19" x14ac:dyDescent="0.35">
      <c r="A780" s="25">
        <v>45618</v>
      </c>
      <c r="B780" s="24">
        <v>35116</v>
      </c>
      <c r="C780" s="24">
        <v>35116</v>
      </c>
      <c r="D780" s="23">
        <f t="shared" si="12"/>
        <v>1.8546207731101119E-2</v>
      </c>
      <c r="F780" s="22"/>
      <c r="I780" s="21"/>
      <c r="K780" s="22"/>
      <c r="L780" s="24"/>
      <c r="M780" s="24"/>
      <c r="N780" s="21"/>
      <c r="P780" s="22"/>
      <c r="S780" s="21"/>
    </row>
    <row r="781" spans="1:19" x14ac:dyDescent="0.35">
      <c r="A781" s="25">
        <v>45621</v>
      </c>
      <c r="B781" s="24">
        <v>35635.18</v>
      </c>
      <c r="C781" s="24">
        <v>35635.18</v>
      </c>
      <c r="D781" s="23">
        <f t="shared" si="12"/>
        <v>1.4784713520902161E-2</v>
      </c>
      <c r="F781" s="22"/>
      <c r="I781" s="21"/>
      <c r="K781" s="22"/>
      <c r="L781" s="24"/>
      <c r="M781" s="24"/>
      <c r="N781" s="21"/>
      <c r="P781" s="22"/>
      <c r="S781" s="21"/>
    </row>
    <row r="782" spans="1:19" x14ac:dyDescent="0.35">
      <c r="A782" s="25">
        <v>45622</v>
      </c>
      <c r="B782" s="24">
        <v>35649.51</v>
      </c>
      <c r="C782" s="24">
        <v>35649.51</v>
      </c>
      <c r="D782" s="23">
        <f t="shared" si="12"/>
        <v>4.021307034229025E-4</v>
      </c>
      <c r="F782" s="22"/>
      <c r="I782" s="21"/>
      <c r="K782" s="22"/>
      <c r="L782" s="24"/>
      <c r="M782" s="24"/>
      <c r="N782" s="21"/>
      <c r="P782" s="22"/>
      <c r="S782" s="21"/>
    </row>
    <row r="783" spans="1:19" x14ac:dyDescent="0.35">
      <c r="A783" s="25">
        <v>45623</v>
      </c>
      <c r="B783" s="24">
        <v>35853.83</v>
      </c>
      <c r="C783" s="24">
        <v>35853.83</v>
      </c>
      <c r="D783" s="23">
        <f t="shared" si="12"/>
        <v>5.7313550733235803E-3</v>
      </c>
      <c r="F783" s="22"/>
      <c r="I783" s="21"/>
      <c r="K783" s="22"/>
      <c r="L783" s="24"/>
      <c r="M783" s="24"/>
      <c r="N783" s="21"/>
      <c r="P783" s="22"/>
      <c r="S783" s="21"/>
    </row>
    <row r="784" spans="1:19" x14ac:dyDescent="0.35">
      <c r="A784" s="25">
        <v>45624</v>
      </c>
      <c r="B784" s="24">
        <v>35573.800000000003</v>
      </c>
      <c r="C784" s="24">
        <v>35573.800000000003</v>
      </c>
      <c r="D784" s="23">
        <f t="shared" si="12"/>
        <v>-7.8103231928080994E-3</v>
      </c>
      <c r="F784" s="22"/>
      <c r="I784" s="21"/>
      <c r="K784" s="22"/>
      <c r="L784" s="24"/>
      <c r="M784" s="24"/>
      <c r="N784" s="21"/>
      <c r="P784" s="22"/>
      <c r="S784" s="21"/>
    </row>
    <row r="785" spans="1:19" x14ac:dyDescent="0.35">
      <c r="A785" s="25">
        <v>45625</v>
      </c>
      <c r="B785" s="24">
        <v>35847.4</v>
      </c>
      <c r="C785" s="24">
        <v>35847.4</v>
      </c>
      <c r="D785" s="23">
        <f t="shared" si="12"/>
        <v>7.6910535281583224E-3</v>
      </c>
      <c r="F785" s="22"/>
      <c r="I785" s="21"/>
      <c r="K785" s="22"/>
      <c r="L785" s="24"/>
      <c r="M785" s="24"/>
      <c r="N785" s="21"/>
      <c r="P785" s="22"/>
      <c r="S785" s="21"/>
    </row>
    <row r="786" spans="1:19" x14ac:dyDescent="0.35">
      <c r="A786" s="25">
        <v>45628</v>
      </c>
      <c r="B786" s="24">
        <v>36082.61</v>
      </c>
      <c r="C786" s="24">
        <v>36082.61</v>
      </c>
      <c r="D786" s="23">
        <f t="shared" si="12"/>
        <v>6.5614242594999673E-3</v>
      </c>
      <c r="F786" s="22"/>
      <c r="I786" s="21"/>
      <c r="K786" s="22"/>
      <c r="L786" s="24"/>
      <c r="M786" s="24"/>
      <c r="N786" s="21"/>
      <c r="P786" s="22"/>
      <c r="S786" s="21"/>
    </row>
    <row r="787" spans="1:19" x14ac:dyDescent="0.35">
      <c r="A787" s="25">
        <v>45629</v>
      </c>
      <c r="B787" s="24">
        <v>36374.879999999997</v>
      </c>
      <c r="C787" s="24">
        <v>36374.879999999997</v>
      </c>
      <c r="D787" s="23">
        <f t="shared" si="12"/>
        <v>8.1000238064817594E-3</v>
      </c>
      <c r="F787" s="22"/>
      <c r="I787" s="21"/>
      <c r="K787" s="22"/>
      <c r="L787" s="24"/>
      <c r="M787" s="24"/>
      <c r="N787" s="21"/>
      <c r="P787" s="22"/>
      <c r="S787" s="21"/>
    </row>
    <row r="788" spans="1:19" x14ac:dyDescent="0.35">
      <c r="A788" s="25">
        <v>45630</v>
      </c>
      <c r="B788" s="24">
        <v>36499.26</v>
      </c>
      <c r="C788" s="24">
        <v>36499.26</v>
      </c>
      <c r="D788" s="23">
        <f t="shared" si="12"/>
        <v>3.4193927237699388E-3</v>
      </c>
      <c r="F788" s="22"/>
      <c r="I788" s="21"/>
      <c r="K788" s="22"/>
      <c r="L788" s="24"/>
      <c r="M788" s="24"/>
      <c r="N788" s="21"/>
      <c r="P788" s="22"/>
      <c r="S788" s="21"/>
    </row>
    <row r="789" spans="1:19" x14ac:dyDescent="0.35">
      <c r="A789" s="25">
        <v>45631</v>
      </c>
      <c r="B789" s="24">
        <v>36781.26</v>
      </c>
      <c r="C789" s="24">
        <v>36781.26</v>
      </c>
      <c r="D789" s="23">
        <f t="shared" si="12"/>
        <v>7.7261840377037773E-3</v>
      </c>
      <c r="F789" s="22"/>
      <c r="I789" s="21"/>
      <c r="K789" s="22"/>
      <c r="L789" s="24"/>
      <c r="M789" s="24"/>
      <c r="N789" s="21"/>
      <c r="P789" s="22"/>
      <c r="S789" s="21"/>
    </row>
    <row r="790" spans="1:19" x14ac:dyDescent="0.35">
      <c r="A790" s="25">
        <v>45632</v>
      </c>
      <c r="B790" s="24">
        <v>36835.17</v>
      </c>
      <c r="C790" s="24">
        <v>36835.17</v>
      </c>
      <c r="D790" s="23">
        <f t="shared" si="12"/>
        <v>1.465692039913701E-3</v>
      </c>
      <c r="F790" s="22"/>
      <c r="I790" s="21"/>
      <c r="K790" s="22"/>
      <c r="L790" s="24"/>
      <c r="M790" s="24"/>
      <c r="N790" s="21"/>
      <c r="P790" s="22"/>
      <c r="S790" s="21"/>
    </row>
    <row r="791" spans="1:19" x14ac:dyDescent="0.35">
      <c r="A791" s="25">
        <v>45635</v>
      </c>
      <c r="B791" s="24">
        <v>36803.449999999997</v>
      </c>
      <c r="C791" s="24">
        <v>36803.449999999997</v>
      </c>
      <c r="D791" s="23">
        <f t="shared" si="12"/>
        <v>-8.6113353080768094E-4</v>
      </c>
      <c r="F791" s="22"/>
      <c r="I791" s="21"/>
      <c r="K791" s="22"/>
      <c r="L791" s="24"/>
      <c r="M791" s="24"/>
      <c r="N791" s="21"/>
      <c r="P791" s="22"/>
      <c r="S791" s="21"/>
    </row>
    <row r="792" spans="1:19" x14ac:dyDescent="0.35">
      <c r="A792" s="25">
        <v>45636</v>
      </c>
      <c r="B792" s="24">
        <v>36839.599999999999</v>
      </c>
      <c r="C792" s="24">
        <v>36839.599999999999</v>
      </c>
      <c r="D792" s="23">
        <f t="shared" si="12"/>
        <v>9.8224487106511648E-4</v>
      </c>
      <c r="F792" s="22"/>
      <c r="I792" s="21"/>
      <c r="K792" s="22"/>
      <c r="L792" s="24"/>
      <c r="M792" s="24"/>
      <c r="N792" s="21"/>
      <c r="P792" s="22"/>
      <c r="S792" s="21"/>
    </row>
    <row r="793" spans="1:19" x14ac:dyDescent="0.35">
      <c r="A793" s="25">
        <v>45637</v>
      </c>
      <c r="B793" s="24">
        <v>36907.949999999997</v>
      </c>
      <c r="C793" s="24">
        <v>36907.949999999997</v>
      </c>
      <c r="D793" s="23">
        <f t="shared" si="12"/>
        <v>1.8553404488647692E-3</v>
      </c>
      <c r="F793" s="22"/>
      <c r="I793" s="21"/>
      <c r="K793" s="22"/>
      <c r="L793" s="24"/>
      <c r="M793" s="24"/>
      <c r="N793" s="21"/>
      <c r="P793" s="22"/>
      <c r="S793" s="21"/>
    </row>
    <row r="794" spans="1:19" x14ac:dyDescent="0.35">
      <c r="A794" s="25">
        <v>45638</v>
      </c>
      <c r="B794" s="24">
        <v>36747.199999999997</v>
      </c>
      <c r="C794" s="24">
        <v>36747.199999999997</v>
      </c>
      <c r="D794" s="23">
        <f t="shared" si="12"/>
        <v>-4.3554301986428404E-3</v>
      </c>
      <c r="F794" s="22"/>
      <c r="I794" s="21"/>
      <c r="K794" s="22"/>
      <c r="L794" s="24"/>
      <c r="M794" s="24"/>
      <c r="N794" s="21"/>
      <c r="P794" s="22"/>
      <c r="S794" s="21"/>
    </row>
    <row r="795" spans="1:19" x14ac:dyDescent="0.35">
      <c r="A795" s="25">
        <v>45639</v>
      </c>
      <c r="B795" s="24">
        <v>36909.230000000003</v>
      </c>
      <c r="C795" s="24">
        <v>36909.230000000003</v>
      </c>
      <c r="D795" s="23">
        <f t="shared" si="12"/>
        <v>4.4093155396875442E-3</v>
      </c>
      <c r="F795" s="22"/>
      <c r="I795" s="21"/>
      <c r="K795" s="22"/>
      <c r="L795" s="24"/>
      <c r="M795" s="24"/>
      <c r="N795" s="21"/>
      <c r="P795" s="22"/>
      <c r="S795" s="21"/>
    </row>
    <row r="796" spans="1:19" x14ac:dyDescent="0.35">
      <c r="A796" s="25">
        <v>45642</v>
      </c>
      <c r="B796" s="24">
        <v>36898.980000000003</v>
      </c>
      <c r="C796" s="24">
        <v>36898.980000000003</v>
      </c>
      <c r="D796" s="23">
        <f t="shared" si="12"/>
        <v>-2.7770831306965765E-4</v>
      </c>
      <c r="F796" s="22"/>
      <c r="I796" s="21"/>
      <c r="K796" s="22"/>
      <c r="L796" s="24"/>
      <c r="M796" s="24"/>
      <c r="N796" s="21"/>
      <c r="P796" s="22"/>
      <c r="S796" s="21"/>
    </row>
    <row r="797" spans="1:19" x14ac:dyDescent="0.35">
      <c r="A797" s="25">
        <v>45643</v>
      </c>
      <c r="B797" s="24">
        <v>36493.339999999997</v>
      </c>
      <c r="C797" s="24">
        <v>36493.339999999997</v>
      </c>
      <c r="D797" s="23">
        <f t="shared" si="12"/>
        <v>-1.0993257808210597E-2</v>
      </c>
      <c r="F797" s="22"/>
      <c r="I797" s="21"/>
      <c r="K797" s="22"/>
      <c r="L797" s="24"/>
      <c r="M797" s="24"/>
      <c r="N797" s="21"/>
      <c r="P797" s="22"/>
      <c r="S797" s="21"/>
    </row>
    <row r="798" spans="1:19" x14ac:dyDescent="0.35">
      <c r="A798" s="25">
        <v>45644</v>
      </c>
      <c r="B798" s="24">
        <v>36238.39</v>
      </c>
      <c r="C798" s="24">
        <v>36238.39</v>
      </c>
      <c r="D798" s="23">
        <f t="shared" si="12"/>
        <v>-6.9862062502362657E-3</v>
      </c>
      <c r="F798" s="22"/>
      <c r="I798" s="21"/>
      <c r="K798" s="22"/>
      <c r="L798" s="24"/>
      <c r="M798" s="24"/>
      <c r="N798" s="21"/>
      <c r="P798" s="22"/>
      <c r="S798" s="21"/>
    </row>
    <row r="799" spans="1:19" x14ac:dyDescent="0.35">
      <c r="A799" s="25">
        <v>45645</v>
      </c>
      <c r="B799" s="24">
        <v>35950.449999999997</v>
      </c>
      <c r="C799" s="24">
        <v>35950.449999999997</v>
      </c>
      <c r="D799" s="23">
        <f t="shared" si="12"/>
        <v>-7.9457172352304373E-3</v>
      </c>
      <c r="F799" s="22"/>
      <c r="I799" s="21"/>
      <c r="K799" s="22"/>
      <c r="L799" s="24"/>
      <c r="M799" s="24"/>
      <c r="N799" s="21"/>
      <c r="P799" s="22"/>
      <c r="S799" s="21"/>
    </row>
    <row r="800" spans="1:19" x14ac:dyDescent="0.35">
      <c r="A800" s="25">
        <v>45646</v>
      </c>
      <c r="B800" s="24">
        <v>35266.620000000003</v>
      </c>
      <c r="C800" s="24">
        <v>35266.620000000003</v>
      </c>
      <c r="D800" s="23">
        <f t="shared" si="12"/>
        <v>-1.9021458702185773E-2</v>
      </c>
      <c r="F800" s="22"/>
      <c r="I800" s="21"/>
      <c r="K800" s="22"/>
      <c r="L800" s="24"/>
      <c r="M800" s="24"/>
      <c r="N800" s="21"/>
      <c r="P800" s="22"/>
      <c r="S800" s="21"/>
    </row>
    <row r="801" spans="1:19" x14ac:dyDescent="0.35">
      <c r="A801" s="25">
        <v>45649</v>
      </c>
      <c r="B801" s="24">
        <v>35413.410000000003</v>
      </c>
      <c r="C801" s="24">
        <v>35413.410000000003</v>
      </c>
      <c r="D801" s="23">
        <f t="shared" si="12"/>
        <v>4.1622928423535018E-3</v>
      </c>
      <c r="F801" s="22"/>
      <c r="I801" s="21"/>
      <c r="K801" s="22"/>
      <c r="L801" s="24"/>
      <c r="M801" s="24"/>
      <c r="N801" s="21"/>
      <c r="P801" s="22"/>
      <c r="S801" s="21"/>
    </row>
    <row r="802" spans="1:19" x14ac:dyDescent="0.35">
      <c r="A802" s="25">
        <v>45650</v>
      </c>
      <c r="B802" s="24">
        <v>35401.019999999997</v>
      </c>
      <c r="C802" s="24">
        <v>35401.019999999997</v>
      </c>
      <c r="D802" s="23">
        <f t="shared" si="12"/>
        <v>-3.4986746546030709E-4</v>
      </c>
      <c r="F802" s="22"/>
      <c r="I802" s="21"/>
      <c r="K802" s="22"/>
      <c r="L802" s="24"/>
      <c r="M802" s="24"/>
      <c r="N802" s="21"/>
      <c r="P802" s="22"/>
      <c r="S802" s="21"/>
    </row>
    <row r="803" spans="1:19" x14ac:dyDescent="0.35">
      <c r="A803" s="25">
        <v>45652</v>
      </c>
      <c r="B803" s="24">
        <v>35444.76</v>
      </c>
      <c r="C803" s="24">
        <v>35444.76</v>
      </c>
      <c r="D803" s="23">
        <f t="shared" si="12"/>
        <v>1.2355576195263651E-3</v>
      </c>
      <c r="F803" s="22"/>
      <c r="I803" s="21"/>
      <c r="K803" s="22"/>
      <c r="L803" s="24"/>
      <c r="M803" s="24"/>
      <c r="N803" s="21"/>
      <c r="P803" s="22"/>
      <c r="S803" s="21"/>
    </row>
    <row r="804" spans="1:19" x14ac:dyDescent="0.35">
      <c r="A804" s="25">
        <v>45653</v>
      </c>
      <c r="B804" s="24">
        <v>35468.25</v>
      </c>
      <c r="C804" s="24">
        <v>35468.25</v>
      </c>
      <c r="D804" s="23">
        <f t="shared" si="12"/>
        <v>6.6272137263725191E-4</v>
      </c>
      <c r="F804" s="22"/>
      <c r="I804" s="21"/>
      <c r="K804" s="22"/>
      <c r="L804" s="24"/>
      <c r="M804" s="24"/>
      <c r="N804" s="21"/>
      <c r="P804" s="22"/>
      <c r="S804" s="21"/>
    </row>
    <row r="805" spans="1:19" x14ac:dyDescent="0.35">
      <c r="A805" s="25">
        <v>45656</v>
      </c>
      <c r="B805" s="24">
        <v>35329.040000000001</v>
      </c>
      <c r="C805" s="24">
        <v>35329.040000000001</v>
      </c>
      <c r="D805" s="23">
        <f t="shared" si="12"/>
        <v>-3.9249187653746416E-3</v>
      </c>
      <c r="F805" s="22"/>
      <c r="I805" s="21"/>
      <c r="K805" s="22"/>
      <c r="L805" s="24"/>
      <c r="M805" s="24"/>
      <c r="N805" s="21"/>
      <c r="P805" s="22"/>
      <c r="S805" s="21"/>
    </row>
    <row r="806" spans="1:19" x14ac:dyDescent="0.35">
      <c r="A806" s="25">
        <v>45657</v>
      </c>
      <c r="B806" s="24">
        <v>35357.9</v>
      </c>
      <c r="C806" s="24">
        <v>35357.9</v>
      </c>
      <c r="D806" s="23">
        <f t="shared" si="12"/>
        <v>8.1689171287984558E-4</v>
      </c>
      <c r="F806" s="22"/>
      <c r="I806" s="21"/>
      <c r="K806" s="22"/>
      <c r="L806" s="24"/>
      <c r="M806" s="24"/>
      <c r="N806" s="21"/>
      <c r="P806" s="22"/>
      <c r="S806" s="21"/>
    </row>
    <row r="807" spans="1:19" x14ac:dyDescent="0.35">
      <c r="A807" s="25">
        <v>45658</v>
      </c>
      <c r="B807" s="24">
        <v>35526.080000000002</v>
      </c>
      <c r="C807" s="24">
        <v>35526.080000000002</v>
      </c>
      <c r="D807" s="23">
        <f t="shared" si="12"/>
        <v>4.7565042041524041E-3</v>
      </c>
      <c r="F807" s="22"/>
      <c r="I807" s="21"/>
      <c r="K807" s="22"/>
      <c r="L807" s="24"/>
      <c r="M807" s="24"/>
      <c r="N807" s="21"/>
      <c r="P807" s="22"/>
      <c r="S807" s="21"/>
    </row>
    <row r="808" spans="1:19" x14ac:dyDescent="0.35">
      <c r="A808" s="25">
        <v>45659</v>
      </c>
      <c r="B808" s="24">
        <v>36060.050000000003</v>
      </c>
      <c r="C808" s="24">
        <v>36060.050000000003</v>
      </c>
      <c r="D808" s="23">
        <f t="shared" si="12"/>
        <v>1.5030366423765333E-2</v>
      </c>
      <c r="F808" s="22"/>
      <c r="I808" s="21"/>
      <c r="K808" s="22"/>
      <c r="L808" s="24"/>
      <c r="M808" s="24"/>
      <c r="N808" s="21"/>
      <c r="P808" s="22"/>
      <c r="S808" s="21"/>
    </row>
    <row r="809" spans="1:19" x14ac:dyDescent="0.35">
      <c r="A809" s="25">
        <v>45660</v>
      </c>
      <c r="B809" s="24">
        <v>35883.72</v>
      </c>
      <c r="C809" s="24">
        <v>35883.72</v>
      </c>
      <c r="D809" s="23">
        <f t="shared" si="12"/>
        <v>-4.8898989324751832E-3</v>
      </c>
      <c r="F809" s="22"/>
      <c r="I809" s="21"/>
      <c r="K809" s="22"/>
      <c r="L809" s="24"/>
      <c r="M809" s="24"/>
      <c r="N809" s="21"/>
      <c r="P809" s="22"/>
      <c r="S809" s="21"/>
    </row>
    <row r="810" spans="1:19" x14ac:dyDescent="0.35">
      <c r="A810" s="25">
        <v>45663</v>
      </c>
      <c r="B810" s="24">
        <v>35120.870000000003</v>
      </c>
      <c r="C810" s="24">
        <v>35120.870000000003</v>
      </c>
      <c r="D810" s="23">
        <f t="shared" si="12"/>
        <v>-2.1258944167438565E-2</v>
      </c>
      <c r="F810" s="22"/>
      <c r="I810" s="21"/>
      <c r="K810" s="22"/>
      <c r="L810" s="24"/>
      <c r="M810" s="24"/>
      <c r="N810" s="21"/>
      <c r="P810" s="22"/>
      <c r="S810" s="21"/>
    </row>
    <row r="811" spans="1:19" x14ac:dyDescent="0.35">
      <c r="A811" s="25">
        <v>45664</v>
      </c>
      <c r="B811" s="24">
        <v>35304.550000000003</v>
      </c>
      <c r="C811" s="24">
        <v>35304.550000000003</v>
      </c>
      <c r="D811" s="23">
        <f t="shared" si="12"/>
        <v>5.2299387799903665E-3</v>
      </c>
      <c r="F811" s="22"/>
      <c r="I811" s="21"/>
      <c r="K811" s="22"/>
      <c r="L811" s="24"/>
      <c r="M811" s="24"/>
      <c r="N811" s="21"/>
      <c r="P811" s="22"/>
      <c r="S811" s="21"/>
    </row>
    <row r="812" spans="1:19" x14ac:dyDescent="0.35">
      <c r="A812" s="25">
        <v>45665</v>
      </c>
      <c r="B812" s="24">
        <v>35131.01</v>
      </c>
      <c r="C812" s="24">
        <v>35131.01</v>
      </c>
      <c r="D812" s="23">
        <f t="shared" si="12"/>
        <v>-4.9155137227354789E-3</v>
      </c>
      <c r="F812" s="22"/>
      <c r="I812" s="21"/>
      <c r="K812" s="22"/>
      <c r="L812" s="24"/>
      <c r="M812" s="24"/>
      <c r="N812" s="21"/>
      <c r="P812" s="22"/>
      <c r="S812" s="21"/>
    </row>
    <row r="813" spans="1:19" x14ac:dyDescent="0.35">
      <c r="A813" s="25">
        <v>45666</v>
      </c>
      <c r="B813" s="24">
        <v>34838.29</v>
      </c>
      <c r="C813" s="24">
        <v>34838.29</v>
      </c>
      <c r="D813" s="23">
        <f t="shared" si="12"/>
        <v>-8.3322398075091255E-3</v>
      </c>
      <c r="F813" s="22"/>
      <c r="I813" s="21"/>
      <c r="K813" s="22"/>
      <c r="L813" s="24"/>
      <c r="M813" s="24"/>
      <c r="N813" s="21"/>
      <c r="P813" s="22"/>
      <c r="S813" s="21"/>
    </row>
    <row r="814" spans="1:19" x14ac:dyDescent="0.35">
      <c r="A814" s="25">
        <v>45667</v>
      </c>
      <c r="B814" s="24">
        <v>34447.06</v>
      </c>
      <c r="C814" s="24">
        <v>34447.06</v>
      </c>
      <c r="D814" s="23">
        <f t="shared" si="12"/>
        <v>-1.1229885278525531E-2</v>
      </c>
      <c r="F814" s="22"/>
      <c r="I814" s="21"/>
      <c r="K814" s="22"/>
      <c r="L814" s="24"/>
      <c r="M814" s="24"/>
      <c r="N814" s="21"/>
      <c r="P814" s="22"/>
      <c r="S814" s="21"/>
    </row>
    <row r="815" spans="1:19" x14ac:dyDescent="0.35">
      <c r="A815" s="25">
        <v>45670</v>
      </c>
      <c r="B815" s="24">
        <v>33569.22</v>
      </c>
      <c r="C815" s="24">
        <v>33569.22</v>
      </c>
      <c r="D815" s="23">
        <f t="shared" si="12"/>
        <v>-2.5483742299052418E-2</v>
      </c>
      <c r="F815" s="22"/>
      <c r="I815" s="21"/>
      <c r="K815" s="22"/>
      <c r="L815" s="24"/>
      <c r="M815" s="24"/>
      <c r="N815" s="21"/>
      <c r="P815" s="22"/>
      <c r="S815" s="21"/>
    </row>
    <row r="816" spans="1:19" x14ac:dyDescent="0.35">
      <c r="A816" s="25">
        <v>45671</v>
      </c>
      <c r="B816" s="24">
        <v>33944.68</v>
      </c>
      <c r="C816" s="24">
        <v>33944.68</v>
      </c>
      <c r="D816" s="23">
        <f t="shared" si="12"/>
        <v>1.1184650700850335E-2</v>
      </c>
      <c r="F816" s="22"/>
      <c r="I816" s="21"/>
      <c r="K816" s="22"/>
      <c r="L816" s="24"/>
      <c r="M816" s="24"/>
      <c r="N816" s="21"/>
      <c r="P816" s="22"/>
      <c r="S816" s="21"/>
    </row>
    <row r="817" spans="1:19" x14ac:dyDescent="0.35">
      <c r="A817" s="25">
        <v>45672</v>
      </c>
      <c r="B817" s="24">
        <v>34055.47</v>
      </c>
      <c r="C817" s="24">
        <v>34055.47</v>
      </c>
      <c r="D817" s="23">
        <f t="shared" si="12"/>
        <v>3.2638398712257965E-3</v>
      </c>
      <c r="F817" s="22"/>
      <c r="I817" s="21"/>
      <c r="K817" s="22"/>
      <c r="L817" s="24"/>
      <c r="M817" s="24"/>
      <c r="N817" s="21"/>
      <c r="P817" s="22"/>
      <c r="S817" s="21"/>
    </row>
    <row r="818" spans="1:19" x14ac:dyDescent="0.35">
      <c r="A818" s="25">
        <v>45673</v>
      </c>
      <c r="B818" s="24">
        <v>34313.800000000003</v>
      </c>
      <c r="C818" s="24">
        <v>34313.800000000003</v>
      </c>
      <c r="D818" s="23">
        <f t="shared" si="12"/>
        <v>7.5855655493816919E-3</v>
      </c>
      <c r="F818" s="22"/>
      <c r="I818" s="21"/>
      <c r="K818" s="22"/>
      <c r="L818" s="24"/>
      <c r="M818" s="24"/>
      <c r="N818" s="21"/>
      <c r="P818" s="22"/>
      <c r="S818" s="21"/>
    </row>
    <row r="819" spans="1:19" x14ac:dyDescent="0.35">
      <c r="A819" s="25">
        <v>45674</v>
      </c>
      <c r="B819" s="24">
        <v>34278.129999999997</v>
      </c>
      <c r="C819" s="24">
        <v>34278.129999999997</v>
      </c>
      <c r="D819" s="23">
        <f t="shared" si="12"/>
        <v>-1.0395234570349402E-3</v>
      </c>
      <c r="F819" s="22"/>
      <c r="I819" s="21"/>
      <c r="K819" s="22"/>
      <c r="L819" s="24"/>
      <c r="M819" s="24"/>
      <c r="N819" s="21"/>
      <c r="P819" s="22"/>
      <c r="S819" s="21"/>
    </row>
    <row r="820" spans="1:19" x14ac:dyDescent="0.35">
      <c r="A820" s="25">
        <v>45677</v>
      </c>
      <c r="B820" s="24">
        <v>34481.71</v>
      </c>
      <c r="C820" s="24">
        <v>34481.71</v>
      </c>
      <c r="D820" s="23">
        <f t="shared" si="12"/>
        <v>5.9390637703982613E-3</v>
      </c>
      <c r="F820" s="22"/>
      <c r="I820" s="21"/>
      <c r="K820" s="22"/>
      <c r="L820" s="24"/>
      <c r="M820" s="24"/>
      <c r="N820" s="21"/>
      <c r="P820" s="22"/>
      <c r="S820" s="21"/>
    </row>
    <row r="821" spans="1:19" x14ac:dyDescent="0.35">
      <c r="A821" s="25">
        <v>45678</v>
      </c>
      <c r="B821" s="24">
        <v>33887.69</v>
      </c>
      <c r="C821" s="24">
        <v>33887.69</v>
      </c>
      <c r="D821" s="23">
        <f t="shared" si="12"/>
        <v>-1.7227103876228785E-2</v>
      </c>
      <c r="F821" s="22"/>
      <c r="I821" s="21"/>
      <c r="K821" s="22"/>
      <c r="L821" s="24"/>
      <c r="M821" s="24"/>
      <c r="N821" s="21"/>
      <c r="P821" s="22"/>
      <c r="S821" s="21"/>
    </row>
    <row r="822" spans="1:19" x14ac:dyDescent="0.35">
      <c r="A822" s="25">
        <v>45679</v>
      </c>
      <c r="B822" s="24">
        <v>33829.919999999998</v>
      </c>
      <c r="C822" s="24">
        <v>33829.919999999998</v>
      </c>
      <c r="D822" s="23">
        <f t="shared" si="12"/>
        <v>-1.7047488335736095E-3</v>
      </c>
      <c r="F822" s="22"/>
      <c r="I822" s="21"/>
      <c r="K822" s="22"/>
      <c r="L822" s="24"/>
      <c r="M822" s="24"/>
      <c r="N822" s="21"/>
      <c r="P822" s="22"/>
      <c r="S822" s="21"/>
    </row>
    <row r="823" spans="1:19" x14ac:dyDescent="0.35">
      <c r="A823" s="25">
        <v>45680</v>
      </c>
      <c r="B823" s="24">
        <v>34053.660000000003</v>
      </c>
      <c r="C823" s="24">
        <v>34053.660000000003</v>
      </c>
      <c r="D823" s="23">
        <f t="shared" si="12"/>
        <v>6.6136721576641406E-3</v>
      </c>
      <c r="F823" s="22"/>
      <c r="I823" s="21"/>
      <c r="K823" s="22"/>
      <c r="L823" s="24"/>
      <c r="M823" s="24"/>
      <c r="N823" s="21"/>
      <c r="P823" s="22"/>
      <c r="S823" s="21"/>
    </row>
    <row r="824" spans="1:19" x14ac:dyDescent="0.35">
      <c r="A824" s="25">
        <v>45681</v>
      </c>
      <c r="B824" s="24">
        <v>33707.25</v>
      </c>
      <c r="C824" s="24">
        <v>33707.25</v>
      </c>
      <c r="D824" s="23">
        <f t="shared" si="12"/>
        <v>-1.0172474852923399E-2</v>
      </c>
      <c r="F824" s="22"/>
      <c r="I824" s="21"/>
      <c r="K824" s="22"/>
      <c r="L824" s="24"/>
      <c r="M824" s="24"/>
      <c r="N824" s="21"/>
      <c r="P824" s="22"/>
      <c r="S824" s="21"/>
    </row>
    <row r="825" spans="1:19" x14ac:dyDescent="0.35">
      <c r="A825" s="25">
        <v>45684</v>
      </c>
      <c r="B825" s="24">
        <v>33062.339999999997</v>
      </c>
      <c r="C825" s="24">
        <v>33062.339999999997</v>
      </c>
      <c r="D825" s="23">
        <f t="shared" si="12"/>
        <v>-1.9132679171394981E-2</v>
      </c>
      <c r="F825" s="22"/>
      <c r="I825" s="21"/>
      <c r="K825" s="22"/>
      <c r="L825" s="24"/>
      <c r="M825" s="24"/>
      <c r="N825" s="21"/>
      <c r="P825" s="22"/>
      <c r="S825" s="21"/>
    </row>
    <row r="826" spans="1:19" x14ac:dyDescent="0.35">
      <c r="A826" s="25">
        <v>45685</v>
      </c>
      <c r="B826" s="24">
        <v>33084.22</v>
      </c>
      <c r="C826" s="24">
        <v>33084.22</v>
      </c>
      <c r="D826" s="23">
        <f t="shared" si="12"/>
        <v>6.6178014018380602E-4</v>
      </c>
      <c r="F826" s="22"/>
      <c r="I826" s="21"/>
      <c r="K826" s="22"/>
      <c r="L826" s="24"/>
      <c r="M826" s="24"/>
      <c r="N826" s="21"/>
      <c r="P826" s="22"/>
      <c r="S826" s="21"/>
    </row>
    <row r="827" spans="1:19" x14ac:dyDescent="0.35">
      <c r="A827" s="25">
        <v>45686</v>
      </c>
      <c r="B827" s="24">
        <v>33593.199999999997</v>
      </c>
      <c r="C827" s="24">
        <v>33593.199999999997</v>
      </c>
      <c r="D827" s="23">
        <f t="shared" si="12"/>
        <v>1.5384373577493921E-2</v>
      </c>
      <c r="F827" s="22"/>
      <c r="I827" s="21"/>
      <c r="K827" s="22"/>
      <c r="L827" s="24"/>
      <c r="M827" s="24"/>
      <c r="N827" s="21"/>
      <c r="P827" s="22"/>
      <c r="S827" s="21"/>
    </row>
    <row r="828" spans="1:19" x14ac:dyDescent="0.35">
      <c r="A828" s="25">
        <v>45687</v>
      </c>
      <c r="B828" s="24">
        <v>33676.11</v>
      </c>
      <c r="C828" s="24">
        <v>33676.11</v>
      </c>
      <c r="D828" s="23">
        <f t="shared" si="12"/>
        <v>2.4680590119429973E-3</v>
      </c>
      <c r="F828" s="22"/>
      <c r="I828" s="21"/>
      <c r="K828" s="22"/>
      <c r="L828" s="24"/>
      <c r="M828" s="24"/>
      <c r="N828" s="21"/>
      <c r="P828" s="22"/>
      <c r="S828" s="21"/>
    </row>
    <row r="829" spans="1:19" x14ac:dyDescent="0.35">
      <c r="A829" s="25">
        <v>45688</v>
      </c>
      <c r="B829" s="24">
        <v>34130.93</v>
      </c>
      <c r="C829" s="24">
        <v>34130.93</v>
      </c>
      <c r="D829" s="23">
        <f t="shared" si="12"/>
        <v>1.3505716663830819E-2</v>
      </c>
      <c r="F829" s="22"/>
      <c r="I829" s="21"/>
      <c r="K829" s="22"/>
      <c r="L829" s="24"/>
      <c r="M829" s="24"/>
      <c r="N829" s="21"/>
      <c r="P829" s="22"/>
      <c r="S829" s="21"/>
    </row>
    <row r="830" spans="1:19" x14ac:dyDescent="0.35">
      <c r="A830" s="25">
        <v>45689</v>
      </c>
      <c r="B830" s="24">
        <v>34132.239999999998</v>
      </c>
      <c r="C830" s="24">
        <v>34132.239999999998</v>
      </c>
      <c r="D830" s="23">
        <f t="shared" si="12"/>
        <v>3.8381608704997835E-5</v>
      </c>
      <c r="F830" s="22"/>
      <c r="I830" s="21"/>
      <c r="K830" s="22"/>
      <c r="L830" s="24"/>
      <c r="M830" s="24"/>
      <c r="N830" s="21"/>
      <c r="P830" s="22"/>
      <c r="S830" s="21"/>
    </row>
    <row r="831" spans="1:19" x14ac:dyDescent="0.35">
      <c r="A831" s="25">
        <v>45691</v>
      </c>
      <c r="B831" s="24">
        <v>33849.51</v>
      </c>
      <c r="C831" s="24">
        <v>33849.51</v>
      </c>
      <c r="D831" s="23">
        <f t="shared" si="12"/>
        <v>-8.2833707954706737E-3</v>
      </c>
      <c r="F831" s="22"/>
      <c r="I831" s="21"/>
      <c r="K831" s="22"/>
      <c r="L831" s="24"/>
      <c r="M831" s="24"/>
      <c r="N831" s="21"/>
      <c r="P831" s="22"/>
      <c r="S831" s="21"/>
    </row>
    <row r="832" spans="1:19" x14ac:dyDescent="0.35">
      <c r="A832" s="25">
        <v>45692</v>
      </c>
      <c r="B832" s="24">
        <v>34363.72</v>
      </c>
      <c r="C832" s="24">
        <v>34363.72</v>
      </c>
      <c r="D832" s="23">
        <f t="shared" si="12"/>
        <v>1.5191061849935171E-2</v>
      </c>
      <c r="F832" s="22"/>
      <c r="I832" s="21"/>
      <c r="K832" s="22"/>
      <c r="L832" s="24"/>
      <c r="M832" s="24"/>
      <c r="N832" s="21"/>
      <c r="P832" s="22"/>
      <c r="S832" s="21"/>
    </row>
    <row r="833" spans="1:19" x14ac:dyDescent="0.35">
      <c r="A833" s="25">
        <v>45693</v>
      </c>
      <c r="B833" s="24">
        <v>34453.97</v>
      </c>
      <c r="C833" s="24">
        <v>34453.97</v>
      </c>
      <c r="D833" s="23">
        <f t="shared" si="12"/>
        <v>2.6263163592300251E-3</v>
      </c>
      <c r="F833" s="22"/>
      <c r="I833" s="21"/>
      <c r="K833" s="22"/>
      <c r="L833" s="24"/>
      <c r="M833" s="24"/>
      <c r="N833" s="21"/>
      <c r="P833" s="22"/>
      <c r="S833" s="21"/>
    </row>
    <row r="834" spans="1:19" x14ac:dyDescent="0.35">
      <c r="A834" s="25">
        <v>45694</v>
      </c>
      <c r="B834" s="24">
        <v>34279.629999999997</v>
      </c>
      <c r="C834" s="24">
        <v>34279.629999999997</v>
      </c>
      <c r="D834" s="23">
        <f t="shared" si="12"/>
        <v>-5.0600845127572753E-3</v>
      </c>
      <c r="F834" s="22"/>
      <c r="I834" s="21"/>
      <c r="K834" s="22"/>
      <c r="L834" s="24"/>
      <c r="M834" s="24"/>
      <c r="N834" s="21"/>
      <c r="P834" s="22"/>
      <c r="S834" s="21"/>
    </row>
    <row r="835" spans="1:19" x14ac:dyDescent="0.35">
      <c r="A835" s="25">
        <v>45695</v>
      </c>
      <c r="B835" s="24">
        <v>34246.839999999997</v>
      </c>
      <c r="C835" s="24">
        <v>34246.839999999997</v>
      </c>
      <c r="D835" s="23">
        <f t="shared" ref="D835:D898" si="13">(B835-B834)/B834</f>
        <v>-9.5654474683655791E-4</v>
      </c>
      <c r="F835" s="22"/>
      <c r="I835" s="21"/>
      <c r="K835" s="22"/>
      <c r="L835" s="24"/>
      <c r="M835" s="24"/>
      <c r="N835" s="21"/>
      <c r="P835" s="22"/>
      <c r="S835" s="21"/>
    </row>
    <row r="836" spans="1:19" x14ac:dyDescent="0.35">
      <c r="A836" s="25">
        <v>45698</v>
      </c>
      <c r="B836" s="24">
        <v>33812.230000000003</v>
      </c>
      <c r="C836" s="24">
        <v>33812.230000000003</v>
      </c>
      <c r="D836" s="23">
        <f t="shared" si="13"/>
        <v>-1.2690513927708173E-2</v>
      </c>
      <c r="F836" s="22"/>
      <c r="I836" s="21"/>
      <c r="K836" s="22"/>
      <c r="L836" s="24"/>
      <c r="M836" s="24"/>
      <c r="N836" s="21"/>
      <c r="P836" s="22"/>
      <c r="S836" s="21"/>
    </row>
    <row r="837" spans="1:19" x14ac:dyDescent="0.35">
      <c r="A837" s="25">
        <v>45699</v>
      </c>
      <c r="B837" s="24">
        <v>33146.32</v>
      </c>
      <c r="C837" s="24">
        <v>33146.32</v>
      </c>
      <c r="D837" s="23">
        <f t="shared" si="13"/>
        <v>-1.9694353197053358E-2</v>
      </c>
      <c r="F837" s="22"/>
      <c r="I837" s="21"/>
      <c r="K837" s="22"/>
      <c r="L837" s="24"/>
      <c r="M837" s="24"/>
      <c r="N837" s="21"/>
      <c r="P837" s="22"/>
      <c r="S837" s="21"/>
    </row>
    <row r="838" spans="1:19" x14ac:dyDescent="0.35">
      <c r="A838" s="25">
        <v>45700</v>
      </c>
      <c r="B838" s="24">
        <v>33091.14</v>
      </c>
      <c r="C838" s="24">
        <v>33091.14</v>
      </c>
      <c r="D838" s="23">
        <f t="shared" si="13"/>
        <v>-1.6647398564908651E-3</v>
      </c>
      <c r="F838" s="22"/>
      <c r="I838" s="21"/>
      <c r="K838" s="22"/>
      <c r="L838" s="24"/>
      <c r="M838" s="24"/>
      <c r="N838" s="21"/>
      <c r="P838" s="22"/>
      <c r="S838" s="21"/>
    </row>
    <row r="839" spans="1:19" x14ac:dyDescent="0.35">
      <c r="A839" s="25">
        <v>45701</v>
      </c>
      <c r="B839" s="24">
        <v>33086.76</v>
      </c>
      <c r="C839" s="24">
        <v>33086.76</v>
      </c>
      <c r="D839" s="23">
        <f t="shared" si="13"/>
        <v>-1.3236171373961068E-4</v>
      </c>
      <c r="F839" s="22"/>
      <c r="I839" s="21"/>
      <c r="K839" s="22"/>
      <c r="L839" s="24"/>
      <c r="M839" s="24"/>
      <c r="N839" s="21"/>
      <c r="P839" s="22"/>
      <c r="S839" s="21"/>
    </row>
    <row r="840" spans="1:19" x14ac:dyDescent="0.35">
      <c r="A840" s="25">
        <v>45702</v>
      </c>
      <c r="B840" s="24">
        <v>32659.9</v>
      </c>
      <c r="C840" s="24">
        <v>32659.9</v>
      </c>
      <c r="D840" s="23">
        <f t="shared" si="13"/>
        <v>-1.2901233000753189E-2</v>
      </c>
      <c r="F840" s="22"/>
      <c r="I840" s="21"/>
      <c r="K840" s="22"/>
      <c r="L840" s="24"/>
      <c r="M840" s="24"/>
      <c r="N840" s="21"/>
      <c r="P840" s="22"/>
      <c r="S840" s="21"/>
    </row>
    <row r="841" spans="1:19" x14ac:dyDescent="0.35">
      <c r="A841" s="25">
        <v>45705</v>
      </c>
      <c r="B841" s="24">
        <v>32691.24</v>
      </c>
      <c r="C841" s="24">
        <v>32691.24</v>
      </c>
      <c r="D841" s="23">
        <f t="shared" si="13"/>
        <v>9.5958652659684025E-4</v>
      </c>
      <c r="F841" s="22"/>
      <c r="I841" s="21"/>
      <c r="K841" s="22"/>
      <c r="L841" s="24"/>
      <c r="M841" s="24"/>
      <c r="N841" s="21"/>
      <c r="P841" s="22"/>
      <c r="S841" s="21"/>
    </row>
    <row r="842" spans="1:19" x14ac:dyDescent="0.35">
      <c r="A842" s="25">
        <v>45706</v>
      </c>
      <c r="B842" s="24">
        <v>32627.75</v>
      </c>
      <c r="C842" s="24">
        <v>32627.75</v>
      </c>
      <c r="D842" s="23">
        <f t="shared" si="13"/>
        <v>-1.9421104858672108E-3</v>
      </c>
      <c r="F842" s="22"/>
      <c r="I842" s="21"/>
      <c r="K842" s="22"/>
      <c r="L842" s="24"/>
      <c r="M842" s="24"/>
      <c r="N842" s="21"/>
      <c r="P842" s="22"/>
      <c r="S842" s="21"/>
    </row>
    <row r="843" spans="1:19" x14ac:dyDescent="0.35">
      <c r="A843" s="25">
        <v>45707</v>
      </c>
      <c r="B843" s="24">
        <v>32817.74</v>
      </c>
      <c r="C843" s="24">
        <v>32817.74</v>
      </c>
      <c r="D843" s="23">
        <f t="shared" si="13"/>
        <v>5.8229574518622327E-3</v>
      </c>
      <c r="F843" s="22"/>
      <c r="I843" s="21"/>
      <c r="K843" s="22"/>
      <c r="L843" s="24"/>
      <c r="M843" s="24"/>
      <c r="N843" s="21"/>
      <c r="P843" s="22"/>
      <c r="S843" s="21"/>
    </row>
    <row r="844" spans="1:19" x14ac:dyDescent="0.35">
      <c r="A844" s="25">
        <v>45708</v>
      </c>
      <c r="B844" s="24">
        <v>32975.85</v>
      </c>
      <c r="C844" s="24">
        <v>32975.85</v>
      </c>
      <c r="D844" s="23">
        <f t="shared" si="13"/>
        <v>4.8178210931039307E-3</v>
      </c>
      <c r="F844" s="22"/>
      <c r="I844" s="21"/>
      <c r="K844" s="22"/>
      <c r="L844" s="24"/>
      <c r="M844" s="24"/>
      <c r="N844" s="21"/>
      <c r="P844" s="22"/>
      <c r="S844" s="21"/>
    </row>
    <row r="845" spans="1:19" x14ac:dyDescent="0.35">
      <c r="A845" s="25">
        <v>45709</v>
      </c>
      <c r="B845" s="24">
        <v>32753.5</v>
      </c>
      <c r="C845" s="24">
        <v>32753.5</v>
      </c>
      <c r="D845" s="23">
        <f t="shared" si="13"/>
        <v>-6.7428133012492038E-3</v>
      </c>
      <c r="F845" s="22"/>
      <c r="I845" s="21"/>
      <c r="K845" s="22"/>
      <c r="L845" s="24"/>
      <c r="M845" s="24"/>
      <c r="N845" s="21"/>
      <c r="P845" s="22"/>
      <c r="S845" s="21"/>
    </row>
    <row r="846" spans="1:19" x14ac:dyDescent="0.35">
      <c r="A846" s="25">
        <v>45712</v>
      </c>
      <c r="B846" s="24">
        <v>32402.38</v>
      </c>
      <c r="C846" s="24">
        <v>32402.38</v>
      </c>
      <c r="D846" s="23">
        <f t="shared" si="13"/>
        <v>-1.0720075717098905E-2</v>
      </c>
      <c r="F846" s="22"/>
      <c r="I846" s="21"/>
      <c r="K846" s="22"/>
      <c r="L846" s="24"/>
      <c r="M846" s="24"/>
      <c r="N846" s="21"/>
      <c r="P846" s="22"/>
      <c r="S846" s="21"/>
    </row>
    <row r="847" spans="1:19" x14ac:dyDescent="0.35">
      <c r="A847" s="25">
        <v>45713</v>
      </c>
      <c r="B847" s="24">
        <v>32323.82</v>
      </c>
      <c r="C847" s="24">
        <v>32323.82</v>
      </c>
      <c r="D847" s="23">
        <f t="shared" si="13"/>
        <v>-2.4245132610629621E-3</v>
      </c>
      <c r="F847" s="22"/>
      <c r="I847" s="21"/>
      <c r="K847" s="22"/>
      <c r="L847" s="24"/>
      <c r="M847" s="24"/>
      <c r="N847" s="21"/>
      <c r="P847" s="22"/>
      <c r="S847" s="21"/>
    </row>
    <row r="848" spans="1:19" x14ac:dyDescent="0.35">
      <c r="A848" s="25">
        <v>45715</v>
      </c>
      <c r="B848" s="24">
        <v>32160.49</v>
      </c>
      <c r="C848" s="24">
        <v>32160.49</v>
      </c>
      <c r="D848" s="23">
        <f t="shared" si="13"/>
        <v>-5.0529300064162622E-3</v>
      </c>
      <c r="F848" s="22"/>
      <c r="I848" s="21"/>
      <c r="K848" s="22"/>
      <c r="L848" s="24"/>
      <c r="M848" s="24"/>
      <c r="N848" s="21"/>
      <c r="P848" s="22"/>
      <c r="S848" s="21"/>
    </row>
    <row r="849" spans="1:19" x14ac:dyDescent="0.35">
      <c r="A849" s="25">
        <v>45716</v>
      </c>
      <c r="B849" s="24">
        <v>31473.37</v>
      </c>
      <c r="C849" s="24">
        <v>31473.37</v>
      </c>
      <c r="D849" s="23">
        <f t="shared" si="13"/>
        <v>-2.1365346112574856E-2</v>
      </c>
      <c r="F849" s="22"/>
      <c r="I849" s="21"/>
      <c r="K849" s="22"/>
      <c r="L849" s="24"/>
      <c r="M849" s="24"/>
      <c r="N849" s="21"/>
      <c r="P849" s="22"/>
      <c r="S849" s="21"/>
    </row>
    <row r="850" spans="1:19" x14ac:dyDescent="0.35">
      <c r="A850" s="25">
        <v>45719</v>
      </c>
      <c r="B850" s="24">
        <v>31498.76</v>
      </c>
      <c r="C850" s="24">
        <v>31498.76</v>
      </c>
      <c r="D850" s="23">
        <f t="shared" si="13"/>
        <v>8.0671373926590698E-4</v>
      </c>
      <c r="F850" s="22"/>
      <c r="I850" s="21"/>
      <c r="K850" s="22"/>
      <c r="L850" s="24"/>
      <c r="M850" s="24"/>
      <c r="N850" s="21"/>
      <c r="P850" s="22"/>
      <c r="S850" s="21"/>
    </row>
    <row r="851" spans="1:19" x14ac:dyDescent="0.35">
      <c r="A851" s="25">
        <v>45720</v>
      </c>
      <c r="B851" s="24">
        <v>31531.88</v>
      </c>
      <c r="C851" s="24">
        <v>31531.88</v>
      </c>
      <c r="D851" s="23">
        <f t="shared" si="13"/>
        <v>1.0514699626271834E-3</v>
      </c>
      <c r="F851" s="22"/>
      <c r="I851" s="21"/>
      <c r="K851" s="22"/>
      <c r="L851" s="24"/>
      <c r="M851" s="24"/>
      <c r="N851" s="21"/>
      <c r="P851" s="22"/>
      <c r="S851" s="21"/>
    </row>
    <row r="852" spans="1:19" x14ac:dyDescent="0.35">
      <c r="A852" s="25">
        <v>45721</v>
      </c>
      <c r="B852" s="24">
        <v>32068</v>
      </c>
      <c r="C852" s="24">
        <v>32068</v>
      </c>
      <c r="D852" s="23">
        <f t="shared" si="13"/>
        <v>1.7002474955505317E-2</v>
      </c>
      <c r="F852" s="22"/>
      <c r="I852" s="21"/>
      <c r="K852" s="22"/>
      <c r="L852" s="24"/>
      <c r="M852" s="24"/>
      <c r="N852" s="21"/>
      <c r="P852" s="22"/>
      <c r="S852" s="21"/>
    </row>
    <row r="853" spans="1:19" x14ac:dyDescent="0.35">
      <c r="A853" s="25">
        <v>45722</v>
      </c>
      <c r="B853" s="24">
        <v>32369.7</v>
      </c>
      <c r="C853" s="24">
        <v>32369.7</v>
      </c>
      <c r="D853" s="23">
        <f t="shared" si="13"/>
        <v>9.4081327179743272E-3</v>
      </c>
      <c r="F853" s="22"/>
      <c r="I853" s="21"/>
      <c r="K853" s="22"/>
      <c r="L853" s="24"/>
      <c r="M853" s="24"/>
      <c r="N853" s="21"/>
      <c r="P853" s="22"/>
      <c r="S853" s="21"/>
    </row>
    <row r="854" spans="1:19" x14ac:dyDescent="0.35">
      <c r="A854" s="25">
        <v>45723</v>
      </c>
      <c r="B854" s="24">
        <v>32364.23</v>
      </c>
      <c r="C854" s="24">
        <v>32364.23</v>
      </c>
      <c r="D854" s="23">
        <f t="shared" si="13"/>
        <v>-1.6898519294281886E-4</v>
      </c>
      <c r="F854" s="22"/>
      <c r="I854" s="21"/>
      <c r="K854" s="22"/>
      <c r="L854" s="24"/>
      <c r="M854" s="24"/>
      <c r="N854" s="21"/>
      <c r="P854" s="22"/>
      <c r="S854" s="21"/>
    </row>
    <row r="855" spans="1:19" x14ac:dyDescent="0.35">
      <c r="A855" s="25">
        <v>45727</v>
      </c>
      <c r="B855" s="24">
        <v>32142.17</v>
      </c>
      <c r="C855" s="24">
        <v>32142.17</v>
      </c>
      <c r="D855" s="23">
        <f t="shared" si="13"/>
        <v>-6.8612786400294801E-3</v>
      </c>
      <c r="F855" s="22"/>
      <c r="I855" s="21"/>
      <c r="K855" s="22"/>
      <c r="L855" s="24"/>
      <c r="M855" s="24"/>
      <c r="N855" s="21"/>
      <c r="P855" s="22"/>
      <c r="S855" s="21"/>
    </row>
    <row r="856" spans="1:19" x14ac:dyDescent="0.35">
      <c r="A856" s="25">
        <v>45728</v>
      </c>
      <c r="B856" s="24">
        <v>32081.82</v>
      </c>
      <c r="C856" s="24">
        <v>32081.82</v>
      </c>
      <c r="D856" s="23">
        <f t="shared" si="13"/>
        <v>-1.8775956943790214E-3</v>
      </c>
      <c r="F856" s="22"/>
      <c r="I856" s="21"/>
      <c r="K856" s="22"/>
      <c r="L856" s="24"/>
      <c r="M856" s="24"/>
      <c r="N856" s="21"/>
      <c r="P856" s="22"/>
      <c r="S856" s="21"/>
    </row>
    <row r="857" spans="1:19" x14ac:dyDescent="0.35">
      <c r="A857" s="25">
        <v>45729</v>
      </c>
      <c r="B857" s="24">
        <v>31942.25</v>
      </c>
      <c r="C857" s="24">
        <v>31942.25</v>
      </c>
      <c r="D857" s="23">
        <f t="shared" si="13"/>
        <v>-4.3504389713551073E-3</v>
      </c>
      <c r="F857" s="22"/>
      <c r="I857" s="21"/>
      <c r="K857" s="22"/>
      <c r="L857" s="24"/>
      <c r="M857" s="24"/>
      <c r="N857" s="21"/>
      <c r="P857" s="22"/>
      <c r="S857" s="21"/>
    </row>
    <row r="858" spans="1:19" x14ac:dyDescent="0.35">
      <c r="A858" s="25">
        <v>45733</v>
      </c>
      <c r="B858" s="24">
        <v>32119.96</v>
      </c>
      <c r="C858" s="24">
        <v>32119.96</v>
      </c>
      <c r="D858" s="23">
        <f t="shared" si="13"/>
        <v>5.5634778389123847E-3</v>
      </c>
      <c r="F858" s="22"/>
      <c r="I858" s="21"/>
      <c r="K858" s="22"/>
      <c r="L858" s="24"/>
      <c r="M858" s="24"/>
      <c r="N858" s="21"/>
      <c r="P858" s="22"/>
      <c r="S858" s="21"/>
    </row>
    <row r="859" spans="1:19" x14ac:dyDescent="0.35">
      <c r="A859" s="25">
        <v>45734</v>
      </c>
      <c r="B859" s="24">
        <v>32703.97</v>
      </c>
      <c r="C859" s="24">
        <v>32703.97</v>
      </c>
      <c r="D859" s="23">
        <f t="shared" si="13"/>
        <v>1.8182152157101131E-2</v>
      </c>
      <c r="F859" s="22"/>
      <c r="I859" s="21"/>
      <c r="K859" s="22"/>
      <c r="L859" s="24"/>
      <c r="M859" s="24"/>
      <c r="N859" s="21"/>
      <c r="P859" s="22"/>
      <c r="S859" s="21"/>
    </row>
    <row r="860" spans="1:19" x14ac:dyDescent="0.35">
      <c r="A860" s="25">
        <v>45735</v>
      </c>
      <c r="B860" s="24">
        <v>33033.14</v>
      </c>
      <c r="C860" s="24">
        <v>33033.14</v>
      </c>
      <c r="D860" s="23">
        <f t="shared" si="13"/>
        <v>1.0065138880692413E-2</v>
      </c>
      <c r="F860" s="22"/>
      <c r="I860" s="21"/>
      <c r="K860" s="22"/>
      <c r="L860" s="24"/>
      <c r="M860" s="24"/>
      <c r="N860" s="21"/>
      <c r="P860" s="22"/>
      <c r="S860" s="21"/>
    </row>
    <row r="861" spans="1:19" x14ac:dyDescent="0.35">
      <c r="A861" s="25">
        <v>45736</v>
      </c>
      <c r="B861" s="24">
        <v>33358.699999999997</v>
      </c>
      <c r="C861" s="24">
        <v>33358.699999999997</v>
      </c>
      <c r="D861" s="23">
        <f t="shared" si="13"/>
        <v>9.8555571768229634E-3</v>
      </c>
      <c r="F861" s="22"/>
      <c r="I861" s="21"/>
      <c r="K861" s="22"/>
      <c r="L861" s="24"/>
      <c r="M861" s="24"/>
      <c r="N861" s="21"/>
      <c r="P861" s="22"/>
      <c r="S861" s="21"/>
    </row>
    <row r="862" spans="1:19" x14ac:dyDescent="0.35">
      <c r="A862" s="25">
        <v>45737</v>
      </c>
      <c r="B862" s="24">
        <v>33681.839999999997</v>
      </c>
      <c r="C862" s="24">
        <v>33681.839999999997</v>
      </c>
      <c r="D862" s="23">
        <f t="shared" si="13"/>
        <v>9.6868283236456899E-3</v>
      </c>
      <c r="F862" s="22"/>
      <c r="I862" s="21"/>
      <c r="K862" s="22"/>
      <c r="L862" s="24"/>
      <c r="M862" s="24"/>
      <c r="N862" s="21"/>
      <c r="P862" s="22"/>
      <c r="S862" s="21"/>
    </row>
    <row r="863" spans="1:19" x14ac:dyDescent="0.35">
      <c r="A863" s="25">
        <v>45740</v>
      </c>
      <c r="B863" s="24">
        <v>34100.120000000003</v>
      </c>
      <c r="C863" s="24">
        <v>34100.120000000003</v>
      </c>
      <c r="D863" s="23">
        <f t="shared" si="13"/>
        <v>1.2418561456262666E-2</v>
      </c>
      <c r="F863" s="22"/>
      <c r="I863" s="21"/>
      <c r="K863" s="22"/>
      <c r="L863" s="24"/>
      <c r="M863" s="24"/>
      <c r="N863" s="21"/>
      <c r="P863" s="22"/>
      <c r="S863" s="21"/>
    </row>
    <row r="864" spans="1:19" x14ac:dyDescent="0.35">
      <c r="A864" s="25">
        <v>45741</v>
      </c>
      <c r="B864" s="24">
        <v>33941.26</v>
      </c>
      <c r="C864" s="24">
        <v>33941.26</v>
      </c>
      <c r="D864" s="23">
        <f t="shared" si="13"/>
        <v>-4.658634632370812E-3</v>
      </c>
      <c r="F864" s="22"/>
      <c r="I864" s="21"/>
      <c r="K864" s="22"/>
      <c r="L864" s="24"/>
      <c r="M864" s="24"/>
      <c r="N864" s="21"/>
      <c r="P864" s="22"/>
      <c r="S864" s="21"/>
    </row>
    <row r="865" spans="1:19" x14ac:dyDescent="0.35">
      <c r="A865" s="25">
        <v>45742</v>
      </c>
      <c r="B865" s="24">
        <v>33685.64</v>
      </c>
      <c r="C865" s="24">
        <v>33685.64</v>
      </c>
      <c r="D865" s="23">
        <f t="shared" si="13"/>
        <v>-7.531246630207677E-3</v>
      </c>
      <c r="F865" s="22"/>
      <c r="I865" s="21"/>
      <c r="K865" s="22"/>
      <c r="L865" s="24"/>
      <c r="M865" s="24"/>
      <c r="N865" s="21"/>
      <c r="P865" s="22"/>
      <c r="S865" s="21"/>
    </row>
    <row r="866" spans="1:19" x14ac:dyDescent="0.35">
      <c r="A866" s="25">
        <v>45743</v>
      </c>
      <c r="B866" s="24">
        <v>33895.46</v>
      </c>
      <c r="C866" s="24">
        <v>33895.46</v>
      </c>
      <c r="D866" s="23">
        <f t="shared" si="13"/>
        <v>6.2287669167039638E-3</v>
      </c>
      <c r="F866" s="22"/>
      <c r="I866" s="21"/>
      <c r="K866" s="22"/>
      <c r="L866" s="24"/>
      <c r="M866" s="24"/>
      <c r="N866" s="21"/>
      <c r="P866" s="22"/>
      <c r="S866" s="21"/>
    </row>
    <row r="867" spans="1:19" x14ac:dyDescent="0.35">
      <c r="A867" s="25">
        <v>45744</v>
      </c>
      <c r="B867" s="24">
        <v>33787.56</v>
      </c>
      <c r="C867" s="24">
        <v>33787.56</v>
      </c>
      <c r="D867" s="23">
        <f t="shared" si="13"/>
        <v>-3.1833171758106089E-3</v>
      </c>
      <c r="F867" s="22"/>
      <c r="I867" s="21"/>
      <c r="K867" s="22"/>
      <c r="L867" s="24"/>
      <c r="M867" s="24"/>
      <c r="N867" s="21"/>
      <c r="P867" s="22"/>
      <c r="S867" s="21"/>
    </row>
    <row r="868" spans="1:19" x14ac:dyDescent="0.35">
      <c r="A868" s="25">
        <v>45748</v>
      </c>
      <c r="B868" s="24">
        <v>33361.96</v>
      </c>
      <c r="C868" s="24">
        <v>33361.96</v>
      </c>
      <c r="D868" s="23">
        <f t="shared" si="13"/>
        <v>-1.2596352030155435E-2</v>
      </c>
      <c r="F868" s="22"/>
      <c r="I868" s="21"/>
      <c r="K868" s="22"/>
      <c r="L868" s="24"/>
      <c r="M868" s="24"/>
      <c r="N868" s="21"/>
      <c r="P868" s="22"/>
      <c r="S868" s="21"/>
    </row>
    <row r="869" spans="1:19" x14ac:dyDescent="0.35">
      <c r="A869" s="25">
        <v>45749</v>
      </c>
      <c r="B869" s="24">
        <v>33670.61</v>
      </c>
      <c r="C869" s="24">
        <v>33670.61</v>
      </c>
      <c r="D869" s="23">
        <f t="shared" si="13"/>
        <v>9.2515547647680618E-3</v>
      </c>
      <c r="F869" s="22"/>
      <c r="I869" s="21"/>
      <c r="K869" s="22"/>
      <c r="L869" s="24"/>
      <c r="M869" s="24"/>
      <c r="N869" s="21"/>
      <c r="P869" s="22"/>
      <c r="S869" s="21"/>
    </row>
    <row r="870" spans="1:19" x14ac:dyDescent="0.35">
      <c r="A870" s="25">
        <v>45750</v>
      </c>
      <c r="B870" s="24">
        <v>33635.56</v>
      </c>
      <c r="C870" s="24">
        <v>33635.56</v>
      </c>
      <c r="D870" s="23">
        <f t="shared" si="13"/>
        <v>-1.0409671817648361E-3</v>
      </c>
      <c r="F870" s="22"/>
      <c r="I870" s="21"/>
      <c r="K870" s="22"/>
      <c r="L870" s="24"/>
      <c r="M870" s="24"/>
      <c r="N870" s="21"/>
      <c r="P870" s="22"/>
      <c r="S870" s="21"/>
    </row>
    <row r="871" spans="1:19" x14ac:dyDescent="0.35">
      <c r="A871" s="25">
        <v>45751</v>
      </c>
      <c r="B871" s="24">
        <v>32942.089999999997</v>
      </c>
      <c r="C871" s="24">
        <v>32942.089999999997</v>
      </c>
      <c r="D871" s="23">
        <f t="shared" si="13"/>
        <v>-2.0617168258830868E-2</v>
      </c>
      <c r="F871" s="22"/>
      <c r="I871" s="21"/>
      <c r="K871" s="22"/>
      <c r="L871" s="24"/>
      <c r="M871" s="24"/>
      <c r="N871" s="21"/>
      <c r="P871" s="22"/>
      <c r="S871" s="21"/>
    </row>
    <row r="872" spans="1:19" x14ac:dyDescent="0.35">
      <c r="A872" s="25">
        <v>45754</v>
      </c>
      <c r="B872" s="24">
        <v>31834.33</v>
      </c>
      <c r="C872" s="24">
        <v>31834.33</v>
      </c>
      <c r="D872" s="23">
        <f t="shared" si="13"/>
        <v>-3.3627496008905168E-2</v>
      </c>
      <c r="F872" s="22"/>
      <c r="I872" s="21"/>
      <c r="K872" s="22"/>
      <c r="L872" s="24"/>
      <c r="M872" s="24"/>
      <c r="N872" s="21"/>
      <c r="P872" s="22"/>
      <c r="S872" s="21"/>
    </row>
    <row r="873" spans="1:19" x14ac:dyDescent="0.35">
      <c r="A873" s="25">
        <v>45755</v>
      </c>
      <c r="B873" s="24">
        <v>32428.26</v>
      </c>
      <c r="C873" s="24">
        <v>32428.26</v>
      </c>
      <c r="D873" s="23">
        <f t="shared" si="13"/>
        <v>1.865690278388132E-2</v>
      </c>
      <c r="F873" s="22"/>
      <c r="I873" s="21"/>
      <c r="K873" s="22"/>
      <c r="L873" s="24"/>
      <c r="M873" s="24"/>
      <c r="N873" s="21"/>
      <c r="P873" s="22"/>
      <c r="S873" s="21"/>
    </row>
    <row r="874" spans="1:19" x14ac:dyDescent="0.35">
      <c r="A874" s="25">
        <v>45756</v>
      </c>
      <c r="B874" s="24">
        <v>32231.86</v>
      </c>
      <c r="C874" s="24">
        <v>32231.86</v>
      </c>
      <c r="D874" s="23">
        <f t="shared" si="13"/>
        <v>-6.0564458284224259E-3</v>
      </c>
      <c r="F874" s="22"/>
      <c r="I874" s="21"/>
      <c r="K874" s="22"/>
      <c r="L874" s="24"/>
      <c r="M874" s="24"/>
      <c r="N874" s="21"/>
      <c r="P874" s="22"/>
      <c r="S874" s="21"/>
    </row>
    <row r="875" spans="1:19" x14ac:dyDescent="0.35">
      <c r="A875" s="25">
        <v>45758</v>
      </c>
      <c r="B875" s="24">
        <v>32859.129999999997</v>
      </c>
      <c r="C875" s="24">
        <v>32859.129999999997</v>
      </c>
      <c r="D875" s="23">
        <f t="shared" si="13"/>
        <v>1.9461179094225303E-2</v>
      </c>
      <c r="F875" s="22"/>
      <c r="I875" s="21"/>
      <c r="K875" s="22"/>
      <c r="L875" s="24"/>
      <c r="M875" s="24"/>
      <c r="N875" s="21"/>
      <c r="P875" s="22"/>
      <c r="S875" s="21"/>
    </row>
    <row r="876" spans="1:19" x14ac:dyDescent="0.35">
      <c r="A876" s="25">
        <v>45762</v>
      </c>
      <c r="B876" s="24">
        <v>33692.800000000003</v>
      </c>
      <c r="C876" s="24">
        <v>33692.800000000003</v>
      </c>
      <c r="D876" s="23">
        <f t="shared" si="13"/>
        <v>2.5371030821570918E-2</v>
      </c>
      <c r="F876" s="22"/>
      <c r="I876" s="21"/>
      <c r="K876" s="22"/>
      <c r="L876" s="24"/>
      <c r="M876" s="24"/>
      <c r="N876" s="21"/>
      <c r="P876" s="22"/>
      <c r="S876" s="21"/>
    </row>
    <row r="877" spans="1:19" x14ac:dyDescent="0.35">
      <c r="A877" s="25">
        <v>45763</v>
      </c>
      <c r="B877" s="24">
        <v>33890.74</v>
      </c>
      <c r="C877" s="24">
        <v>33890.74</v>
      </c>
      <c r="D877" s="23">
        <f t="shared" si="13"/>
        <v>5.8748456643554423E-3</v>
      </c>
      <c r="F877" s="22"/>
      <c r="I877" s="21"/>
      <c r="K877" s="22"/>
      <c r="L877" s="24"/>
      <c r="M877" s="24"/>
      <c r="N877" s="21"/>
      <c r="P877" s="22"/>
      <c r="S877" s="21"/>
    </row>
    <row r="878" spans="1:19" x14ac:dyDescent="0.35">
      <c r="A878" s="25">
        <v>45764</v>
      </c>
      <c r="B878" s="24">
        <v>34329.58</v>
      </c>
      <c r="C878" s="24">
        <v>34329.58</v>
      </c>
      <c r="D878" s="23">
        <f t="shared" si="13"/>
        <v>1.2948669754629253E-2</v>
      </c>
      <c r="F878" s="22"/>
      <c r="I878" s="21"/>
      <c r="K878" s="22"/>
      <c r="L878" s="24"/>
      <c r="M878" s="24"/>
      <c r="N878" s="21"/>
      <c r="P878" s="22"/>
      <c r="S878" s="21"/>
    </row>
    <row r="879" spans="1:19" x14ac:dyDescent="0.35">
      <c r="A879" s="25">
        <v>45768</v>
      </c>
      <c r="B879" s="24">
        <v>34842.910000000003</v>
      </c>
      <c r="C879" s="24">
        <v>34842.910000000003</v>
      </c>
      <c r="D879" s="23">
        <f t="shared" si="13"/>
        <v>1.4952993890400107E-2</v>
      </c>
      <c r="F879" s="22"/>
      <c r="I879" s="21"/>
      <c r="K879" s="22"/>
      <c r="L879" s="24"/>
      <c r="M879" s="24"/>
      <c r="N879" s="21"/>
      <c r="P879" s="22"/>
      <c r="S879" s="21"/>
    </row>
    <row r="880" spans="1:19" x14ac:dyDescent="0.35">
      <c r="A880" s="25">
        <v>45769</v>
      </c>
      <c r="B880" s="24">
        <v>34968.69</v>
      </c>
      <c r="C880" s="24">
        <v>34968.69</v>
      </c>
      <c r="D880" s="23">
        <f t="shared" si="13"/>
        <v>3.6099166229226786E-3</v>
      </c>
      <c r="F880" s="22"/>
      <c r="I880" s="21"/>
      <c r="K880" s="22"/>
      <c r="L880" s="24"/>
      <c r="M880" s="24"/>
      <c r="N880" s="21"/>
      <c r="P880" s="22"/>
      <c r="S880" s="21"/>
    </row>
    <row r="881" spans="1:19" x14ac:dyDescent="0.35">
      <c r="A881" s="25">
        <v>45770</v>
      </c>
      <c r="B881" s="24">
        <v>35210.269999999997</v>
      </c>
      <c r="C881" s="24">
        <v>35210.269999999997</v>
      </c>
      <c r="D881" s="23">
        <f t="shared" si="13"/>
        <v>6.9084658304327225E-3</v>
      </c>
      <c r="F881" s="22"/>
      <c r="I881" s="21"/>
      <c r="K881" s="22"/>
      <c r="L881" s="24"/>
      <c r="M881" s="24"/>
      <c r="N881" s="21"/>
      <c r="P881" s="22"/>
      <c r="S881" s="21"/>
    </row>
    <row r="882" spans="1:19" x14ac:dyDescent="0.35">
      <c r="A882" s="25">
        <v>45771</v>
      </c>
      <c r="B882" s="24">
        <v>35120.1</v>
      </c>
      <c r="C882" s="24">
        <v>35120.1</v>
      </c>
      <c r="D882" s="23">
        <f t="shared" si="13"/>
        <v>-2.5609005554344871E-3</v>
      </c>
      <c r="F882" s="22"/>
      <c r="I882" s="21"/>
      <c r="K882" s="22"/>
      <c r="L882" s="24"/>
      <c r="M882" s="24"/>
      <c r="N882" s="21"/>
      <c r="P882" s="22"/>
      <c r="S882" s="21"/>
    </row>
    <row r="883" spans="1:19" x14ac:dyDescent="0.35">
      <c r="A883" s="25">
        <v>45772</v>
      </c>
      <c r="B883" s="24">
        <v>34594.15</v>
      </c>
      <c r="C883" s="24">
        <v>34594.15</v>
      </c>
      <c r="D883" s="23">
        <f t="shared" si="13"/>
        <v>-1.497575462484438E-2</v>
      </c>
      <c r="F883" s="22"/>
      <c r="I883" s="21"/>
      <c r="K883" s="22"/>
      <c r="L883" s="24"/>
      <c r="M883" s="24"/>
      <c r="N883" s="21"/>
      <c r="P883" s="22"/>
      <c r="S883" s="21"/>
    </row>
    <row r="884" spans="1:19" x14ac:dyDescent="0.35">
      <c r="A884" s="25">
        <v>45775</v>
      </c>
      <c r="B884" s="24">
        <v>34999.51</v>
      </c>
      <c r="C884" s="24">
        <v>34999.51</v>
      </c>
      <c r="D884" s="23">
        <f t="shared" si="13"/>
        <v>1.1717588089315695E-2</v>
      </c>
      <c r="F884" s="22"/>
      <c r="I884" s="21"/>
      <c r="K884" s="22"/>
      <c r="L884" s="24"/>
      <c r="M884" s="24"/>
      <c r="N884" s="21"/>
      <c r="P884" s="22"/>
      <c r="S884" s="21"/>
    </row>
    <row r="885" spans="1:19" x14ac:dyDescent="0.35">
      <c r="A885" s="25">
        <v>45776</v>
      </c>
      <c r="B885" s="24">
        <v>35016.370000000003</v>
      </c>
      <c r="C885" s="24">
        <v>35016.370000000003</v>
      </c>
      <c r="D885" s="23">
        <f t="shared" si="13"/>
        <v>4.8172102980871962E-4</v>
      </c>
      <c r="F885" s="22"/>
      <c r="I885" s="21"/>
      <c r="K885" s="22"/>
      <c r="L885" s="24"/>
      <c r="M885" s="24"/>
      <c r="N885" s="21"/>
      <c r="P885" s="22"/>
      <c r="S885" s="21"/>
    </row>
    <row r="886" spans="1:19" x14ac:dyDescent="0.35">
      <c r="A886" s="25">
        <v>45777</v>
      </c>
      <c r="B886" s="24">
        <v>34886.080000000002</v>
      </c>
      <c r="C886" s="24">
        <v>34886.080000000002</v>
      </c>
      <c r="D886" s="23">
        <f t="shared" si="13"/>
        <v>-3.7208311426912858E-3</v>
      </c>
      <c r="F886" s="22"/>
      <c r="I886" s="21"/>
      <c r="K886" s="22"/>
      <c r="L886" s="24"/>
      <c r="M886" s="24"/>
      <c r="N886" s="21"/>
      <c r="P886" s="22"/>
      <c r="S886" s="21"/>
    </row>
    <row r="887" spans="1:19" x14ac:dyDescent="0.35">
      <c r="A887" s="25">
        <v>45779</v>
      </c>
      <c r="B887" s="24">
        <v>34848.28</v>
      </c>
      <c r="C887" s="24">
        <v>34848.28</v>
      </c>
      <c r="D887" s="23">
        <f t="shared" si="13"/>
        <v>-1.0835267246994476E-3</v>
      </c>
      <c r="F887" s="22"/>
      <c r="I887" s="21"/>
      <c r="K887" s="22"/>
      <c r="L887" s="24"/>
      <c r="M887" s="24"/>
      <c r="N887" s="21"/>
      <c r="P887" s="22"/>
      <c r="S887" s="21"/>
    </row>
    <row r="888" spans="1:19" x14ac:dyDescent="0.35">
      <c r="A888" s="25">
        <v>45782</v>
      </c>
      <c r="B888" s="24">
        <v>35147.86</v>
      </c>
      <c r="C888" s="24">
        <v>35147.86</v>
      </c>
      <c r="D888" s="23">
        <f t="shared" si="13"/>
        <v>8.5966940118709367E-3</v>
      </c>
      <c r="F888" s="22"/>
      <c r="I888" s="21"/>
      <c r="K888" s="22"/>
      <c r="L888" s="24"/>
      <c r="M888" s="24"/>
      <c r="N888" s="21"/>
      <c r="P888" s="22"/>
      <c r="S888" s="21"/>
    </row>
    <row r="889" spans="1:19" x14ac:dyDescent="0.35">
      <c r="A889" s="25">
        <v>45783</v>
      </c>
      <c r="B889" s="24">
        <v>34770.1</v>
      </c>
      <c r="C889" s="24">
        <v>34770.1</v>
      </c>
      <c r="D889" s="23">
        <f t="shared" si="13"/>
        <v>-1.0747738269129387E-2</v>
      </c>
      <c r="F889" s="22"/>
      <c r="I889" s="21"/>
      <c r="K889" s="22"/>
      <c r="L889" s="24"/>
      <c r="M889" s="24"/>
      <c r="N889" s="21"/>
      <c r="P889" s="22"/>
      <c r="S889" s="21"/>
    </row>
    <row r="890" spans="1:19" x14ac:dyDescent="0.35">
      <c r="A890" s="25">
        <v>45784</v>
      </c>
      <c r="B890" s="24">
        <v>34953.839999999997</v>
      </c>
      <c r="C890" s="24">
        <v>34953.839999999997</v>
      </c>
      <c r="D890" s="23">
        <f t="shared" si="13"/>
        <v>5.2844254114885478E-3</v>
      </c>
      <c r="F890" s="22"/>
      <c r="I890" s="21"/>
      <c r="K890" s="22"/>
      <c r="L890" s="24"/>
      <c r="M890" s="24"/>
      <c r="N890" s="21"/>
      <c r="P890" s="22"/>
      <c r="S890" s="21"/>
    </row>
    <row r="891" spans="1:19" x14ac:dyDescent="0.35">
      <c r="A891" s="25">
        <v>45785</v>
      </c>
      <c r="B891" s="24">
        <v>34590.6</v>
      </c>
      <c r="C891" s="24">
        <v>34590.6</v>
      </c>
      <c r="D891" s="23">
        <f t="shared" si="13"/>
        <v>-1.0391991266195588E-2</v>
      </c>
      <c r="F891" s="22"/>
      <c r="I891" s="21"/>
      <c r="K891" s="22"/>
      <c r="L891" s="24"/>
      <c r="M891" s="24"/>
      <c r="N891" s="21"/>
      <c r="P891" s="22"/>
      <c r="S891" s="21"/>
    </row>
    <row r="892" spans="1:19" x14ac:dyDescent="0.35">
      <c r="A892" s="25">
        <v>45786</v>
      </c>
      <c r="B892" s="24">
        <v>34326.370000000003</v>
      </c>
      <c r="C892" s="24">
        <v>34326.370000000003</v>
      </c>
      <c r="D892" s="23">
        <f t="shared" si="13"/>
        <v>-7.6387804779331943E-3</v>
      </c>
      <c r="F892" s="22"/>
      <c r="I892" s="21"/>
      <c r="K892" s="22"/>
      <c r="L892" s="24"/>
      <c r="M892" s="24"/>
      <c r="N892" s="21"/>
      <c r="P892" s="22"/>
      <c r="S892" s="21"/>
    </row>
    <row r="893" spans="1:19" x14ac:dyDescent="0.35">
      <c r="A893" s="25">
        <v>45789</v>
      </c>
      <c r="B893" s="24">
        <v>35650</v>
      </c>
      <c r="C893" s="24">
        <v>35650</v>
      </c>
      <c r="D893" s="23">
        <f t="shared" si="13"/>
        <v>3.8560150694640805E-2</v>
      </c>
      <c r="F893" s="22"/>
      <c r="I893" s="21"/>
      <c r="K893" s="22"/>
      <c r="L893" s="24"/>
      <c r="M893" s="24"/>
      <c r="N893" s="21"/>
      <c r="P893" s="22"/>
      <c r="S893" s="21"/>
    </row>
    <row r="894" spans="1:19" x14ac:dyDescent="0.35">
      <c r="A894" s="25">
        <v>45790</v>
      </c>
      <c r="B894" s="24">
        <v>35393.94</v>
      </c>
      <c r="C894" s="24">
        <v>35393.94</v>
      </c>
      <c r="D894" s="23">
        <f t="shared" si="13"/>
        <v>-7.1826086956521089E-3</v>
      </c>
      <c r="F894" s="22"/>
      <c r="I894" s="21"/>
      <c r="K894" s="22"/>
      <c r="L894" s="24"/>
      <c r="M894" s="24"/>
      <c r="N894" s="21"/>
      <c r="P894" s="22"/>
      <c r="S894" s="21"/>
    </row>
    <row r="895" spans="1:19" x14ac:dyDescent="0.35">
      <c r="A895" s="25">
        <v>45791</v>
      </c>
      <c r="B895" s="24">
        <v>35632.269999999997</v>
      </c>
      <c r="C895" s="24">
        <v>35632.269999999997</v>
      </c>
      <c r="D895" s="23">
        <f t="shared" si="13"/>
        <v>6.7336385833279494E-3</v>
      </c>
      <c r="F895" s="22"/>
      <c r="I895" s="21"/>
      <c r="K895" s="22"/>
      <c r="L895" s="24"/>
      <c r="M895" s="24"/>
      <c r="N895" s="21"/>
      <c r="P895" s="22"/>
      <c r="S895" s="21"/>
    </row>
    <row r="896" spans="1:19" x14ac:dyDescent="0.35">
      <c r="A896" s="25">
        <v>45792</v>
      </c>
      <c r="B896" s="24">
        <v>36090.629999999997</v>
      </c>
      <c r="C896" s="24">
        <v>36090.629999999997</v>
      </c>
      <c r="D896" s="23">
        <f t="shared" si="13"/>
        <v>1.2863620532736214E-2</v>
      </c>
      <c r="F896" s="22"/>
      <c r="I896" s="21"/>
      <c r="K896" s="22"/>
      <c r="L896" s="24"/>
      <c r="M896" s="24"/>
      <c r="N896" s="21"/>
      <c r="P896" s="22"/>
      <c r="S896" s="21"/>
    </row>
    <row r="897" spans="1:19" x14ac:dyDescent="0.35">
      <c r="A897" s="25">
        <v>45793</v>
      </c>
      <c r="B897" s="24">
        <v>36232.61</v>
      </c>
      <c r="C897" s="24">
        <v>36232.61</v>
      </c>
      <c r="D897" s="23">
        <f t="shared" si="13"/>
        <v>3.9339850814464365E-3</v>
      </c>
      <c r="F897" s="22"/>
      <c r="I897" s="21"/>
      <c r="K897" s="22"/>
      <c r="L897" s="24"/>
      <c r="M897" s="24"/>
      <c r="N897" s="21"/>
      <c r="P897" s="22"/>
      <c r="S897" s="21"/>
    </row>
    <row r="898" spans="1:19" x14ac:dyDescent="0.35">
      <c r="A898" s="25">
        <v>45796</v>
      </c>
      <c r="B898" s="24">
        <v>36224.519999999997</v>
      </c>
      <c r="C898" s="24">
        <v>36224.519999999997</v>
      </c>
      <c r="D898" s="23">
        <f t="shared" si="13"/>
        <v>-2.2327952637151403E-4</v>
      </c>
      <c r="F898" s="22"/>
      <c r="I898" s="21"/>
      <c r="K898" s="22"/>
      <c r="L898" s="24"/>
      <c r="M898" s="24"/>
      <c r="N898" s="21"/>
      <c r="P898" s="22"/>
      <c r="S898" s="21"/>
    </row>
    <row r="899" spans="1:19" x14ac:dyDescent="0.35">
      <c r="A899" s="25">
        <v>45797</v>
      </c>
      <c r="B899" s="24">
        <v>35780.620000000003</v>
      </c>
      <c r="C899" s="24">
        <v>35780.620000000003</v>
      </c>
      <c r="D899" s="23">
        <f t="shared" ref="D899:D962" si="14">(B899-B898)/B898</f>
        <v>-1.2254130627541627E-2</v>
      </c>
      <c r="F899" s="22"/>
      <c r="I899" s="21"/>
      <c r="K899" s="22"/>
      <c r="L899" s="24"/>
      <c r="M899" s="24"/>
      <c r="N899" s="21"/>
      <c r="P899" s="22"/>
      <c r="S899" s="21"/>
    </row>
    <row r="900" spans="1:19" x14ac:dyDescent="0.35">
      <c r="A900" s="25">
        <v>45798</v>
      </c>
      <c r="B900" s="24">
        <v>36010.699999999997</v>
      </c>
      <c r="C900" s="24">
        <v>36010.699999999997</v>
      </c>
      <c r="D900" s="23">
        <f t="shared" si="14"/>
        <v>6.4302966242618057E-3</v>
      </c>
      <c r="F900" s="22"/>
      <c r="I900" s="21"/>
      <c r="K900" s="22"/>
      <c r="L900" s="24"/>
      <c r="M900" s="24"/>
      <c r="N900" s="21"/>
      <c r="P900" s="22"/>
      <c r="S900" s="21"/>
    </row>
    <row r="901" spans="1:19" x14ac:dyDescent="0.35">
      <c r="A901" s="25">
        <v>45799</v>
      </c>
      <c r="B901" s="24">
        <v>35797.03</v>
      </c>
      <c r="C901" s="24">
        <v>35797.03</v>
      </c>
      <c r="D901" s="23">
        <f t="shared" si="14"/>
        <v>-5.9335142054999842E-3</v>
      </c>
      <c r="F901" s="22"/>
      <c r="I901" s="21"/>
      <c r="K901" s="22"/>
      <c r="L901" s="24"/>
      <c r="M901" s="24"/>
      <c r="N901" s="21"/>
      <c r="P901" s="22"/>
      <c r="S901" s="21"/>
    </row>
    <row r="902" spans="1:19" x14ac:dyDescent="0.35">
      <c r="A902" s="25">
        <v>45800</v>
      </c>
      <c r="B902" s="24">
        <v>36092.879999999997</v>
      </c>
      <c r="C902" s="24">
        <v>36092.879999999997</v>
      </c>
      <c r="D902" s="23">
        <f t="shared" si="14"/>
        <v>8.2646521233744399E-3</v>
      </c>
      <c r="F902" s="22"/>
      <c r="I902" s="21"/>
      <c r="K902" s="22"/>
      <c r="L902" s="24"/>
      <c r="M902" s="24"/>
      <c r="N902" s="21"/>
      <c r="P902" s="22"/>
      <c r="S902" s="21"/>
    </row>
    <row r="903" spans="1:19" x14ac:dyDescent="0.35">
      <c r="A903" s="25">
        <v>45803</v>
      </c>
      <c r="B903" s="24">
        <v>36294.53</v>
      </c>
      <c r="C903" s="24">
        <v>36294.53</v>
      </c>
      <c r="D903" s="23">
        <f t="shared" si="14"/>
        <v>5.5869744946926226E-3</v>
      </c>
      <c r="F903" s="22"/>
      <c r="I903" s="21"/>
      <c r="K903" s="22"/>
      <c r="L903" s="24"/>
      <c r="M903" s="24"/>
      <c r="N903" s="21"/>
      <c r="P903" s="22"/>
      <c r="S903" s="21"/>
    </row>
    <row r="904" spans="1:19" x14ac:dyDescent="0.35">
      <c r="A904" s="25">
        <v>45804</v>
      </c>
      <c r="B904" s="24">
        <v>36149.56</v>
      </c>
      <c r="C904" s="24">
        <v>36149.56</v>
      </c>
      <c r="D904" s="23">
        <f t="shared" si="14"/>
        <v>-3.9942658025879157E-3</v>
      </c>
      <c r="F904" s="22"/>
      <c r="I904" s="21"/>
      <c r="K904" s="22"/>
      <c r="L904" s="24"/>
      <c r="M904" s="24"/>
      <c r="N904" s="21"/>
      <c r="P904" s="22"/>
      <c r="S904" s="21"/>
    </row>
    <row r="905" spans="1:19" x14ac:dyDescent="0.35">
      <c r="A905" s="25">
        <v>45805</v>
      </c>
      <c r="B905" s="24">
        <v>36105.43</v>
      </c>
      <c r="C905" s="24">
        <v>36105.43</v>
      </c>
      <c r="D905" s="23">
        <f t="shared" si="14"/>
        <v>-1.2207617464776164E-3</v>
      </c>
      <c r="F905" s="22"/>
      <c r="I905" s="21"/>
      <c r="K905" s="22"/>
      <c r="L905" s="24"/>
      <c r="M905" s="24"/>
      <c r="N905" s="21"/>
      <c r="P905" s="22"/>
      <c r="S905" s="21"/>
    </row>
    <row r="906" spans="1:19" x14ac:dyDescent="0.35">
      <c r="A906" s="25">
        <v>45806</v>
      </c>
      <c r="B906" s="24">
        <v>36236.36</v>
      </c>
      <c r="C906" s="24">
        <v>36236.36</v>
      </c>
      <c r="D906" s="23">
        <f t="shared" si="14"/>
        <v>3.6263243506586208E-3</v>
      </c>
      <c r="F906" s="22"/>
      <c r="I906" s="21"/>
      <c r="K906" s="22"/>
      <c r="L906" s="24"/>
      <c r="M906" s="24"/>
      <c r="N906" s="21"/>
      <c r="P906" s="22"/>
      <c r="S906" s="21"/>
    </row>
    <row r="907" spans="1:19" x14ac:dyDescent="0.35">
      <c r="A907" s="25">
        <v>45807</v>
      </c>
      <c r="B907" s="24">
        <v>36160.26</v>
      </c>
      <c r="C907" s="24">
        <v>36160.26</v>
      </c>
      <c r="D907" s="23">
        <f t="shared" si="14"/>
        <v>-2.1001005619769356E-3</v>
      </c>
      <c r="F907" s="22"/>
      <c r="I907" s="21"/>
      <c r="K907" s="22"/>
      <c r="L907" s="24"/>
      <c r="M907" s="24"/>
      <c r="N907" s="21"/>
      <c r="P907" s="22"/>
      <c r="S907" s="21"/>
    </row>
    <row r="908" spans="1:19" x14ac:dyDescent="0.35">
      <c r="A908" s="25">
        <v>45810</v>
      </c>
      <c r="B908" s="24">
        <v>36211.9</v>
      </c>
      <c r="C908" s="24">
        <v>36211.9</v>
      </c>
      <c r="D908" s="23">
        <f t="shared" si="14"/>
        <v>1.4280870768075067E-3</v>
      </c>
      <c r="F908" s="22"/>
      <c r="I908" s="21"/>
      <c r="K908" s="22"/>
      <c r="L908" s="24"/>
      <c r="M908" s="24"/>
      <c r="N908" s="21"/>
      <c r="P908" s="22"/>
      <c r="S908" s="21"/>
    </row>
    <row r="909" spans="1:19" x14ac:dyDescent="0.35">
      <c r="A909" s="25">
        <v>45811</v>
      </c>
      <c r="B909" s="24">
        <v>36024.39</v>
      </c>
      <c r="C909" s="24">
        <v>36024.39</v>
      </c>
      <c r="D909" s="23">
        <f t="shared" si="14"/>
        <v>-5.1781320505138373E-3</v>
      </c>
      <c r="F909" s="22"/>
      <c r="I909" s="21"/>
      <c r="K909" s="22"/>
      <c r="L909" s="24"/>
      <c r="M909" s="24"/>
      <c r="N909" s="21"/>
      <c r="P909" s="22"/>
      <c r="S909" s="21"/>
    </row>
    <row r="910" spans="1:19" x14ac:dyDescent="0.35">
      <c r="A910" s="25">
        <v>45812</v>
      </c>
      <c r="B910" s="24">
        <v>36185.79</v>
      </c>
      <c r="C910" s="24">
        <v>36185.79</v>
      </c>
      <c r="D910" s="23">
        <f t="shared" si="14"/>
        <v>4.4802979314847932E-3</v>
      </c>
      <c r="F910" s="22"/>
      <c r="I910" s="21"/>
      <c r="K910" s="22"/>
      <c r="L910" s="24"/>
      <c r="M910" s="24"/>
      <c r="N910" s="21"/>
      <c r="P910" s="22"/>
      <c r="S910" s="21"/>
    </row>
    <row r="911" spans="1:19" x14ac:dyDescent="0.35">
      <c r="A911" s="25">
        <v>45813</v>
      </c>
      <c r="B911" s="24">
        <v>36386.82</v>
      </c>
      <c r="C911" s="24">
        <v>36386.82</v>
      </c>
      <c r="D911" s="23">
        <f t="shared" si="14"/>
        <v>5.555495679381294E-3</v>
      </c>
      <c r="F911" s="22"/>
      <c r="I911" s="21"/>
      <c r="K911" s="22"/>
      <c r="L911" s="24"/>
      <c r="M911" s="24"/>
      <c r="N911" s="21"/>
      <c r="P911" s="22"/>
      <c r="S911" s="21"/>
    </row>
    <row r="912" spans="1:19" x14ac:dyDescent="0.35">
      <c r="A912" s="25">
        <v>45814</v>
      </c>
      <c r="B912" s="24">
        <v>36753.75</v>
      </c>
      <c r="C912" s="24">
        <v>36753.75</v>
      </c>
      <c r="D912" s="23">
        <f t="shared" si="14"/>
        <v>1.0084145852811548E-2</v>
      </c>
      <c r="F912" s="22"/>
      <c r="I912" s="21"/>
      <c r="K912" s="22"/>
      <c r="L912" s="24"/>
      <c r="M912" s="24"/>
      <c r="N912" s="21"/>
      <c r="P912" s="22"/>
      <c r="S912" s="21"/>
    </row>
    <row r="913" spans="1:19" x14ac:dyDescent="0.35">
      <c r="A913" s="25">
        <v>45817</v>
      </c>
      <c r="B913" s="24">
        <v>37016.25</v>
      </c>
      <c r="C913" s="24">
        <v>37016.25</v>
      </c>
      <c r="D913" s="23">
        <f t="shared" si="14"/>
        <v>7.1421283542495665E-3</v>
      </c>
      <c r="F913" s="22"/>
      <c r="I913" s="21"/>
      <c r="K913" s="22"/>
      <c r="L913" s="24"/>
      <c r="M913" s="24"/>
      <c r="N913" s="21"/>
      <c r="P913" s="22"/>
      <c r="S913" s="21"/>
    </row>
    <row r="914" spans="1:19" x14ac:dyDescent="0.35">
      <c r="A914" s="25">
        <v>45818</v>
      </c>
      <c r="B914" s="24">
        <v>37032.959999999999</v>
      </c>
      <c r="C914" s="24">
        <v>37032.959999999999</v>
      </c>
      <c r="D914" s="23">
        <f t="shared" si="14"/>
        <v>4.5142336136154058E-4</v>
      </c>
      <c r="F914" s="22"/>
      <c r="I914" s="21"/>
      <c r="K914" s="22"/>
      <c r="L914" s="24"/>
      <c r="M914" s="24"/>
      <c r="N914" s="21"/>
      <c r="P914" s="22"/>
      <c r="S914" s="21"/>
    </row>
    <row r="915" spans="1:19" x14ac:dyDescent="0.35">
      <c r="A915" s="25">
        <v>45819</v>
      </c>
      <c r="B915" s="24">
        <v>37030.15</v>
      </c>
      <c r="C915" s="24">
        <v>37030.15</v>
      </c>
      <c r="D915" s="23">
        <f t="shared" si="14"/>
        <v>-7.587835268900114E-5</v>
      </c>
      <c r="F915" s="22"/>
      <c r="I915" s="21"/>
      <c r="K915" s="22"/>
      <c r="L915" s="24"/>
      <c r="M915" s="24"/>
      <c r="N915" s="21"/>
      <c r="P915" s="22"/>
      <c r="S915" s="21"/>
    </row>
    <row r="916" spans="1:19" x14ac:dyDescent="0.35">
      <c r="A916" s="25">
        <v>45820</v>
      </c>
      <c r="B916" s="24">
        <v>36568.42</v>
      </c>
      <c r="C916" s="24">
        <v>36568.42</v>
      </c>
      <c r="D916" s="23">
        <f t="shared" si="14"/>
        <v>-1.2469028615871207E-2</v>
      </c>
      <c r="F916" s="22"/>
      <c r="I916" s="21"/>
      <c r="K916" s="22"/>
      <c r="L916" s="24"/>
      <c r="M916" s="24"/>
      <c r="N916" s="21"/>
      <c r="P916" s="22"/>
      <c r="S916" s="21"/>
    </row>
    <row r="917" spans="1:19" x14ac:dyDescent="0.35">
      <c r="A917" s="25">
        <v>45821</v>
      </c>
      <c r="B917" s="24">
        <v>36348.18</v>
      </c>
      <c r="C917" s="24">
        <v>36348.18</v>
      </c>
      <c r="D917" s="23">
        <f t="shared" si="14"/>
        <v>-6.0226829597778073E-3</v>
      </c>
      <c r="F917" s="22"/>
      <c r="I917" s="21"/>
      <c r="K917" s="22"/>
      <c r="L917" s="24"/>
      <c r="M917" s="24"/>
      <c r="N917" s="21"/>
      <c r="P917" s="22"/>
      <c r="S917" s="21"/>
    </row>
    <row r="918" spans="1:19" x14ac:dyDescent="0.35">
      <c r="A918" s="25">
        <v>45824</v>
      </c>
      <c r="B918" s="24">
        <v>36648.19</v>
      </c>
      <c r="C918" s="24">
        <v>36648.19</v>
      </c>
      <c r="D918" s="23">
        <f t="shared" si="14"/>
        <v>8.2537832705792159E-3</v>
      </c>
      <c r="F918" s="22"/>
      <c r="I918" s="21"/>
      <c r="K918" s="22"/>
      <c r="L918" s="24"/>
      <c r="M918" s="24"/>
      <c r="N918" s="21"/>
      <c r="P918" s="22"/>
      <c r="S918" s="21"/>
    </row>
    <row r="919" spans="1:19" x14ac:dyDescent="0.35">
      <c r="A919" s="25">
        <v>45825</v>
      </c>
      <c r="B919" s="24">
        <v>36468.69</v>
      </c>
      <c r="C919" s="24">
        <v>36468.69</v>
      </c>
      <c r="D919" s="23">
        <f t="shared" si="14"/>
        <v>-4.8979226532060655E-3</v>
      </c>
      <c r="F919" s="22"/>
      <c r="I919" s="21"/>
      <c r="K919" s="22"/>
      <c r="L919" s="24"/>
      <c r="M919" s="24"/>
      <c r="N919" s="21"/>
      <c r="P919" s="22"/>
      <c r="S919" s="21"/>
    </row>
    <row r="920" spans="1:19" x14ac:dyDescent="0.35">
      <c r="A920" s="25">
        <v>45826</v>
      </c>
      <c r="B920" s="24">
        <v>36379.4</v>
      </c>
      <c r="C920" s="24">
        <v>36379.4</v>
      </c>
      <c r="D920" s="23">
        <f t="shared" si="14"/>
        <v>-2.4484016289041603E-3</v>
      </c>
      <c r="F920" s="22"/>
      <c r="I920" s="21"/>
      <c r="K920" s="22"/>
      <c r="L920" s="24"/>
      <c r="M920" s="24"/>
      <c r="N920" s="21"/>
      <c r="P920" s="22"/>
      <c r="S920" s="21"/>
    </row>
    <row r="921" spans="1:19" x14ac:dyDescent="0.35">
      <c r="A921" s="25">
        <v>45827</v>
      </c>
      <c r="B921" s="24">
        <v>36123.39</v>
      </c>
      <c r="C921" s="24">
        <v>36123.39</v>
      </c>
      <c r="D921" s="23">
        <f t="shared" si="14"/>
        <v>-7.0372243632385919E-3</v>
      </c>
      <c r="F921" s="22"/>
      <c r="I921" s="21"/>
      <c r="K921" s="22"/>
      <c r="L921" s="24"/>
      <c r="M921" s="24"/>
      <c r="N921" s="21"/>
      <c r="P921" s="22"/>
      <c r="S921" s="21"/>
    </row>
    <row r="922" spans="1:19" x14ac:dyDescent="0.35">
      <c r="A922" s="25">
        <v>45828</v>
      </c>
      <c r="B922" s="24">
        <v>36565.82</v>
      </c>
      <c r="C922" s="24">
        <v>36565.82</v>
      </c>
      <c r="D922" s="23">
        <f t="shared" si="14"/>
        <v>1.2247743082805913E-2</v>
      </c>
      <c r="F922" s="22"/>
      <c r="I922" s="21"/>
      <c r="K922" s="22"/>
      <c r="L922" s="24"/>
      <c r="M922" s="24"/>
      <c r="N922" s="21"/>
      <c r="P922" s="22"/>
      <c r="S922" s="21"/>
    </row>
    <row r="923" spans="1:19" x14ac:dyDescent="0.35">
      <c r="A923" s="25">
        <v>45831</v>
      </c>
      <c r="B923" s="24">
        <v>36507.74</v>
      </c>
      <c r="C923" s="24">
        <v>36507.74</v>
      </c>
      <c r="D923" s="23">
        <f t="shared" si="14"/>
        <v>-1.588368591214466E-3</v>
      </c>
      <c r="F923" s="22"/>
      <c r="I923" s="21"/>
      <c r="K923" s="22"/>
      <c r="L923" s="24"/>
      <c r="M923" s="24"/>
      <c r="N923" s="21"/>
      <c r="P923" s="22"/>
      <c r="S923" s="21"/>
    </row>
    <row r="924" spans="1:19" x14ac:dyDescent="0.35">
      <c r="A924" s="25">
        <v>45832</v>
      </c>
      <c r="B924" s="24">
        <v>36687.65</v>
      </c>
      <c r="C924" s="24">
        <v>36687.65</v>
      </c>
      <c r="D924" s="23">
        <f t="shared" si="14"/>
        <v>4.9279960906920975E-3</v>
      </c>
      <c r="F924" s="22"/>
      <c r="I924" s="21"/>
      <c r="K924" s="22"/>
      <c r="L924" s="24"/>
      <c r="M924" s="24"/>
      <c r="N924" s="21"/>
      <c r="P924" s="22"/>
      <c r="S924" s="21"/>
    </row>
    <row r="925" spans="1:19" x14ac:dyDescent="0.35">
      <c r="A925" s="25">
        <v>45833</v>
      </c>
      <c r="B925" s="24">
        <v>36979.230000000003</v>
      </c>
      <c r="C925" s="24">
        <v>36979.230000000003</v>
      </c>
      <c r="D925" s="23">
        <f t="shared" si="14"/>
        <v>7.9476336042238124E-3</v>
      </c>
      <c r="F925" s="22"/>
      <c r="I925" s="21"/>
      <c r="K925" s="22"/>
      <c r="L925" s="24"/>
      <c r="M925" s="24"/>
      <c r="N925" s="21"/>
      <c r="P925" s="22"/>
      <c r="S925" s="21"/>
    </row>
    <row r="926" spans="1:19" x14ac:dyDescent="0.35">
      <c r="A926" s="25">
        <v>45834</v>
      </c>
      <c r="B926" s="24">
        <v>37329.53</v>
      </c>
      <c r="C926" s="24">
        <v>37329.53</v>
      </c>
      <c r="D926" s="23">
        <f t="shared" si="14"/>
        <v>9.4728851844669455E-3</v>
      </c>
      <c r="F926" s="22"/>
      <c r="I926" s="21"/>
      <c r="K926" s="22"/>
      <c r="L926" s="24"/>
      <c r="M926" s="24"/>
      <c r="N926" s="21"/>
      <c r="P926" s="22"/>
      <c r="S926" s="21"/>
    </row>
    <row r="927" spans="1:19" x14ac:dyDescent="0.35">
      <c r="A927" s="25">
        <v>45835</v>
      </c>
      <c r="B927" s="24">
        <v>37526.730000000003</v>
      </c>
      <c r="C927" s="24">
        <v>37526.730000000003</v>
      </c>
      <c r="D927" s="23">
        <f t="shared" si="14"/>
        <v>5.2826810302729335E-3</v>
      </c>
      <c r="F927" s="22"/>
      <c r="I927" s="21"/>
      <c r="K927" s="22"/>
      <c r="L927" s="24"/>
      <c r="M927" s="24"/>
      <c r="N927" s="21"/>
      <c r="P927" s="22"/>
      <c r="S927" s="21"/>
    </row>
    <row r="928" spans="1:19" x14ac:dyDescent="0.35">
      <c r="A928" s="25">
        <v>45838</v>
      </c>
      <c r="B928" s="24">
        <v>37522.379999999997</v>
      </c>
      <c r="C928" s="24">
        <v>37522.379999999997</v>
      </c>
      <c r="D928" s="23">
        <f t="shared" si="14"/>
        <v>-1.1591737409589965E-4</v>
      </c>
      <c r="F928" s="22"/>
      <c r="I928" s="21"/>
      <c r="K928" s="22"/>
      <c r="L928" s="24"/>
      <c r="M928" s="24"/>
      <c r="N928" s="21"/>
      <c r="P928" s="22"/>
      <c r="S928" s="21"/>
    </row>
    <row r="929" spans="1:19" x14ac:dyDescent="0.35">
      <c r="A929" s="25">
        <v>45839</v>
      </c>
      <c r="B929" s="24">
        <v>37519.71</v>
      </c>
      <c r="C929" s="24">
        <v>37519.71</v>
      </c>
      <c r="D929" s="23">
        <f t="shared" si="14"/>
        <v>-7.1157533184149145E-5</v>
      </c>
      <c r="F929" s="22"/>
      <c r="I929" s="21"/>
      <c r="K929" s="22"/>
      <c r="L929" s="24"/>
      <c r="M929" s="24"/>
      <c r="N929" s="21"/>
      <c r="P929" s="22"/>
      <c r="S929" s="21"/>
    </row>
    <row r="930" spans="1:19" x14ac:dyDescent="0.35">
      <c r="A930" s="25">
        <v>45840</v>
      </c>
      <c r="B930" s="24">
        <v>37411.42</v>
      </c>
      <c r="C930" s="24">
        <v>37411.42</v>
      </c>
      <c r="D930" s="23">
        <f t="shared" si="14"/>
        <v>-2.8862163380260902E-3</v>
      </c>
      <c r="F930" s="22"/>
      <c r="I930" s="21"/>
      <c r="K930" s="22"/>
      <c r="L930" s="24"/>
      <c r="M930" s="24"/>
      <c r="N930" s="21"/>
      <c r="P930" s="22"/>
      <c r="S930" s="21"/>
    </row>
    <row r="931" spans="1:19" x14ac:dyDescent="0.35">
      <c r="A931" s="25">
        <v>45841</v>
      </c>
      <c r="B931" s="24">
        <v>37371</v>
      </c>
      <c r="C931" s="24">
        <v>37371</v>
      </c>
      <c r="D931" s="23">
        <f t="shared" si="14"/>
        <v>-1.0804187598331808E-3</v>
      </c>
      <c r="F931" s="22"/>
      <c r="I931" s="21"/>
      <c r="K931" s="22"/>
      <c r="L931" s="24"/>
      <c r="M931" s="24"/>
      <c r="N931" s="21"/>
      <c r="P931" s="22"/>
      <c r="S931" s="21"/>
    </row>
    <row r="932" spans="1:19" x14ac:dyDescent="0.35">
      <c r="A932" s="25">
        <v>45842</v>
      </c>
      <c r="B932" s="24">
        <v>37443.199999999997</v>
      </c>
      <c r="C932" s="24">
        <v>37443.199999999997</v>
      </c>
      <c r="D932" s="23">
        <f t="shared" si="14"/>
        <v>1.9319793422706668E-3</v>
      </c>
      <c r="F932" s="22"/>
      <c r="I932" s="21"/>
      <c r="K932" s="22"/>
      <c r="L932" s="24"/>
      <c r="M932" s="24"/>
      <c r="N932" s="21"/>
      <c r="P932" s="22"/>
      <c r="S932" s="21"/>
    </row>
    <row r="933" spans="1:19" x14ac:dyDescent="0.35">
      <c r="A933" s="25">
        <v>45845</v>
      </c>
      <c r="B933" s="24">
        <v>37426.49</v>
      </c>
      <c r="C933" s="24">
        <v>37426.49</v>
      </c>
      <c r="D933" s="23">
        <f t="shared" si="14"/>
        <v>-4.4627595931969296E-4</v>
      </c>
      <c r="F933" s="22"/>
      <c r="I933" s="21"/>
      <c r="K933" s="22"/>
      <c r="L933" s="24"/>
      <c r="M933" s="24"/>
      <c r="N933" s="21"/>
      <c r="P933" s="22"/>
      <c r="S933" s="21"/>
    </row>
    <row r="934" spans="1:19" x14ac:dyDescent="0.35">
      <c r="A934" s="25">
        <v>45846</v>
      </c>
      <c r="B934" s="24">
        <v>37461.97</v>
      </c>
      <c r="C934" s="24">
        <v>37461.97</v>
      </c>
      <c r="D934" s="23">
        <f t="shared" si="14"/>
        <v>9.4799164976473087E-4</v>
      </c>
      <c r="F934" s="22"/>
      <c r="I934" s="21"/>
      <c r="K934" s="22"/>
      <c r="L934" s="24"/>
      <c r="M934" s="24"/>
      <c r="N934" s="21"/>
      <c r="P934" s="22"/>
      <c r="S934" s="21"/>
    </row>
    <row r="935" spans="1:19" x14ac:dyDescent="0.35">
      <c r="A935" s="25">
        <v>45847</v>
      </c>
      <c r="B935" s="24">
        <v>37438.19</v>
      </c>
      <c r="C935" s="24">
        <v>37438.19</v>
      </c>
      <c r="D935" s="23">
        <f t="shared" si="14"/>
        <v>-6.3477708193132489E-4</v>
      </c>
      <c r="F935" s="22"/>
      <c r="I935" s="21"/>
      <c r="K935" s="22"/>
      <c r="L935" s="24"/>
      <c r="M935" s="24"/>
      <c r="N935" s="21"/>
      <c r="P935" s="22"/>
      <c r="S935" s="21"/>
    </row>
    <row r="936" spans="1:19" x14ac:dyDescent="0.35">
      <c r="A936" s="25">
        <v>45848</v>
      </c>
      <c r="B936" s="24">
        <v>37302.43</v>
      </c>
      <c r="C936" s="24">
        <v>37302.43</v>
      </c>
      <c r="D936" s="23">
        <f t="shared" si="14"/>
        <v>-3.6262436832550406E-3</v>
      </c>
      <c r="F936" s="22"/>
      <c r="I936" s="21"/>
      <c r="K936" s="22"/>
      <c r="L936" s="24"/>
      <c r="M936" s="24"/>
      <c r="N936" s="21"/>
      <c r="P936" s="22"/>
      <c r="S936" s="21"/>
    </row>
    <row r="937" spans="1:19" x14ac:dyDescent="0.35">
      <c r="A937" s="25">
        <v>45849</v>
      </c>
      <c r="B937" s="24">
        <v>37005.03</v>
      </c>
      <c r="C937" s="24">
        <v>37005.03</v>
      </c>
      <c r="D937" s="23">
        <f t="shared" si="14"/>
        <v>-7.9726709493188903E-3</v>
      </c>
      <c r="F937" s="22"/>
      <c r="I937" s="21"/>
      <c r="K937" s="22"/>
      <c r="L937" s="24"/>
      <c r="M937" s="24"/>
      <c r="N937" s="21"/>
      <c r="P937" s="22"/>
      <c r="S937" s="21"/>
    </row>
    <row r="938" spans="1:19" x14ac:dyDescent="0.35">
      <c r="A938" s="25">
        <v>45852</v>
      </c>
      <c r="B938" s="24">
        <v>37047.199999999997</v>
      </c>
      <c r="C938" s="24">
        <v>37047.199999999997</v>
      </c>
      <c r="D938" s="23">
        <f t="shared" si="14"/>
        <v>1.1395748091542759E-3</v>
      </c>
      <c r="F938" s="22"/>
      <c r="I938" s="21"/>
      <c r="K938" s="22"/>
      <c r="L938" s="24"/>
      <c r="M938" s="24"/>
      <c r="N938" s="21"/>
      <c r="P938" s="22"/>
      <c r="S938" s="21"/>
    </row>
    <row r="939" spans="1:19" x14ac:dyDescent="0.35">
      <c r="A939" s="25">
        <v>45853</v>
      </c>
      <c r="B939" s="24">
        <v>37270.089999999997</v>
      </c>
      <c r="C939" s="24">
        <v>37270.089999999997</v>
      </c>
      <c r="D939" s="23">
        <f t="shared" si="14"/>
        <v>6.0163791055734151E-3</v>
      </c>
      <c r="F939" s="22"/>
      <c r="I939" s="21"/>
      <c r="K939" s="22"/>
      <c r="L939" s="24"/>
      <c r="M939" s="24"/>
      <c r="N939" s="21"/>
      <c r="P939" s="22"/>
      <c r="S939" s="21"/>
    </row>
    <row r="940" spans="1:19" x14ac:dyDescent="0.35">
      <c r="A940" s="25">
        <v>45854</v>
      </c>
      <c r="B940" s="24">
        <v>37309.4</v>
      </c>
      <c r="C940" s="24">
        <v>37309.4</v>
      </c>
      <c r="D940" s="23">
        <f t="shared" si="14"/>
        <v>1.0547331653882497E-3</v>
      </c>
      <c r="F940" s="22"/>
      <c r="I940" s="21"/>
      <c r="K940" s="22"/>
      <c r="L940" s="24"/>
      <c r="M940" s="24"/>
      <c r="N940" s="21"/>
      <c r="P940" s="22"/>
      <c r="S940" s="21"/>
    </row>
    <row r="941" spans="1:19" x14ac:dyDescent="0.35">
      <c r="A941" s="25">
        <v>45855</v>
      </c>
      <c r="B941" s="24">
        <v>37225.68</v>
      </c>
      <c r="C941" s="24">
        <v>37225.68</v>
      </c>
      <c r="D941" s="23">
        <f t="shared" si="14"/>
        <v>-2.2439385248757995E-3</v>
      </c>
      <c r="F941" s="22"/>
      <c r="I941" s="21"/>
      <c r="K941" s="22"/>
      <c r="L941" s="24"/>
      <c r="M941" s="24"/>
      <c r="N941" s="21"/>
      <c r="P941" s="22"/>
      <c r="S941" s="21"/>
    </row>
    <row r="942" spans="1:19" x14ac:dyDescent="0.35">
      <c r="A942" s="25">
        <v>45856</v>
      </c>
      <c r="B942" s="24">
        <v>37010.28</v>
      </c>
      <c r="C942" s="24">
        <v>37010.28</v>
      </c>
      <c r="D942" s="23">
        <f t="shared" si="14"/>
        <v>-5.7863281476658443E-3</v>
      </c>
      <c r="F942" s="22"/>
      <c r="I942" s="21"/>
      <c r="K942" s="22"/>
      <c r="L942" s="24"/>
      <c r="M942" s="24"/>
      <c r="N942" s="21"/>
      <c r="P942" s="22"/>
      <c r="S942" s="21"/>
    </row>
    <row r="943" spans="1:19" x14ac:dyDescent="0.35">
      <c r="A943" s="25">
        <v>45859</v>
      </c>
      <c r="B943" s="24">
        <v>37174.68</v>
      </c>
      <c r="C943" s="24">
        <v>37174.68</v>
      </c>
      <c r="D943" s="23">
        <f t="shared" si="14"/>
        <v>4.4420090850434378E-3</v>
      </c>
      <c r="F943" s="22"/>
      <c r="I943" s="21"/>
      <c r="K943" s="22"/>
      <c r="L943" s="24"/>
      <c r="M943" s="24"/>
      <c r="N943" s="21"/>
      <c r="P943" s="22"/>
      <c r="S943" s="21"/>
    </row>
    <row r="944" spans="1:19" x14ac:dyDescent="0.35">
      <c r="A944" s="25">
        <v>45860</v>
      </c>
      <c r="B944" s="24">
        <v>37083.15</v>
      </c>
      <c r="C944" s="24">
        <v>37083.15</v>
      </c>
      <c r="D944" s="23">
        <f t="shared" si="14"/>
        <v>-2.4621597280729472E-3</v>
      </c>
      <c r="F944" s="22"/>
      <c r="I944" s="21"/>
      <c r="K944" s="22"/>
      <c r="L944" s="24"/>
      <c r="M944" s="24"/>
      <c r="N944" s="21"/>
      <c r="P944" s="22"/>
      <c r="S944" s="21"/>
    </row>
    <row r="945" spans="1:19" x14ac:dyDescent="0.35">
      <c r="A945" s="25">
        <v>45861</v>
      </c>
      <c r="B945" s="24">
        <v>37254.92</v>
      </c>
      <c r="C945" s="24">
        <v>37254.92</v>
      </c>
      <c r="D945" s="23">
        <f t="shared" si="14"/>
        <v>4.6320228998884072E-3</v>
      </c>
      <c r="F945" s="22"/>
      <c r="I945" s="21"/>
      <c r="K945" s="22"/>
      <c r="L945" s="24"/>
      <c r="M945" s="24"/>
      <c r="N945" s="21"/>
      <c r="P945" s="22"/>
      <c r="S945" s="21"/>
    </row>
    <row r="946" spans="1:19" x14ac:dyDescent="0.35">
      <c r="A946" s="25">
        <v>45862</v>
      </c>
      <c r="B946" s="24">
        <v>37054.58</v>
      </c>
      <c r="C946" s="24">
        <v>37054.58</v>
      </c>
      <c r="D946" s="23">
        <f t="shared" si="14"/>
        <v>-5.3775447645571786E-3</v>
      </c>
      <c r="F946" s="22"/>
      <c r="I946" s="21"/>
      <c r="K946" s="22"/>
      <c r="L946" s="24"/>
      <c r="M946" s="24"/>
      <c r="N946" s="21"/>
      <c r="P946" s="22"/>
      <c r="S946" s="21"/>
    </row>
    <row r="947" spans="1:19" x14ac:dyDescent="0.35">
      <c r="A947" s="25">
        <v>45863</v>
      </c>
      <c r="B947" s="24">
        <v>36612.620000000003</v>
      </c>
      <c r="C947" s="24">
        <v>36612.620000000003</v>
      </c>
      <c r="D947" s="23">
        <f t="shared" si="14"/>
        <v>-1.192727052904119E-2</v>
      </c>
      <c r="F947" s="22"/>
      <c r="I947" s="21"/>
      <c r="K947" s="22"/>
      <c r="L947" s="24"/>
      <c r="M947" s="24"/>
      <c r="N947" s="21"/>
      <c r="P947" s="22"/>
      <c r="S947" s="21"/>
    </row>
    <row r="948" spans="1:19" x14ac:dyDescent="0.35">
      <c r="A948" s="25">
        <v>45866</v>
      </c>
      <c r="B948" s="24">
        <v>36349.32</v>
      </c>
      <c r="C948" s="24">
        <v>36349.32</v>
      </c>
      <c r="D948" s="23">
        <f t="shared" si="14"/>
        <v>-7.1915093757289944E-3</v>
      </c>
      <c r="F948" s="22"/>
      <c r="I948" s="21"/>
      <c r="K948" s="22"/>
      <c r="L948" s="24"/>
      <c r="M948" s="24"/>
      <c r="N948" s="21"/>
      <c r="P948" s="22"/>
      <c r="S948" s="21"/>
    </row>
    <row r="949" spans="1:19" x14ac:dyDescent="0.35">
      <c r="A949" s="25">
        <v>45867</v>
      </c>
      <c r="B949" s="24">
        <v>36605.74</v>
      </c>
      <c r="C949" s="24">
        <v>36605.74</v>
      </c>
      <c r="D949" s="23">
        <f t="shared" si="14"/>
        <v>7.0543272886534952E-3</v>
      </c>
      <c r="F949" s="22"/>
      <c r="I949" s="21"/>
      <c r="K949" s="22"/>
      <c r="L949" s="24"/>
      <c r="M949" s="24"/>
      <c r="N949" s="21"/>
      <c r="P949" s="22"/>
      <c r="S949" s="21"/>
    </row>
    <row r="950" spans="1:19" x14ac:dyDescent="0.35">
      <c r="A950" s="25">
        <v>45868</v>
      </c>
      <c r="B950" s="24">
        <v>36647.67</v>
      </c>
      <c r="C950" s="24">
        <v>36647.67</v>
      </c>
      <c r="D950" s="23">
        <f t="shared" si="14"/>
        <v>1.1454487738808256E-3</v>
      </c>
      <c r="F950" s="22"/>
      <c r="I950" s="21"/>
      <c r="K950" s="22"/>
      <c r="L950" s="24"/>
      <c r="M950" s="24"/>
      <c r="N950" s="21"/>
      <c r="P950" s="22"/>
      <c r="S950" s="21"/>
    </row>
    <row r="951" spans="1:19" x14ac:dyDescent="0.35">
      <c r="A951" s="25">
        <v>45869</v>
      </c>
      <c r="B951" s="24">
        <v>36461.71</v>
      </c>
      <c r="C951" s="24">
        <v>36461.71</v>
      </c>
      <c r="D951" s="23">
        <f t="shared" si="14"/>
        <v>-5.0742652943556611E-3</v>
      </c>
      <c r="F951" s="22"/>
      <c r="I951" s="21"/>
      <c r="K951" s="22"/>
      <c r="L951" s="24"/>
      <c r="M951" s="24"/>
      <c r="N951" s="21"/>
      <c r="P951" s="22"/>
      <c r="S951" s="21"/>
    </row>
    <row r="952" spans="1:19" x14ac:dyDescent="0.35">
      <c r="A952" s="25">
        <v>45870</v>
      </c>
      <c r="B952" s="24">
        <v>36086.49</v>
      </c>
      <c r="C952" s="24">
        <v>36086.49</v>
      </c>
      <c r="D952" s="23">
        <f t="shared" si="14"/>
        <v>-1.029079546735469E-2</v>
      </c>
      <c r="F952" s="22"/>
      <c r="I952" s="21"/>
      <c r="K952" s="22"/>
      <c r="L952" s="24"/>
      <c r="M952" s="24"/>
      <c r="N952" s="21"/>
      <c r="P952" s="22"/>
      <c r="S952" s="21"/>
    </row>
    <row r="953" spans="1:19" x14ac:dyDescent="0.35">
      <c r="A953" s="25">
        <v>45874</v>
      </c>
      <c r="B953" s="24">
        <v>36288.639999999999</v>
      </c>
      <c r="C953" s="24">
        <v>36288.639999999999</v>
      </c>
      <c r="D953" s="23">
        <f t="shared" si="14"/>
        <v>5.6018194066533335E-3</v>
      </c>
      <c r="F953" s="22"/>
      <c r="I953" s="21"/>
      <c r="K953" s="22"/>
      <c r="L953" s="24"/>
      <c r="M953" s="24"/>
      <c r="N953" s="21"/>
      <c r="P953" s="22"/>
      <c r="S953" s="21"/>
    </row>
    <row r="954" spans="1:19" x14ac:dyDescent="0.35">
      <c r="A954" s="25">
        <v>45875</v>
      </c>
      <c r="B954" s="24">
        <v>36081.74</v>
      </c>
      <c r="C954" s="24">
        <v>36081.74</v>
      </c>
      <c r="D954" s="23">
        <f t="shared" si="14"/>
        <v>-5.7015087917321088E-3</v>
      </c>
      <c r="F954" s="22"/>
      <c r="I954" s="21"/>
      <c r="K954" s="22"/>
      <c r="L954" s="24"/>
      <c r="M954" s="24"/>
      <c r="N954" s="21"/>
      <c r="P954" s="22"/>
      <c r="S954" s="21"/>
    </row>
    <row r="955" spans="1:19" x14ac:dyDescent="0.35">
      <c r="A955" s="25">
        <v>45876</v>
      </c>
      <c r="B955" s="24">
        <v>36126.449999999997</v>
      </c>
      <c r="C955" s="24">
        <v>36126.449999999997</v>
      </c>
      <c r="D955" s="23">
        <f t="shared" si="14"/>
        <v>1.2391309288299049E-3</v>
      </c>
      <c r="F955" s="22"/>
      <c r="I955" s="21"/>
      <c r="K955" s="22"/>
      <c r="L955" s="24"/>
      <c r="M955" s="24"/>
      <c r="N955" s="21"/>
      <c r="P955" s="22"/>
      <c r="S955" s="21"/>
    </row>
    <row r="956" spans="1:19" x14ac:dyDescent="0.35">
      <c r="A956" s="25">
        <v>45877</v>
      </c>
      <c r="B956" s="24">
        <v>35729.39</v>
      </c>
      <c r="C956" s="24">
        <v>35729.39</v>
      </c>
      <c r="D956" s="23">
        <f t="shared" si="14"/>
        <v>-1.0990839122028256E-2</v>
      </c>
      <c r="F956" s="22"/>
      <c r="I956" s="21"/>
      <c r="K956" s="22"/>
      <c r="L956" s="24"/>
      <c r="M956" s="24"/>
      <c r="N956" s="21"/>
      <c r="P956" s="22"/>
      <c r="S956" s="21"/>
    </row>
    <row r="957" spans="1:19" x14ac:dyDescent="0.35">
      <c r="A957" s="25">
        <v>45880</v>
      </c>
      <c r="B957" s="24">
        <v>36032.97</v>
      </c>
      <c r="C957" s="24">
        <v>36032.97</v>
      </c>
      <c r="D957" s="23">
        <f t="shared" si="14"/>
        <v>8.49664659822073E-3</v>
      </c>
      <c r="F957" s="22"/>
      <c r="I957" s="21"/>
      <c r="K957" s="22"/>
      <c r="L957" s="24"/>
      <c r="M957" s="24"/>
      <c r="N957" s="21"/>
      <c r="P957" s="22"/>
      <c r="S957" s="21"/>
    </row>
    <row r="958" spans="1:19" x14ac:dyDescent="0.35">
      <c r="A958" s="25">
        <v>45881</v>
      </c>
      <c r="B958" s="24">
        <v>35945.46</v>
      </c>
      <c r="C958" s="24">
        <v>35945.46</v>
      </c>
      <c r="D958" s="23">
        <f t="shared" si="14"/>
        <v>-2.4286091321365413E-3</v>
      </c>
      <c r="F958" s="22"/>
      <c r="I958" s="21"/>
      <c r="K958" s="22"/>
      <c r="L958" s="24"/>
      <c r="M958" s="24"/>
      <c r="N958" s="21"/>
      <c r="P958" s="22"/>
      <c r="S958" s="21"/>
    </row>
    <row r="959" spans="1:19" x14ac:dyDescent="0.35">
      <c r="A959" s="25">
        <v>45883</v>
      </c>
      <c r="B959" s="24">
        <v>36135.65</v>
      </c>
      <c r="C959" s="24">
        <v>36135.65</v>
      </c>
      <c r="D959" s="23">
        <f t="shared" si="14"/>
        <v>5.2910715289219371E-3</v>
      </c>
      <c r="F959" s="22"/>
      <c r="I959" s="21"/>
      <c r="K959" s="22"/>
      <c r="L959" s="24"/>
      <c r="M959" s="24"/>
      <c r="N959" s="21"/>
      <c r="P959" s="22"/>
      <c r="S959" s="21"/>
    </row>
    <row r="960" spans="1:19" x14ac:dyDescent="0.35">
      <c r="A960" s="25">
        <v>45887</v>
      </c>
      <c r="B960" s="24">
        <v>36537.050000000003</v>
      </c>
      <c r="C960" s="24">
        <v>36537.050000000003</v>
      </c>
      <c r="D960" s="23">
        <f t="shared" si="14"/>
        <v>1.1108143896678252E-2</v>
      </c>
      <c r="F960" s="22"/>
      <c r="I960" s="21"/>
      <c r="K960" s="22"/>
      <c r="L960" s="24"/>
      <c r="M960" s="24"/>
      <c r="N960" s="21"/>
      <c r="P960" s="22"/>
      <c r="S960" s="21"/>
    </row>
    <row r="961" spans="1:19" x14ac:dyDescent="0.35">
      <c r="A961" s="25">
        <v>45888</v>
      </c>
      <c r="B961" s="24">
        <v>36753.67</v>
      </c>
      <c r="C961" s="24">
        <v>36753.67</v>
      </c>
      <c r="D961" s="23">
        <f t="shared" si="14"/>
        <v>5.9287764064147302E-3</v>
      </c>
      <c r="F961" s="22"/>
      <c r="I961" s="21"/>
      <c r="K961" s="22"/>
      <c r="L961" s="24"/>
      <c r="M961" s="24"/>
      <c r="N961" s="21"/>
      <c r="P961" s="22"/>
      <c r="S961" s="21"/>
    </row>
    <row r="962" spans="1:19" x14ac:dyDescent="0.35">
      <c r="A962" s="25">
        <v>45889</v>
      </c>
      <c r="B962" s="24">
        <v>36875.67</v>
      </c>
      <c r="C962" s="24">
        <v>36875.67</v>
      </c>
      <c r="D962" s="23">
        <f t="shared" si="14"/>
        <v>3.3193964031347075E-3</v>
      </c>
      <c r="F962" s="22"/>
      <c r="I962" s="21"/>
      <c r="K962" s="22"/>
      <c r="L962" s="24"/>
      <c r="M962" s="24"/>
      <c r="N962" s="21"/>
      <c r="P962" s="22"/>
      <c r="S962" s="21"/>
    </row>
    <row r="963" spans="1:19" x14ac:dyDescent="0.35">
      <c r="A963" s="25">
        <v>45890</v>
      </c>
      <c r="B963" s="24">
        <v>36869.089999999997</v>
      </c>
      <c r="C963" s="24">
        <v>36869.089999999997</v>
      </c>
      <c r="D963" s="23">
        <f t="shared" ref="D963:D1026" si="15">(B963-B962)/B962</f>
        <v>-1.7843743584867059E-4</v>
      </c>
      <c r="F963" s="22"/>
      <c r="I963" s="21"/>
      <c r="K963" s="22"/>
      <c r="L963" s="24"/>
      <c r="M963" s="24"/>
      <c r="N963" s="21"/>
      <c r="P963" s="22"/>
      <c r="S963" s="21"/>
    </row>
    <row r="964" spans="1:19" x14ac:dyDescent="0.35">
      <c r="A964" s="25">
        <v>45891</v>
      </c>
      <c r="B964" s="24">
        <v>36639.050000000003</v>
      </c>
      <c r="C964" s="24">
        <v>36639.050000000003</v>
      </c>
      <c r="D964" s="23">
        <f t="shared" si="15"/>
        <v>-6.2393728730487687E-3</v>
      </c>
      <c r="F964" s="22"/>
      <c r="I964" s="21"/>
      <c r="K964" s="22"/>
      <c r="L964" s="24"/>
      <c r="M964" s="24"/>
      <c r="N964" s="21"/>
      <c r="P964" s="22"/>
      <c r="S964" s="21"/>
    </row>
    <row r="965" spans="1:19" x14ac:dyDescent="0.35">
      <c r="A965" s="25">
        <v>45894</v>
      </c>
      <c r="B965" s="24">
        <v>36737.519999999997</v>
      </c>
      <c r="C965" s="24">
        <v>36737.519999999997</v>
      </c>
      <c r="D965" s="23">
        <f t="shared" si="15"/>
        <v>2.6875696831657448E-3</v>
      </c>
      <c r="F965" s="22"/>
      <c r="I965" s="21"/>
      <c r="K965" s="22"/>
      <c r="L965" s="24"/>
      <c r="M965" s="24"/>
      <c r="N965" s="21"/>
      <c r="P965" s="22"/>
      <c r="S965" s="21"/>
    </row>
    <row r="966" spans="1:19" x14ac:dyDescent="0.35">
      <c r="A966" s="25">
        <v>45895</v>
      </c>
      <c r="B966" s="24">
        <v>36286.080000000002</v>
      </c>
      <c r="C966" s="24">
        <v>36286.080000000002</v>
      </c>
      <c r="D966" s="23">
        <f t="shared" si="15"/>
        <v>-1.2288254623610823E-2</v>
      </c>
      <c r="F966" s="22"/>
      <c r="I966" s="21"/>
      <c r="K966" s="22"/>
      <c r="L966" s="24"/>
      <c r="M966" s="24"/>
      <c r="N966" s="21"/>
      <c r="P966" s="22"/>
      <c r="S966" s="21"/>
    </row>
    <row r="967" spans="1:19" x14ac:dyDescent="0.35">
      <c r="A967" s="25">
        <v>45897</v>
      </c>
      <c r="B967" s="24">
        <v>35924.5</v>
      </c>
      <c r="C967" s="24">
        <v>35924.5</v>
      </c>
      <c r="D967" s="23">
        <f t="shared" si="15"/>
        <v>-9.9647027179569064E-3</v>
      </c>
      <c r="F967" s="22"/>
      <c r="I967" s="21"/>
      <c r="K967" s="22"/>
      <c r="L967" s="24"/>
      <c r="M967" s="24"/>
      <c r="N967" s="21"/>
      <c r="P967" s="22"/>
      <c r="S967" s="21"/>
    </row>
    <row r="968" spans="1:19" x14ac:dyDescent="0.35">
      <c r="A968" s="25">
        <v>45898</v>
      </c>
      <c r="B968" s="24">
        <v>35799.379999999997</v>
      </c>
      <c r="C968" s="24">
        <v>35799.379999999997</v>
      </c>
      <c r="D968" s="23">
        <f t="shared" si="15"/>
        <v>-3.4828598867069163E-3</v>
      </c>
      <c r="F968" s="22"/>
      <c r="I968" s="21"/>
      <c r="K968" s="22"/>
      <c r="L968" s="24"/>
      <c r="M968" s="24"/>
      <c r="N968" s="21"/>
      <c r="P968" s="22"/>
      <c r="S968" s="21"/>
    </row>
    <row r="969" spans="1:19" x14ac:dyDescent="0.35">
      <c r="A969" s="25">
        <v>45901</v>
      </c>
      <c r="B969" s="24">
        <v>36198.879999999997</v>
      </c>
      <c r="C969" s="24">
        <v>36198.879999999997</v>
      </c>
      <c r="D969" s="23">
        <f t="shared" si="15"/>
        <v>1.1159411140639867E-2</v>
      </c>
      <c r="F969" s="22"/>
      <c r="I969" s="21"/>
      <c r="K969" s="22"/>
      <c r="L969" s="24"/>
      <c r="M969" s="24"/>
      <c r="N969" s="21"/>
      <c r="P969" s="22"/>
      <c r="S969" s="21"/>
    </row>
    <row r="970" spans="1:19" x14ac:dyDescent="0.35">
      <c r="A970" s="25">
        <v>45902</v>
      </c>
      <c r="B970" s="24">
        <v>36216.300000000003</v>
      </c>
      <c r="C970" s="24">
        <v>36216.300000000003</v>
      </c>
      <c r="D970" s="23">
        <f t="shared" si="15"/>
        <v>4.8123035850848231E-4</v>
      </c>
      <c r="F970" s="22"/>
      <c r="I970" s="21"/>
      <c r="K970" s="22"/>
      <c r="L970" s="24"/>
      <c r="M970" s="24"/>
      <c r="N970" s="21"/>
      <c r="P970" s="22"/>
      <c r="S970" s="21"/>
    </row>
    <row r="971" spans="1:19" x14ac:dyDescent="0.35">
      <c r="A971" s="25">
        <v>45903</v>
      </c>
      <c r="B971" s="24">
        <v>36439.980000000003</v>
      </c>
      <c r="C971" s="24">
        <v>36439.980000000003</v>
      </c>
      <c r="D971" s="23">
        <f t="shared" si="15"/>
        <v>6.1762245176895563E-3</v>
      </c>
      <c r="F971" s="22"/>
      <c r="I971" s="21"/>
      <c r="K971" s="22"/>
      <c r="L971" s="24"/>
      <c r="M971" s="24"/>
      <c r="N971" s="21"/>
      <c r="P971" s="22"/>
      <c r="S971" s="21"/>
    </row>
    <row r="972" spans="1:19" x14ac:dyDescent="0.35">
      <c r="A972" s="25">
        <v>45904</v>
      </c>
      <c r="B972" s="24">
        <v>36373.300000000003</v>
      </c>
      <c r="C972" s="24">
        <v>36373.300000000003</v>
      </c>
      <c r="D972" s="23">
        <f t="shared" si="15"/>
        <v>-1.8298583039837093E-3</v>
      </c>
      <c r="F972" s="22"/>
      <c r="I972" s="21"/>
      <c r="K972" s="22"/>
      <c r="L972" s="24"/>
      <c r="M972" s="24"/>
      <c r="N972" s="21"/>
      <c r="P972" s="22"/>
      <c r="S972" s="21"/>
    </row>
    <row r="973" spans="1:19" x14ac:dyDescent="0.35">
      <c r="A973" s="25">
        <v>45905</v>
      </c>
      <c r="B973" s="24">
        <v>36388.379999999997</v>
      </c>
      <c r="C973" s="24">
        <v>36388.379999999997</v>
      </c>
      <c r="D973" s="23">
        <f t="shared" si="15"/>
        <v>4.1458982275445092E-4</v>
      </c>
      <c r="F973" s="22"/>
      <c r="I973" s="21"/>
      <c r="K973" s="22"/>
      <c r="L973" s="24"/>
      <c r="M973" s="24"/>
      <c r="N973" s="21"/>
      <c r="P973" s="22"/>
      <c r="S973" s="21"/>
    </row>
    <row r="974" spans="1:19" x14ac:dyDescent="0.35">
      <c r="A974" s="25">
        <v>45908</v>
      </c>
      <c r="B974" s="24">
        <v>36467.99</v>
      </c>
      <c r="C974" s="24">
        <v>36467.99</v>
      </c>
      <c r="D974" s="23">
        <f t="shared" si="15"/>
        <v>2.1877863207980294E-3</v>
      </c>
      <c r="F974" s="22"/>
      <c r="I974" s="21"/>
      <c r="K974" s="22"/>
      <c r="L974" s="24"/>
      <c r="M974" s="24"/>
      <c r="N974" s="21"/>
      <c r="P974" s="22"/>
      <c r="S974" s="21"/>
    </row>
    <row r="975" spans="1:19" x14ac:dyDescent="0.35">
      <c r="A975" s="25">
        <v>45909</v>
      </c>
      <c r="B975" s="24">
        <v>36580.32</v>
      </c>
      <c r="C975" s="24">
        <v>36580.32</v>
      </c>
      <c r="D975" s="23">
        <f t="shared" si="15"/>
        <v>3.0802355709761285E-3</v>
      </c>
      <c r="F975" s="22"/>
      <c r="I975" s="21"/>
      <c r="K975" s="22"/>
      <c r="L975" s="24"/>
      <c r="M975" s="24"/>
      <c r="N975" s="21"/>
      <c r="P975" s="22"/>
      <c r="S975" s="21"/>
    </row>
    <row r="976" spans="1:19" x14ac:dyDescent="0.35">
      <c r="A976" s="25">
        <v>45910</v>
      </c>
      <c r="B976" s="24">
        <v>36780</v>
      </c>
      <c r="C976" s="24">
        <v>36780</v>
      </c>
      <c r="D976" s="23">
        <f t="shared" si="15"/>
        <v>5.4586728601608812E-3</v>
      </c>
      <c r="F976" s="22"/>
      <c r="I976" s="21"/>
      <c r="K976" s="22"/>
      <c r="L976" s="24"/>
      <c r="M976" s="24"/>
      <c r="N976" s="21"/>
      <c r="P976" s="22"/>
      <c r="S976" s="21"/>
    </row>
    <row r="977" spans="1:19" x14ac:dyDescent="0.35">
      <c r="A977" s="25">
        <v>45911</v>
      </c>
      <c r="B977" s="24">
        <v>36825.449999999997</v>
      </c>
      <c r="C977" s="24">
        <v>36825.449999999997</v>
      </c>
      <c r="D977" s="23">
        <f t="shared" si="15"/>
        <v>1.2357259380097088E-3</v>
      </c>
      <c r="F977" s="22"/>
      <c r="I977" s="21"/>
      <c r="K977" s="22"/>
      <c r="L977" s="24"/>
      <c r="M977" s="24"/>
      <c r="N977" s="21"/>
      <c r="P977" s="22"/>
      <c r="S977" s="21"/>
    </row>
    <row r="978" spans="1:19" x14ac:dyDescent="0.35">
      <c r="A978" s="25">
        <v>45912</v>
      </c>
      <c r="B978" s="24">
        <v>36965.519999999997</v>
      </c>
      <c r="C978" s="24">
        <v>36965.519999999997</v>
      </c>
      <c r="D978" s="23">
        <f t="shared" si="15"/>
        <v>3.8036195077045826E-3</v>
      </c>
      <c r="F978" s="22"/>
      <c r="I978" s="21"/>
      <c r="K978" s="22"/>
      <c r="L978" s="24"/>
      <c r="M978" s="24"/>
      <c r="N978" s="21"/>
      <c r="P978" s="22"/>
      <c r="S978" s="21"/>
    </row>
    <row r="979" spans="1:19" x14ac:dyDescent="0.35">
      <c r="A979" s="25">
        <v>45915</v>
      </c>
      <c r="B979" s="24">
        <v>37006.74</v>
      </c>
      <c r="C979" s="24">
        <v>37006.74</v>
      </c>
      <c r="D979" s="23">
        <f t="shared" si="15"/>
        <v>1.1150932003662108E-3</v>
      </c>
      <c r="F979" s="22"/>
      <c r="I979" s="21"/>
      <c r="K979" s="22"/>
      <c r="L979" s="24"/>
      <c r="M979" s="24"/>
      <c r="N979" s="21"/>
      <c r="P979" s="22"/>
      <c r="S979" s="21"/>
    </row>
    <row r="980" spans="1:19" x14ac:dyDescent="0.35">
      <c r="A980" s="25">
        <v>45916</v>
      </c>
      <c r="B980" s="24">
        <v>37251.370000000003</v>
      </c>
      <c r="C980" s="24">
        <v>37251.370000000003</v>
      </c>
      <c r="D980" s="23">
        <f t="shared" si="15"/>
        <v>6.6104174536855903E-3</v>
      </c>
      <c r="F980" s="22"/>
      <c r="I980" s="21"/>
      <c r="K980" s="22"/>
      <c r="L980" s="24"/>
      <c r="M980" s="24"/>
      <c r="N980" s="21"/>
      <c r="P980" s="22"/>
      <c r="S980" s="21"/>
    </row>
    <row r="981" spans="1:19" x14ac:dyDescent="0.35">
      <c r="A981" s="25">
        <v>45917</v>
      </c>
      <c r="B981" s="24">
        <v>37372.44</v>
      </c>
      <c r="C981" s="24">
        <v>37372.44</v>
      </c>
      <c r="D981" s="23">
        <f t="shared" si="15"/>
        <v>3.2500818090717121E-3</v>
      </c>
      <c r="F981" s="22"/>
      <c r="I981" s="21"/>
      <c r="K981" s="22"/>
      <c r="L981" s="24"/>
      <c r="M981" s="24"/>
      <c r="N981" s="21"/>
      <c r="P981" s="22"/>
      <c r="S981" s="21"/>
    </row>
    <row r="982" spans="1:19" x14ac:dyDescent="0.35">
      <c r="A982" s="25">
        <v>45918</v>
      </c>
      <c r="B982" s="24">
        <v>37490.1</v>
      </c>
      <c r="C982" s="24">
        <v>37490.1</v>
      </c>
      <c r="D982" s="23">
        <f t="shared" si="15"/>
        <v>3.1483092888769425E-3</v>
      </c>
      <c r="F982" s="22"/>
      <c r="I982" s="21"/>
      <c r="K982" s="22"/>
      <c r="L982" s="24"/>
      <c r="M982" s="24"/>
      <c r="N982" s="21"/>
      <c r="P982" s="22"/>
      <c r="S982" s="21"/>
    </row>
    <row r="983" spans="1:19" x14ac:dyDescent="0.35">
      <c r="A983" s="25">
        <v>45919</v>
      </c>
      <c r="B983" s="24">
        <v>37439.300000000003</v>
      </c>
      <c r="C983" s="24">
        <v>37439.300000000003</v>
      </c>
      <c r="D983" s="23">
        <f t="shared" si="15"/>
        <v>-1.3550243931063303E-3</v>
      </c>
      <c r="F983" s="22"/>
      <c r="I983" s="21"/>
      <c r="K983" s="22"/>
      <c r="L983" s="24"/>
      <c r="M983" s="24"/>
      <c r="N983" s="21"/>
      <c r="P983" s="22"/>
      <c r="S983" s="21"/>
    </row>
    <row r="984" spans="1:19" x14ac:dyDescent="0.35">
      <c r="A984" s="25">
        <v>45922</v>
      </c>
      <c r="B984" s="24">
        <v>37272.18</v>
      </c>
      <c r="C984" s="24">
        <v>37272.18</v>
      </c>
      <c r="D984" s="23">
        <f t="shared" si="15"/>
        <v>-4.463758670701712E-3</v>
      </c>
      <c r="F984" s="22"/>
      <c r="I984" s="21"/>
      <c r="K984" s="22"/>
      <c r="L984" s="24"/>
      <c r="M984" s="24"/>
      <c r="N984" s="21"/>
      <c r="P984" s="22"/>
      <c r="S984" s="21"/>
    </row>
    <row r="985" spans="1:19" x14ac:dyDescent="0.35">
      <c r="A985" s="25">
        <v>45923</v>
      </c>
      <c r="B985" s="24">
        <v>37182.629999999997</v>
      </c>
      <c r="C985" s="24">
        <v>37182.629999999997</v>
      </c>
      <c r="D985" s="23">
        <f t="shared" si="15"/>
        <v>-2.4025962527548135E-3</v>
      </c>
      <c r="F985" s="22"/>
      <c r="I985" s="21"/>
      <c r="K985" s="22"/>
      <c r="L985" s="24"/>
      <c r="M985" s="24"/>
      <c r="N985" s="21"/>
      <c r="P985" s="22"/>
      <c r="S985" s="21"/>
    </row>
    <row r="986" spans="1:19" x14ac:dyDescent="0.35">
      <c r="A986" s="25">
        <v>45924</v>
      </c>
      <c r="B986" s="24">
        <v>36948.25</v>
      </c>
      <c r="C986" s="24">
        <v>36948.25</v>
      </c>
      <c r="D986" s="23">
        <f t="shared" si="15"/>
        <v>-6.3034809533375506E-3</v>
      </c>
      <c r="F986" s="22"/>
      <c r="I986" s="21"/>
      <c r="K986" s="22"/>
      <c r="L986" s="24"/>
      <c r="M986" s="24"/>
      <c r="N986" s="21"/>
      <c r="P986" s="22"/>
      <c r="S986" s="21"/>
    </row>
    <row r="987" spans="1:19" x14ac:dyDescent="0.35">
      <c r="A987" s="25">
        <v>45925</v>
      </c>
      <c r="B987" s="24">
        <v>36699.82</v>
      </c>
      <c r="C987" s="24">
        <v>36699.82</v>
      </c>
      <c r="D987" s="23">
        <f t="shared" si="15"/>
        <v>-6.7237284580460585E-3</v>
      </c>
      <c r="F987" s="22"/>
      <c r="I987" s="21"/>
      <c r="K987" s="22"/>
      <c r="L987" s="24"/>
      <c r="M987" s="24"/>
      <c r="N987" s="21"/>
      <c r="P987" s="22"/>
      <c r="S987" s="21"/>
    </row>
    <row r="988" spans="1:19" x14ac:dyDescent="0.35">
      <c r="A988" s="25">
        <v>45926</v>
      </c>
      <c r="B988" s="24">
        <v>36206.839999999997</v>
      </c>
      <c r="C988" s="24">
        <v>36206.839999999997</v>
      </c>
      <c r="D988" s="23">
        <f t="shared" si="15"/>
        <v>-1.343276343044743E-2</v>
      </c>
      <c r="F988" s="22"/>
      <c r="I988" s="21"/>
      <c r="K988" s="22"/>
      <c r="L988" s="24"/>
      <c r="M988" s="24"/>
      <c r="N988" s="21"/>
      <c r="P988" s="22"/>
      <c r="S988" s="21"/>
    </row>
    <row r="989" spans="1:19" x14ac:dyDescent="0.35">
      <c r="A989" s="25">
        <v>45929</v>
      </c>
      <c r="B989" s="24">
        <v>36248.22</v>
      </c>
      <c r="C989" s="24">
        <v>36248.22</v>
      </c>
      <c r="D989" s="23">
        <f t="shared" si="15"/>
        <v>1.1428779755428716E-3</v>
      </c>
      <c r="F989" s="22"/>
      <c r="I989" s="21"/>
      <c r="K989" s="22"/>
      <c r="L989" s="24"/>
      <c r="M989" s="24"/>
      <c r="N989" s="21"/>
      <c r="P989" s="22"/>
      <c r="S989" s="21"/>
    </row>
    <row r="990" spans="1:19" x14ac:dyDescent="0.35">
      <c r="A990" s="25">
        <v>45930</v>
      </c>
      <c r="B990" s="24">
        <v>36248.22</v>
      </c>
      <c r="C990" s="24">
        <v>36248.22</v>
      </c>
      <c r="D990" s="23">
        <f t="shared" si="15"/>
        <v>0</v>
      </c>
      <c r="F990" s="22"/>
      <c r="I990" s="21"/>
      <c r="K990" s="22"/>
      <c r="L990" s="24"/>
      <c r="M990" s="24"/>
      <c r="N990" s="21"/>
      <c r="P990" s="22"/>
      <c r="S990" s="21"/>
    </row>
    <row r="991" spans="1:19" x14ac:dyDescent="0.35">
      <c r="A991" s="25">
        <v>45931</v>
      </c>
      <c r="B991" s="24">
        <v>36549.800000000003</v>
      </c>
      <c r="C991" s="24">
        <v>36549.800000000003</v>
      </c>
      <c r="D991" s="23">
        <f t="shared" si="15"/>
        <v>8.3198568095206264E-3</v>
      </c>
      <c r="F991" s="22"/>
      <c r="I991" s="21"/>
      <c r="K991" s="22"/>
      <c r="L991" s="24"/>
      <c r="M991" s="24"/>
      <c r="N991" s="21"/>
      <c r="P991" s="22"/>
      <c r="S991" s="21"/>
    </row>
    <row r="992" spans="1:19" x14ac:dyDescent="0.35">
      <c r="A992" s="25">
        <v>45933</v>
      </c>
      <c r="B992" s="24">
        <v>36708.39</v>
      </c>
      <c r="C992" s="24">
        <v>36708.39</v>
      </c>
      <c r="D992" s="23">
        <f t="shared" si="15"/>
        <v>4.3390114309790062E-3</v>
      </c>
      <c r="F992" s="22"/>
      <c r="I992" s="21"/>
      <c r="K992" s="22"/>
      <c r="L992" s="24"/>
      <c r="M992" s="24"/>
      <c r="N992" s="21"/>
      <c r="P992" s="22"/>
      <c r="S992" s="21"/>
    </row>
    <row r="993" spans="1:19" x14ac:dyDescent="0.35">
      <c r="A993" s="25">
        <v>45936</v>
      </c>
      <c r="B993" s="24">
        <v>36934.660000000003</v>
      </c>
      <c r="C993" s="24">
        <v>36934.660000000003</v>
      </c>
      <c r="D993" s="23">
        <f t="shared" si="15"/>
        <v>6.163985944357791E-3</v>
      </c>
      <c r="F993" s="22"/>
      <c r="I993" s="21"/>
      <c r="K993" s="22"/>
      <c r="L993" s="24"/>
      <c r="M993" s="24"/>
      <c r="N993" s="21"/>
      <c r="P993" s="22"/>
      <c r="S993" s="21"/>
    </row>
    <row r="994" spans="1:19" x14ac:dyDescent="0.35">
      <c r="A994" s="25">
        <v>45937</v>
      </c>
      <c r="B994" s="24">
        <v>36998.14</v>
      </c>
      <c r="C994" s="24">
        <v>36998.14</v>
      </c>
      <c r="D994" s="23">
        <f t="shared" si="15"/>
        <v>1.7187108260911545E-3</v>
      </c>
      <c r="F994" s="22"/>
      <c r="I994" s="21"/>
      <c r="K994" s="22"/>
      <c r="L994" s="24"/>
      <c r="M994" s="24"/>
      <c r="N994" s="21"/>
      <c r="P994" s="22"/>
      <c r="S994" s="21"/>
    </row>
    <row r="995" spans="1:19" x14ac:dyDescent="0.35">
      <c r="A995" s="25">
        <v>45938</v>
      </c>
      <c r="B995" s="24">
        <v>36838.5</v>
      </c>
      <c r="C995" s="24">
        <v>36838.5</v>
      </c>
      <c r="D995" s="23">
        <f t="shared" si="15"/>
        <v>-4.3148115013349163E-3</v>
      </c>
      <c r="F995" s="22"/>
      <c r="I995" s="21"/>
      <c r="K995" s="22"/>
      <c r="L995" s="24"/>
      <c r="M995" s="24"/>
      <c r="N995" s="21"/>
      <c r="P995" s="22"/>
      <c r="S995" s="21"/>
    </row>
    <row r="996" spans="1:19" x14ac:dyDescent="0.35">
      <c r="A996" s="25">
        <v>45939</v>
      </c>
      <c r="B996" s="24">
        <v>37049.58</v>
      </c>
      <c r="C996" s="24">
        <v>37049.58</v>
      </c>
      <c r="D996" s="23">
        <f t="shared" si="15"/>
        <v>5.7298749949102638E-3</v>
      </c>
      <c r="F996" s="22"/>
      <c r="I996" s="21"/>
      <c r="K996" s="22"/>
      <c r="L996" s="24"/>
      <c r="M996" s="24"/>
      <c r="N996" s="21"/>
      <c r="P996" s="22"/>
      <c r="S996" s="21"/>
    </row>
    <row r="997" spans="1:19" x14ac:dyDescent="0.35">
      <c r="A997" s="25">
        <v>45940</v>
      </c>
      <c r="B997" s="24">
        <v>37202.44</v>
      </c>
      <c r="C997" s="24">
        <v>37202.44</v>
      </c>
      <c r="D997" s="23">
        <f t="shared" si="15"/>
        <v>4.1258227488678838E-3</v>
      </c>
      <c r="F997" s="22"/>
      <c r="I997" s="21"/>
      <c r="K997" s="22"/>
      <c r="L997" s="24"/>
      <c r="M997" s="24"/>
      <c r="N997" s="21"/>
      <c r="P997" s="22"/>
      <c r="S997" s="21"/>
    </row>
    <row r="998" spans="1:19" x14ac:dyDescent="0.35">
      <c r="A998" s="25">
        <v>45944</v>
      </c>
      <c r="B998" s="24">
        <v>36957.769999999997</v>
      </c>
      <c r="C998" s="24">
        <v>36957.769999999997</v>
      </c>
      <c r="D998" s="23">
        <f t="shared" si="15"/>
        <v>-6.5767191614314949E-3</v>
      </c>
      <c r="F998" s="22"/>
      <c r="I998" s="21"/>
      <c r="K998" s="22"/>
      <c r="L998" s="24"/>
      <c r="M998" s="24"/>
      <c r="N998" s="21"/>
      <c r="P998" s="22"/>
      <c r="S998" s="21"/>
    </row>
    <row r="999" spans="1:19" x14ac:dyDescent="0.35">
      <c r="A999" s="25">
        <v>45945</v>
      </c>
      <c r="B999" s="24">
        <v>37268.03</v>
      </c>
      <c r="C999" s="24">
        <v>37268.03</v>
      </c>
      <c r="D999" s="23">
        <f t="shared" si="15"/>
        <v>8.3949870352026668E-3</v>
      </c>
      <c r="F999" s="22"/>
      <c r="I999" s="21"/>
      <c r="K999" s="22"/>
      <c r="L999" s="24"/>
      <c r="M999" s="24"/>
      <c r="N999" s="21"/>
      <c r="P999" s="22"/>
      <c r="S999" s="21"/>
    </row>
    <row r="1000" spans="1:19" x14ac:dyDescent="0.35">
      <c r="A1000" s="25">
        <v>45946</v>
      </c>
      <c r="B1000" s="24">
        <v>37565.29</v>
      </c>
      <c r="C1000" s="24">
        <v>37565.29</v>
      </c>
      <c r="D1000" s="23">
        <f t="shared" si="15"/>
        <v>7.9762734976869462E-3</v>
      </c>
      <c r="F1000" s="22"/>
      <c r="I1000" s="21"/>
      <c r="K1000" s="22"/>
      <c r="L1000" s="24"/>
      <c r="M1000" s="24"/>
      <c r="N1000" s="21"/>
      <c r="P1000" s="22"/>
      <c r="S1000" s="21"/>
    </row>
    <row r="1001" spans="1:19" x14ac:dyDescent="0.35">
      <c r="A1001" s="25">
        <v>45947</v>
      </c>
      <c r="B1001" s="24">
        <v>37622.31</v>
      </c>
      <c r="C1001" s="24">
        <v>37622.31</v>
      </c>
      <c r="D1001" s="23">
        <f t="shared" si="15"/>
        <v>1.5178905846326967E-3</v>
      </c>
      <c r="F1001" s="22"/>
      <c r="I1001" s="21"/>
      <c r="K1001" s="22"/>
      <c r="L1001" s="24"/>
      <c r="M1001" s="24"/>
      <c r="N1001" s="21"/>
      <c r="P1001" s="22"/>
      <c r="S1001" s="21"/>
    </row>
    <row r="1002" spans="1:19" x14ac:dyDescent="0.35">
      <c r="A1002" s="25">
        <v>45950</v>
      </c>
      <c r="B1002" s="24">
        <v>37812.39</v>
      </c>
      <c r="C1002" s="24">
        <v>37812.39</v>
      </c>
      <c r="D1002" s="23">
        <f t="shared" si="15"/>
        <v>5.052321348689162E-3</v>
      </c>
      <c r="F1002" s="22"/>
      <c r="I1002" s="21"/>
      <c r="K1002" s="22"/>
      <c r="L1002" s="24"/>
      <c r="M1002" s="24"/>
      <c r="N1002" s="21"/>
      <c r="P1002" s="22"/>
      <c r="S1002" s="21"/>
    </row>
    <row r="1003" spans="1:19" x14ac:dyDescent="0.35">
      <c r="A1003" s="25">
        <v>45951</v>
      </c>
      <c r="B1003" s="24">
        <v>37881.08</v>
      </c>
      <c r="C1003" s="24">
        <v>37881.08</v>
      </c>
      <c r="D1003" s="23">
        <f t="shared" si="15"/>
        <v>1.8166003259778695E-3</v>
      </c>
      <c r="F1003" s="22"/>
      <c r="I1003" s="21"/>
      <c r="K1003" s="22"/>
      <c r="L1003" s="24"/>
      <c r="M1003" s="24"/>
      <c r="N1003" s="21"/>
      <c r="P1003" s="22"/>
      <c r="S1003" s="21"/>
    </row>
    <row r="1004" spans="1:19" x14ac:dyDescent="0.35">
      <c r="A1004" s="25">
        <v>45953</v>
      </c>
      <c r="B1004" s="24">
        <v>37876.129999999997</v>
      </c>
      <c r="C1004" s="24">
        <v>37876.129999999997</v>
      </c>
      <c r="D1004" s="23">
        <f t="shared" si="15"/>
        <v>-1.3067209277043752E-4</v>
      </c>
      <c r="F1004" s="22"/>
      <c r="I1004" s="21"/>
      <c r="K1004" s="22"/>
      <c r="L1004" s="24"/>
      <c r="M1004" s="24"/>
      <c r="N1004" s="21"/>
      <c r="P1004" s="22"/>
      <c r="S1004" s="21"/>
    </row>
    <row r="1005" spans="1:19" x14ac:dyDescent="0.35">
      <c r="A1005" s="25">
        <v>45954</v>
      </c>
      <c r="B1005" s="24">
        <v>37766.89</v>
      </c>
      <c r="C1005" s="24">
        <v>37766.89</v>
      </c>
      <c r="D1005" s="23">
        <f t="shared" si="15"/>
        <v>-2.8841383742213888E-3</v>
      </c>
      <c r="F1005" s="22"/>
      <c r="I1005" s="21"/>
      <c r="K1005" s="22"/>
      <c r="L1005" s="24"/>
      <c r="M1005" s="24"/>
      <c r="N1005" s="21"/>
      <c r="P1005" s="22"/>
      <c r="S1005" s="21"/>
    </row>
    <row r="1006" spans="1:19" x14ac:dyDescent="0.35">
      <c r="A1006" s="25">
        <v>45957</v>
      </c>
      <c r="B1006" s="24">
        <v>38030.32</v>
      </c>
      <c r="C1006" s="24">
        <v>38030.32</v>
      </c>
      <c r="D1006" s="23">
        <f t="shared" si="15"/>
        <v>6.9751573401993202E-3</v>
      </c>
      <c r="F1006" s="22"/>
      <c r="I1006" s="21"/>
      <c r="K1006" s="22"/>
      <c r="L1006" s="24"/>
      <c r="M1006" s="24"/>
      <c r="N1006" s="21"/>
      <c r="P1006" s="22"/>
      <c r="S1006" s="21"/>
    </row>
    <row r="1007" spans="1:19" x14ac:dyDescent="0.35">
      <c r="A1007" s="25">
        <v>45958</v>
      </c>
      <c r="B1007" s="24">
        <v>37985.14</v>
      </c>
      <c r="C1007" s="24">
        <v>37985.14</v>
      </c>
      <c r="D1007" s="23">
        <f t="shared" si="15"/>
        <v>-1.1879994698966586E-3</v>
      </c>
      <c r="F1007" s="22"/>
      <c r="I1007" s="21"/>
      <c r="K1007" s="22"/>
      <c r="L1007" s="24"/>
      <c r="M1007" s="24"/>
      <c r="N1007" s="21"/>
      <c r="P1007" s="22"/>
      <c r="S1007" s="21"/>
    </row>
    <row r="1008" spans="1:19" x14ac:dyDescent="0.35">
      <c r="A1008" s="25">
        <v>45959</v>
      </c>
      <c r="B1008" s="24">
        <v>38208.18</v>
      </c>
      <c r="C1008" s="24">
        <v>38208.18</v>
      </c>
      <c r="D1008" s="23">
        <f t="shared" si="15"/>
        <v>5.8717698552644762E-3</v>
      </c>
      <c r="F1008" s="22"/>
      <c r="I1008" s="21"/>
      <c r="K1008" s="22"/>
      <c r="L1008" s="24"/>
      <c r="M1008" s="24"/>
      <c r="N1008" s="21"/>
      <c r="P1008" s="22"/>
      <c r="S1008" s="21"/>
    </row>
    <row r="1009" spans="1:19" x14ac:dyDescent="0.35">
      <c r="A1009" s="25">
        <v>45960</v>
      </c>
      <c r="B1009" s="24">
        <v>38030.97</v>
      </c>
      <c r="C1009" s="24">
        <v>38030.97</v>
      </c>
      <c r="D1009" s="23">
        <f t="shared" si="15"/>
        <v>-4.6380120696667346E-3</v>
      </c>
      <c r="F1009" s="22"/>
      <c r="I1009" s="21"/>
      <c r="K1009" s="22"/>
      <c r="L1009" s="24"/>
      <c r="M1009" s="24"/>
      <c r="N1009" s="21"/>
      <c r="P1009" s="22"/>
      <c r="S1009" s="21"/>
    </row>
    <row r="1010" spans="1:19" x14ac:dyDescent="0.35">
      <c r="A1010" s="25">
        <v>45961</v>
      </c>
      <c r="B1010" s="24">
        <v>37822.449999999997</v>
      </c>
      <c r="C1010" s="24">
        <v>37822.449999999997</v>
      </c>
      <c r="D1010" s="23">
        <f t="shared" si="15"/>
        <v>-5.4828998576687384E-3</v>
      </c>
      <c r="F1010" s="22"/>
      <c r="I1010" s="21"/>
      <c r="K1010" s="22"/>
      <c r="L1010" s="24"/>
      <c r="M1010" s="24"/>
      <c r="N1010" s="21"/>
      <c r="P1010" s="22"/>
      <c r="S1010" s="21"/>
    </row>
    <row r="1011" spans="1:19" x14ac:dyDescent="0.35">
      <c r="A1011" s="25">
        <v>45964</v>
      </c>
      <c r="B1011" s="24">
        <v>37983.99</v>
      </c>
      <c r="C1011" s="24">
        <v>37983.99</v>
      </c>
      <c r="D1011" s="23">
        <f t="shared" si="15"/>
        <v>4.2710083561482894E-3</v>
      </c>
      <c r="F1011" s="22"/>
      <c r="I1011" s="21"/>
      <c r="K1011" s="22"/>
      <c r="L1011" s="24"/>
      <c r="M1011" s="24"/>
      <c r="N1011" s="21"/>
      <c r="P1011" s="22"/>
      <c r="S1011" s="21"/>
    </row>
    <row r="1012" spans="1:19" x14ac:dyDescent="0.35">
      <c r="A1012" s="25">
        <v>45965</v>
      </c>
      <c r="B1012" s="24">
        <v>37768.49</v>
      </c>
      <c r="C1012" s="24">
        <v>37768.49</v>
      </c>
      <c r="D1012" s="23">
        <f t="shared" si="15"/>
        <v>-5.6734429426713731E-3</v>
      </c>
      <c r="F1012" s="22"/>
      <c r="I1012" s="21"/>
      <c r="K1012" s="22"/>
      <c r="L1012" s="24"/>
      <c r="M1012" s="24"/>
      <c r="N1012" s="21"/>
      <c r="P1012" s="22"/>
      <c r="S1012" s="21"/>
    </row>
    <row r="1013" spans="1:19" x14ac:dyDescent="0.35">
      <c r="A1013" s="25">
        <v>45967</v>
      </c>
      <c r="B1013" s="24">
        <v>37510.82</v>
      </c>
      <c r="C1013" s="24">
        <v>37510.82</v>
      </c>
      <c r="D1013" s="23">
        <f t="shared" si="15"/>
        <v>-6.8223537663273876E-3</v>
      </c>
      <c r="F1013" s="22"/>
      <c r="I1013" s="21"/>
      <c r="K1013" s="22"/>
      <c r="L1013" s="24"/>
      <c r="M1013" s="24"/>
      <c r="N1013" s="21"/>
      <c r="P1013" s="22"/>
      <c r="S1013" s="21"/>
    </row>
    <row r="1014" spans="1:19" x14ac:dyDescent="0.35">
      <c r="A1014" s="25">
        <v>45968</v>
      </c>
      <c r="B1014" s="24">
        <v>37532.199999999997</v>
      </c>
      <c r="C1014" s="24">
        <v>37532.199999999997</v>
      </c>
      <c r="D1014" s="23">
        <f t="shared" si="15"/>
        <v>5.6996887831290755E-4</v>
      </c>
      <c r="F1014" s="22"/>
      <c r="I1014" s="21"/>
      <c r="K1014" s="22"/>
      <c r="L1014" s="24"/>
      <c r="M1014" s="24"/>
      <c r="N1014" s="21"/>
      <c r="P1014" s="22"/>
      <c r="S1014" s="21"/>
    </row>
    <row r="1015" spans="1:19" x14ac:dyDescent="0.35">
      <c r="A1015" s="25">
        <v>45971</v>
      </c>
      <c r="B1015" s="24">
        <v>37656.69</v>
      </c>
      <c r="C1015" s="24">
        <v>37656.69</v>
      </c>
      <c r="D1015" s="23">
        <f t="shared" si="15"/>
        <v>3.3168852345454103E-3</v>
      </c>
      <c r="F1015" s="22"/>
      <c r="I1015" s="21"/>
      <c r="K1015" s="22"/>
      <c r="L1015" s="24"/>
      <c r="M1015" s="24"/>
      <c r="N1015" s="21"/>
      <c r="P1015" s="22"/>
      <c r="S1015" s="21"/>
    </row>
    <row r="1016" spans="1:19" x14ac:dyDescent="0.35">
      <c r="A1016" s="25">
        <v>45972</v>
      </c>
      <c r="B1016" s="24">
        <v>37794.11</v>
      </c>
      <c r="C1016" s="24">
        <v>37794.11</v>
      </c>
      <c r="D1016" s="23">
        <f t="shared" si="15"/>
        <v>3.6492851602198239E-3</v>
      </c>
      <c r="F1016" s="22"/>
      <c r="I1016" s="21"/>
      <c r="K1016" s="22"/>
      <c r="L1016" s="24"/>
      <c r="M1016" s="24"/>
      <c r="N1016" s="21"/>
      <c r="P1016" s="22"/>
      <c r="S1016" s="21"/>
    </row>
    <row r="1017" spans="1:19" x14ac:dyDescent="0.35">
      <c r="A1017" s="25">
        <v>45973</v>
      </c>
      <c r="B1017" s="24">
        <v>38040.22</v>
      </c>
      <c r="C1017" s="24">
        <v>38040.22</v>
      </c>
      <c r="D1017" s="23">
        <f t="shared" si="15"/>
        <v>6.5118612397540403E-3</v>
      </c>
      <c r="F1017" s="22"/>
      <c r="I1017" s="21"/>
      <c r="K1017" s="22"/>
      <c r="L1017" s="24"/>
      <c r="M1017" s="24"/>
      <c r="N1017" s="21"/>
      <c r="P1017" s="22"/>
      <c r="S1017" s="21"/>
    </row>
    <row r="1018" spans="1:19" x14ac:dyDescent="0.35">
      <c r="A1018" s="25">
        <v>45974</v>
      </c>
      <c r="B1018" s="24">
        <v>38007.300000000003</v>
      </c>
      <c r="C1018" s="24">
        <v>38007.300000000003</v>
      </c>
      <c r="D1018" s="23">
        <f t="shared" si="15"/>
        <v>-8.6539983207242896E-4</v>
      </c>
      <c r="F1018" s="22"/>
      <c r="I1018" s="21"/>
      <c r="K1018" s="22"/>
      <c r="L1018" s="24"/>
      <c r="M1018" s="24"/>
      <c r="N1018" s="21"/>
      <c r="P1018" s="22"/>
      <c r="S1018" s="21"/>
    </row>
    <row r="1019" spans="1:19" x14ac:dyDescent="0.35">
      <c r="A1019" s="25">
        <v>45975</v>
      </c>
      <c r="B1019" s="24">
        <v>38041.15</v>
      </c>
      <c r="C1019" s="24">
        <v>38041.15</v>
      </c>
      <c r="D1019" s="23">
        <f t="shared" si="15"/>
        <v>8.9061838120567741E-4</v>
      </c>
      <c r="F1019" s="22"/>
      <c r="I1019" s="21"/>
      <c r="K1019" s="22"/>
      <c r="L1019" s="24"/>
      <c r="M1019" s="24"/>
      <c r="N1019" s="21"/>
      <c r="P1019" s="22"/>
      <c r="S1019" s="21"/>
    </row>
    <row r="1020" spans="1:19" x14ac:dyDescent="0.35">
      <c r="A1020" s="25">
        <v>45978</v>
      </c>
      <c r="B1020" s="24">
        <v>38229.800000000003</v>
      </c>
      <c r="C1020" s="24">
        <v>38229.800000000003</v>
      </c>
      <c r="D1020" s="23">
        <f t="shared" si="15"/>
        <v>4.9591034971340625E-3</v>
      </c>
      <c r="F1020" s="22"/>
      <c r="I1020" s="21"/>
      <c r="K1020" s="22"/>
      <c r="L1020" s="24"/>
      <c r="M1020" s="24"/>
      <c r="N1020" s="21"/>
      <c r="P1020" s="22"/>
      <c r="S1020" s="21"/>
    </row>
    <row r="1021" spans="1:19" x14ac:dyDescent="0.35">
      <c r="A1021" s="25">
        <v>45979</v>
      </c>
      <c r="B1021" s="24">
        <v>38023.56</v>
      </c>
      <c r="C1021" s="24">
        <v>38023.56</v>
      </c>
      <c r="D1021" s="23">
        <f t="shared" si="15"/>
        <v>-5.3947444140436318E-3</v>
      </c>
      <c r="F1021" s="22"/>
      <c r="I1021" s="21"/>
      <c r="K1021" s="22"/>
      <c r="L1021" s="24"/>
      <c r="M1021" s="24"/>
      <c r="N1021" s="21"/>
      <c r="P1021" s="22"/>
      <c r="S1021" s="21"/>
    </row>
    <row r="1022" spans="1:19" x14ac:dyDescent="0.35">
      <c r="A1022" s="25">
        <v>45980</v>
      </c>
      <c r="B1022" s="24">
        <v>38154.25</v>
      </c>
      <c r="C1022" s="24">
        <v>38154.25</v>
      </c>
      <c r="D1022" s="23">
        <f t="shared" si="15"/>
        <v>3.4370795370029092E-3</v>
      </c>
      <c r="F1022" s="22"/>
      <c r="I1022" s="21"/>
      <c r="K1022" s="22"/>
      <c r="L1022" s="24"/>
      <c r="M1022" s="24"/>
      <c r="N1022" s="21"/>
      <c r="P1022" s="22"/>
      <c r="S1022" s="21"/>
    </row>
    <row r="1023" spans="1:19" x14ac:dyDescent="0.35">
      <c r="A1023" s="25">
        <v>45981</v>
      </c>
      <c r="B1023" s="24">
        <v>38264.879999999997</v>
      </c>
      <c r="C1023" s="24">
        <v>38264.879999999997</v>
      </c>
      <c r="D1023" s="23">
        <f t="shared" si="15"/>
        <v>2.8995459221449085E-3</v>
      </c>
      <c r="F1023" s="22"/>
      <c r="I1023" s="21"/>
      <c r="K1023" s="22"/>
      <c r="L1023" s="24"/>
      <c r="M1023" s="24"/>
      <c r="N1023" s="21"/>
      <c r="P1023" s="22"/>
      <c r="S1023" s="21"/>
    </row>
    <row r="1024" spans="1:19" x14ac:dyDescent="0.35">
      <c r="A1024" s="25">
        <v>45982</v>
      </c>
      <c r="B1024" s="24">
        <v>37970.160000000003</v>
      </c>
      <c r="C1024" s="24">
        <v>37970.160000000003</v>
      </c>
      <c r="D1024" s="23">
        <f t="shared" si="15"/>
        <v>-7.7021017706051581E-3</v>
      </c>
      <c r="F1024" s="22"/>
      <c r="I1024" s="21"/>
      <c r="K1024" s="22"/>
      <c r="L1024" s="24"/>
      <c r="M1024" s="24"/>
      <c r="N1024" s="21"/>
      <c r="P1024" s="22"/>
      <c r="S1024" s="21"/>
    </row>
    <row r="1025" spans="1:19" x14ac:dyDescent="0.35">
      <c r="A1025" s="25">
        <v>45985</v>
      </c>
      <c r="B1025" s="24">
        <v>37785.5</v>
      </c>
      <c r="C1025" s="24">
        <v>37785.5</v>
      </c>
      <c r="D1025" s="23">
        <f t="shared" si="15"/>
        <v>-4.8632926487537443E-3</v>
      </c>
      <c r="F1025" s="22"/>
      <c r="I1025" s="21"/>
      <c r="K1025" s="22"/>
      <c r="L1025" s="24"/>
      <c r="M1025" s="24"/>
      <c r="N1025" s="21"/>
      <c r="P1025" s="22"/>
      <c r="S1025" s="21"/>
    </row>
    <row r="1026" spans="1:19" x14ac:dyDescent="0.35">
      <c r="A1026" s="25">
        <v>45986</v>
      </c>
      <c r="B1026" s="24">
        <v>37754.36</v>
      </c>
      <c r="C1026" s="24">
        <v>37754.36</v>
      </c>
      <c r="D1026" s="23">
        <f t="shared" si="15"/>
        <v>-8.2412565666722471E-4</v>
      </c>
      <c r="F1026" s="22"/>
      <c r="I1026" s="21"/>
      <c r="K1026" s="22"/>
      <c r="L1026" s="24"/>
      <c r="M1026" s="24"/>
      <c r="N1026" s="21"/>
      <c r="P1026" s="22"/>
      <c r="S1026" s="21"/>
    </row>
    <row r="1027" spans="1:19" x14ac:dyDescent="0.35">
      <c r="A1027" s="25">
        <v>45987</v>
      </c>
      <c r="B1027" s="24">
        <v>38234.47</v>
      </c>
      <c r="C1027" s="24">
        <v>38234.47</v>
      </c>
      <c r="D1027" s="23">
        <f t="shared" ref="D1027:D1090" si="16">(B1027-B1026)/B1026</f>
        <v>1.2716676961283428E-2</v>
      </c>
      <c r="F1027" s="22"/>
      <c r="I1027" s="21"/>
      <c r="K1027" s="22"/>
      <c r="L1027" s="24"/>
      <c r="M1027" s="24"/>
      <c r="N1027" s="21"/>
      <c r="P1027" s="22"/>
      <c r="S1027" s="21"/>
    </row>
    <row r="1028" spans="1:19" x14ac:dyDescent="0.35">
      <c r="A1028" s="25">
        <v>45988</v>
      </c>
      <c r="B1028" s="24">
        <v>38222.54</v>
      </c>
      <c r="C1028" s="24">
        <v>38222.54</v>
      </c>
      <c r="D1028" s="23">
        <f t="shared" si="16"/>
        <v>-3.1202210989194544E-4</v>
      </c>
      <c r="F1028" s="22"/>
      <c r="I1028" s="21"/>
      <c r="K1028" s="22"/>
      <c r="L1028" s="24"/>
      <c r="M1028" s="24"/>
      <c r="N1028" s="21"/>
      <c r="P1028" s="22"/>
      <c r="S1028" s="21"/>
    </row>
    <row r="1029" spans="1:19" x14ac:dyDescent="0.35">
      <c r="A1029" s="25">
        <v>45989</v>
      </c>
      <c r="B1029" s="24">
        <v>38199.35</v>
      </c>
      <c r="C1029" s="24">
        <v>38199.35</v>
      </c>
      <c r="D1029" s="23">
        <f t="shared" si="16"/>
        <v>-6.0671007211981012E-4</v>
      </c>
      <c r="F1029" s="22"/>
      <c r="I1029" s="21"/>
      <c r="K1029" s="22"/>
      <c r="L1029" s="24"/>
      <c r="M1029" s="24"/>
      <c r="N1029" s="21"/>
      <c r="P1029" s="22"/>
      <c r="S1029" s="21"/>
    </row>
    <row r="1030" spans="1:19" x14ac:dyDescent="0.35">
      <c r="A1030" s="25">
        <v>45992</v>
      </c>
      <c r="B1030" s="24">
        <v>38182.160000000003</v>
      </c>
      <c r="C1030" s="24">
        <v>38182.160000000003</v>
      </c>
      <c r="D1030" s="23">
        <f t="shared" si="16"/>
        <v>-4.5000765719822595E-4</v>
      </c>
      <c r="F1030" s="22"/>
      <c r="I1030" s="21"/>
      <c r="K1030" s="22"/>
      <c r="L1030" s="24"/>
      <c r="M1030" s="24"/>
      <c r="N1030" s="21"/>
      <c r="P1030" s="22"/>
      <c r="S1030" s="21"/>
    </row>
    <row r="1031" spans="1:19" x14ac:dyDescent="0.35">
      <c r="A1031" s="25">
        <v>45993</v>
      </c>
      <c r="B1031" s="24">
        <v>38022.199999999997</v>
      </c>
      <c r="C1031" s="24">
        <v>38022.199999999997</v>
      </c>
      <c r="D1031" s="23">
        <f t="shared" si="16"/>
        <v>-4.1893910664039542E-3</v>
      </c>
      <c r="F1031" s="22"/>
      <c r="I1031" s="21"/>
      <c r="K1031" s="22"/>
      <c r="L1031" s="24"/>
      <c r="M1031" s="24"/>
      <c r="N1031" s="21"/>
      <c r="P1031" s="22"/>
      <c r="S1031" s="21"/>
    </row>
    <row r="1032" spans="1:19" x14ac:dyDescent="0.35">
      <c r="A1032" s="25">
        <v>45994</v>
      </c>
      <c r="B1032" s="24">
        <v>37853.129999999997</v>
      </c>
      <c r="C1032" s="24">
        <v>37853.129999999997</v>
      </c>
      <c r="D1032" s="23">
        <f t="shared" si="16"/>
        <v>-4.4466127683300731E-3</v>
      </c>
      <c r="F1032" s="22"/>
      <c r="I1032" s="21"/>
      <c r="K1032" s="22"/>
      <c r="L1032" s="24"/>
      <c r="M1032" s="24"/>
      <c r="N1032" s="21"/>
      <c r="P1032" s="22"/>
      <c r="S1032" s="21"/>
    </row>
    <row r="1033" spans="1:19" x14ac:dyDescent="0.35">
      <c r="A1033" s="25">
        <v>45995</v>
      </c>
      <c r="B1033" s="24">
        <v>37892.730000000003</v>
      </c>
      <c r="C1033" s="24">
        <v>37892.730000000003</v>
      </c>
      <c r="D1033" s="23">
        <f t="shared" si="16"/>
        <v>1.0461486276037363E-3</v>
      </c>
      <c r="F1033" s="22"/>
      <c r="I1033" s="21"/>
      <c r="K1033" s="22"/>
      <c r="L1033" s="24"/>
      <c r="M1033" s="24"/>
      <c r="N1033" s="21"/>
      <c r="P1033" s="22"/>
      <c r="S1033" s="21"/>
    </row>
    <row r="1034" spans="1:19" x14ac:dyDescent="0.35">
      <c r="A1034" s="25">
        <v>45996</v>
      </c>
      <c r="B1034" s="24">
        <v>38043.050000000003</v>
      </c>
      <c r="C1034" s="24">
        <v>38043.050000000003</v>
      </c>
      <c r="D1034" s="23">
        <f t="shared" si="16"/>
        <v>3.9669878628433393E-3</v>
      </c>
      <c r="F1034" s="22"/>
      <c r="I1034" s="21"/>
      <c r="K1034" s="22"/>
      <c r="L1034" s="24"/>
      <c r="M1034" s="24"/>
      <c r="N1034" s="21"/>
      <c r="P1034" s="22"/>
      <c r="S1034" s="21"/>
    </row>
    <row r="1035" spans="1:19" x14ac:dyDescent="0.35">
      <c r="A1035" s="25">
        <v>45999</v>
      </c>
      <c r="B1035" s="24">
        <v>37549.769999999997</v>
      </c>
      <c r="C1035" s="24">
        <v>37549.769999999997</v>
      </c>
      <c r="D1035" s="23">
        <f t="shared" si="16"/>
        <v>-1.2966363107059136E-2</v>
      </c>
      <c r="F1035" s="22"/>
      <c r="I1035" s="21"/>
      <c r="K1035" s="22"/>
      <c r="L1035" s="24"/>
      <c r="M1035" s="24"/>
      <c r="N1035" s="21"/>
      <c r="P1035" s="22"/>
      <c r="S1035" s="21"/>
    </row>
    <row r="1036" spans="1:19" x14ac:dyDescent="0.35">
      <c r="A1036" s="25">
        <v>46000</v>
      </c>
      <c r="B1036" s="24">
        <v>37533.89</v>
      </c>
      <c r="C1036" s="24">
        <v>37533.89</v>
      </c>
      <c r="D1036" s="23">
        <f t="shared" si="16"/>
        <v>-4.2290538663745161E-4</v>
      </c>
      <c r="F1036" s="22"/>
      <c r="I1036" s="21"/>
      <c r="K1036" s="22"/>
      <c r="L1036" s="24"/>
      <c r="M1036" s="24"/>
      <c r="N1036" s="21"/>
      <c r="P1036" s="22"/>
      <c r="S1036" s="21"/>
    </row>
    <row r="1037" spans="1:19" x14ac:dyDescent="0.35">
      <c r="A1037" s="25">
        <v>46001</v>
      </c>
      <c r="B1037" s="24">
        <v>37362.36</v>
      </c>
      <c r="C1037" s="24">
        <v>37362.36</v>
      </c>
      <c r="D1037" s="23">
        <f t="shared" si="16"/>
        <v>-4.5700032690456239E-3</v>
      </c>
      <c r="F1037" s="22"/>
      <c r="I1037" s="21"/>
      <c r="K1037" s="22"/>
      <c r="L1037" s="24"/>
      <c r="M1037" s="24"/>
      <c r="N1037" s="21"/>
      <c r="P1037" s="22"/>
      <c r="S1037" s="21"/>
    </row>
    <row r="1038" spans="1:19" x14ac:dyDescent="0.35">
      <c r="A1038" s="25">
        <v>46002</v>
      </c>
      <c r="B1038" s="24">
        <v>37589.1</v>
      </c>
      <c r="C1038" s="24">
        <v>37589.1</v>
      </c>
      <c r="D1038" s="23">
        <f t="shared" si="16"/>
        <v>6.0686744627480157E-3</v>
      </c>
      <c r="F1038" s="22"/>
      <c r="I1038" s="21"/>
      <c r="K1038" s="22"/>
      <c r="L1038" s="24"/>
      <c r="M1038" s="24"/>
      <c r="N1038" s="21"/>
      <c r="P1038" s="22"/>
      <c r="S1038" s="21"/>
    </row>
    <row r="1039" spans="1:19" x14ac:dyDescent="0.35">
      <c r="A1039" s="25">
        <v>46003</v>
      </c>
      <c r="B1039" s="24">
        <v>37869</v>
      </c>
      <c r="C1039" s="24">
        <v>37869</v>
      </c>
      <c r="D1039" s="23">
        <f t="shared" si="16"/>
        <v>7.4463075732061016E-3</v>
      </c>
      <c r="F1039" s="22"/>
      <c r="I1039" s="21"/>
      <c r="K1039" s="22"/>
      <c r="L1039" s="24"/>
      <c r="M1039" s="24"/>
      <c r="N1039" s="21"/>
      <c r="P1039" s="22"/>
      <c r="S1039" s="21"/>
    </row>
    <row r="1040" spans="1:19" x14ac:dyDescent="0.35">
      <c r="A1040" s="25">
        <v>46006</v>
      </c>
      <c r="B1040" s="24">
        <v>37867.370000000003</v>
      </c>
      <c r="C1040" s="24">
        <v>37867.370000000003</v>
      </c>
      <c r="D1040" s="23">
        <f t="shared" si="16"/>
        <v>-4.3043122342744213E-5</v>
      </c>
      <c r="F1040" s="22"/>
      <c r="I1040" s="21"/>
      <c r="K1040" s="22"/>
      <c r="L1040" s="24"/>
      <c r="M1040" s="24"/>
      <c r="N1040" s="21"/>
      <c r="P1040" s="22"/>
      <c r="S1040" s="21"/>
    </row>
    <row r="1041" spans="1:19" x14ac:dyDescent="0.35">
      <c r="A1041" s="25">
        <v>46007</v>
      </c>
      <c r="B1041" s="24">
        <v>37619.879999999997</v>
      </c>
      <c r="C1041" s="24">
        <v>37619.879999999997</v>
      </c>
      <c r="D1041" s="23">
        <f t="shared" si="16"/>
        <v>-6.5357060709525169E-3</v>
      </c>
      <c r="F1041" s="22"/>
      <c r="I1041" s="21"/>
      <c r="K1041" s="22"/>
      <c r="L1041" s="24"/>
      <c r="M1041" s="24"/>
      <c r="N1041" s="21"/>
      <c r="P1041" s="22"/>
      <c r="S1041" s="21"/>
    </row>
    <row r="1042" spans="1:19" x14ac:dyDescent="0.35">
      <c r="A1042" s="25">
        <v>46008</v>
      </c>
      <c r="B1042" s="24">
        <v>37501.660000000003</v>
      </c>
      <c r="C1042" s="24">
        <v>37501.660000000003</v>
      </c>
      <c r="D1042" s="23">
        <f t="shared" si="16"/>
        <v>-3.1424874295184857E-3</v>
      </c>
      <c r="F1042" s="22"/>
      <c r="I1042" s="21"/>
      <c r="K1042" s="22"/>
      <c r="L1042" s="24"/>
      <c r="M1042" s="24"/>
      <c r="N1042" s="21"/>
      <c r="P1042" s="22"/>
      <c r="S1042" s="21"/>
    </row>
    <row r="1043" spans="1:19" x14ac:dyDescent="0.35">
      <c r="A1043" s="25">
        <v>46009</v>
      </c>
      <c r="B1043" s="24">
        <v>37494.35</v>
      </c>
      <c r="C1043" s="24">
        <v>37494.35</v>
      </c>
      <c r="D1043" s="23">
        <f t="shared" si="16"/>
        <v>-1.9492470466653868E-4</v>
      </c>
      <c r="F1043" s="22"/>
      <c r="I1043" s="21"/>
      <c r="K1043" s="22"/>
      <c r="L1043" s="24"/>
      <c r="M1043" s="24"/>
      <c r="N1043" s="21"/>
      <c r="P1043" s="22"/>
      <c r="S1043" s="21"/>
    </row>
    <row r="1044" spans="1:19" x14ac:dyDescent="0.35">
      <c r="A1044" s="25">
        <v>46010</v>
      </c>
      <c r="B1044" s="24">
        <v>37791.42</v>
      </c>
      <c r="C1044" s="24">
        <v>37791.42</v>
      </c>
      <c r="D1044" s="23">
        <f t="shared" si="16"/>
        <v>7.9230604077680962E-3</v>
      </c>
      <c r="F1044" s="22"/>
      <c r="I1044" s="21"/>
      <c r="K1044" s="22"/>
      <c r="L1044" s="24"/>
      <c r="M1044" s="24"/>
      <c r="N1044" s="21"/>
      <c r="P1044" s="22"/>
      <c r="S1044" s="21"/>
    </row>
    <row r="1045" spans="1:19" x14ac:dyDescent="0.35">
      <c r="A1045" s="25">
        <v>46013</v>
      </c>
      <c r="B1045" s="24">
        <v>38094.83</v>
      </c>
      <c r="C1045" s="24">
        <v>38094.83</v>
      </c>
      <c r="D1045" s="23">
        <f t="shared" si="16"/>
        <v>8.0285419283002198E-3</v>
      </c>
      <c r="F1045" s="22"/>
      <c r="I1045" s="21"/>
      <c r="K1045" s="22"/>
      <c r="L1045" s="24"/>
      <c r="M1045" s="24"/>
      <c r="N1045" s="21"/>
      <c r="P1045" s="22"/>
      <c r="S1045" s="21"/>
    </row>
    <row r="1046" spans="1:19" x14ac:dyDescent="0.35">
      <c r="A1046" s="25">
        <v>46014</v>
      </c>
      <c r="B1046" s="24">
        <v>38138.720000000001</v>
      </c>
      <c r="C1046" s="24">
        <v>38138.720000000001</v>
      </c>
      <c r="D1046" s="23">
        <f t="shared" si="16"/>
        <v>1.152124842137356E-3</v>
      </c>
      <c r="F1046" s="22"/>
      <c r="I1046" s="21"/>
      <c r="K1046" s="22"/>
      <c r="L1046" s="24"/>
      <c r="M1046" s="24"/>
      <c r="N1046" s="21"/>
      <c r="P1046" s="22"/>
      <c r="S1046" s="21"/>
    </row>
    <row r="1047" spans="1:19" x14ac:dyDescent="0.35">
      <c r="A1047" s="25">
        <v>46015</v>
      </c>
      <c r="B1047" s="24">
        <v>38067.120000000003</v>
      </c>
      <c r="C1047" s="24">
        <v>38067.120000000003</v>
      </c>
      <c r="D1047" s="23">
        <f t="shared" si="16"/>
        <v>-1.8773571845095624E-3</v>
      </c>
      <c r="F1047" s="22"/>
      <c r="I1047" s="21"/>
      <c r="K1047" s="22"/>
      <c r="L1047" s="24"/>
      <c r="M1047" s="24"/>
      <c r="N1047" s="21"/>
      <c r="P1047" s="22"/>
      <c r="S1047" s="21"/>
    </row>
    <row r="1048" spans="1:19" x14ac:dyDescent="0.35">
      <c r="A1048" s="25">
        <v>46017</v>
      </c>
      <c r="B1048" s="24">
        <v>37955.379999999997</v>
      </c>
      <c r="C1048" s="24">
        <v>37955.379999999997</v>
      </c>
      <c r="D1048" s="23">
        <f t="shared" si="16"/>
        <v>-2.9353415756171002E-3</v>
      </c>
      <c r="F1048" s="22"/>
      <c r="I1048" s="21"/>
      <c r="K1048" s="22"/>
      <c r="L1048" s="24"/>
      <c r="M1048" s="24"/>
      <c r="N1048" s="21"/>
      <c r="P1048" s="22"/>
      <c r="S1048" s="21"/>
    </row>
    <row r="1049" spans="1:19" x14ac:dyDescent="0.35">
      <c r="A1049" s="25">
        <v>46020</v>
      </c>
      <c r="B1049" s="24">
        <v>37798.74</v>
      </c>
      <c r="C1049" s="24">
        <v>37798.74</v>
      </c>
      <c r="D1049" s="23">
        <f t="shared" si="16"/>
        <v>-4.1269511726664161E-3</v>
      </c>
      <c r="F1049" s="22"/>
      <c r="I1049" s="21"/>
      <c r="K1049" s="22"/>
      <c r="L1049" s="24"/>
      <c r="M1049" s="24"/>
      <c r="N1049" s="21"/>
      <c r="P1049" s="22"/>
      <c r="S1049" s="21"/>
    </row>
    <row r="1050" spans="1:19" x14ac:dyDescent="0.35">
      <c r="A1050" s="25">
        <v>46021</v>
      </c>
      <c r="B1050" s="24">
        <v>37777.449999999997</v>
      </c>
      <c r="C1050" s="24">
        <v>37777.449999999997</v>
      </c>
      <c r="D1050" s="23">
        <f t="shared" si="16"/>
        <v>-5.6324628810380643E-4</v>
      </c>
      <c r="F1050" s="22"/>
      <c r="I1050" s="21"/>
      <c r="K1050" s="22"/>
      <c r="L1050" s="24"/>
      <c r="M1050" s="24"/>
      <c r="N1050" s="21"/>
      <c r="P1050" s="22"/>
      <c r="S1050" s="21"/>
    </row>
    <row r="1051" spans="1:19" x14ac:dyDescent="0.35">
      <c r="A1051" s="25">
        <v>46022</v>
      </c>
      <c r="B1051" s="24">
        <v>38101.06</v>
      </c>
      <c r="C1051" s="24">
        <v>38101.06</v>
      </c>
      <c r="D1051" s="23">
        <f t="shared" si="16"/>
        <v>8.5662213833914303E-3</v>
      </c>
      <c r="F1051" s="22"/>
      <c r="I1051" s="21"/>
      <c r="K1051" s="22"/>
      <c r="L1051" s="24"/>
      <c r="M1051" s="24"/>
      <c r="N1051" s="21"/>
      <c r="P1051" s="22"/>
      <c r="S1051" s="21"/>
    </row>
    <row r="1052" spans="1:19" x14ac:dyDescent="0.35">
      <c r="A1052" s="25">
        <v>46023</v>
      </c>
      <c r="B1052" s="24">
        <v>38161.769999999997</v>
      </c>
      <c r="C1052" s="24">
        <v>38161.769999999997</v>
      </c>
      <c r="D1052" s="23">
        <f t="shared" si="16"/>
        <v>1.5933939895635221E-3</v>
      </c>
      <c r="F1052" s="22"/>
      <c r="I1052" s="21"/>
      <c r="K1052" s="22"/>
      <c r="L1052" s="24"/>
      <c r="M1052" s="24"/>
      <c r="N1052" s="21"/>
      <c r="P1052" s="22"/>
      <c r="S1052" s="21"/>
    </row>
    <row r="1053" spans="1:19" x14ac:dyDescent="0.35">
      <c r="A1053" s="25">
        <v>46024</v>
      </c>
      <c r="B1053" s="24">
        <v>38464.1</v>
      </c>
      <c r="C1053" s="24">
        <v>38464.1</v>
      </c>
      <c r="D1053" s="23">
        <f t="shared" si="16"/>
        <v>7.9223264539354903E-3</v>
      </c>
      <c r="F1053" s="22"/>
      <c r="I1053" s="21"/>
      <c r="K1053" s="22"/>
      <c r="L1053" s="24"/>
      <c r="M1053" s="24"/>
      <c r="N1053" s="21"/>
      <c r="P1053" s="22"/>
      <c r="S1053" s="21"/>
    </row>
    <row r="1054" spans="1:19" x14ac:dyDescent="0.35">
      <c r="A1054" s="25">
        <v>46027</v>
      </c>
      <c r="B1054" s="24">
        <v>38399.370000000003</v>
      </c>
      <c r="C1054" s="24">
        <v>38399.370000000003</v>
      </c>
      <c r="D1054" s="23">
        <f t="shared" si="16"/>
        <v>-1.6828679209963558E-3</v>
      </c>
      <c r="F1054" s="22"/>
      <c r="I1054" s="21"/>
      <c r="K1054" s="22"/>
      <c r="L1054" s="24"/>
      <c r="M1054" s="24"/>
      <c r="N1054" s="21"/>
      <c r="P1054" s="22"/>
      <c r="S1054" s="21"/>
    </row>
    <row r="1055" spans="1:19" x14ac:dyDescent="0.35">
      <c r="A1055" s="25">
        <v>46028</v>
      </c>
      <c r="B1055" s="24">
        <v>38322.83</v>
      </c>
      <c r="C1055" s="24">
        <v>38322.83</v>
      </c>
      <c r="D1055" s="23">
        <f t="shared" si="16"/>
        <v>-1.9932618686192213E-3</v>
      </c>
      <c r="F1055" s="22"/>
      <c r="I1055" s="21"/>
      <c r="K1055" s="22"/>
      <c r="L1055" s="24"/>
      <c r="M1055" s="24"/>
      <c r="N1055" s="21"/>
      <c r="P1055" s="22"/>
      <c r="S1055" s="21"/>
    </row>
    <row r="1056" spans="1:19" x14ac:dyDescent="0.35">
      <c r="A1056" s="25">
        <v>46029</v>
      </c>
      <c r="B1056" s="24">
        <v>38332.629999999997</v>
      </c>
      <c r="C1056" s="24">
        <v>38332.629999999997</v>
      </c>
      <c r="D1056" s="23">
        <f t="shared" si="16"/>
        <v>2.5572224180718474E-4</v>
      </c>
      <c r="F1056" s="22"/>
      <c r="I1056" s="21"/>
      <c r="K1056" s="22"/>
      <c r="L1056" s="24"/>
      <c r="M1056" s="24"/>
      <c r="N1056" s="21"/>
      <c r="P1056" s="22"/>
      <c r="S1056" s="21"/>
    </row>
    <row r="1057" spans="1:19" x14ac:dyDescent="0.35">
      <c r="A1057" s="25">
        <v>46030</v>
      </c>
      <c r="B1057" s="24">
        <v>37795.550000000003</v>
      </c>
      <c r="C1057" s="24">
        <v>37795.550000000003</v>
      </c>
      <c r="D1057" s="23">
        <f t="shared" si="16"/>
        <v>-1.4011039680814869E-2</v>
      </c>
      <c r="F1057" s="22"/>
      <c r="I1057" s="21"/>
      <c r="K1057" s="22"/>
      <c r="L1057" s="24"/>
      <c r="M1057" s="24"/>
      <c r="N1057" s="21"/>
      <c r="P1057" s="22"/>
      <c r="S1057" s="21"/>
    </row>
    <row r="1058" spans="1:19" x14ac:dyDescent="0.35">
      <c r="A1058" s="25">
        <v>46031</v>
      </c>
      <c r="B1058" s="24">
        <v>37455.919999999998</v>
      </c>
      <c r="C1058" s="24">
        <v>37455.919999999998</v>
      </c>
      <c r="D1058" s="23">
        <f t="shared" si="16"/>
        <v>-8.9859785080519967E-3</v>
      </c>
      <c r="F1058" s="22"/>
      <c r="I1058" s="21"/>
      <c r="K1058" s="22"/>
      <c r="L1058" s="24"/>
      <c r="M1058" s="24"/>
      <c r="N1058" s="21"/>
      <c r="P1058" s="22"/>
      <c r="S1058" s="21"/>
    </row>
    <row r="1059" spans="1:19" x14ac:dyDescent="0.35">
      <c r="A1059" s="25">
        <v>46034</v>
      </c>
      <c r="B1059" s="24">
        <v>37524.71</v>
      </c>
      <c r="C1059" s="24">
        <v>37524.71</v>
      </c>
      <c r="D1059" s="23">
        <f t="shared" si="16"/>
        <v>1.8365588136668616E-3</v>
      </c>
      <c r="F1059" s="22"/>
      <c r="I1059" s="21"/>
      <c r="K1059" s="22"/>
      <c r="L1059" s="24"/>
      <c r="M1059" s="24"/>
      <c r="N1059" s="21"/>
      <c r="P1059" s="22"/>
      <c r="S1059" s="21"/>
    </row>
    <row r="1060" spans="1:19" x14ac:dyDescent="0.35">
      <c r="A1060" s="25">
        <v>46035</v>
      </c>
      <c r="B1060" s="24">
        <v>37477.21</v>
      </c>
      <c r="C1060" s="24">
        <v>37477.21</v>
      </c>
      <c r="D1060" s="23">
        <f t="shared" si="16"/>
        <v>-1.2658325673935921E-3</v>
      </c>
      <c r="F1060" s="22"/>
      <c r="I1060" s="21"/>
      <c r="K1060" s="22"/>
      <c r="L1060" s="24"/>
      <c r="M1060" s="24"/>
      <c r="N1060" s="21"/>
      <c r="P1060" s="22"/>
      <c r="S1060" s="21"/>
    </row>
    <row r="1061" spans="1:19" x14ac:dyDescent="0.35">
      <c r="A1061" s="25">
        <v>46036</v>
      </c>
      <c r="B1061" s="24">
        <v>37469.5</v>
      </c>
      <c r="C1061" s="24">
        <v>37469.5</v>
      </c>
      <c r="D1061" s="23">
        <f t="shared" si="16"/>
        <v>-2.0572502595575089E-4</v>
      </c>
      <c r="F1061" s="22"/>
      <c r="I1061" s="21"/>
      <c r="K1061" s="22"/>
      <c r="L1061" s="24"/>
      <c r="M1061" s="24"/>
      <c r="N1061" s="21"/>
      <c r="P1061" s="22"/>
      <c r="S1061" s="21"/>
    </row>
    <row r="1062" spans="1:19" x14ac:dyDescent="0.35">
      <c r="A1062" s="25">
        <v>46038</v>
      </c>
      <c r="B1062" s="24">
        <v>37498.019999999997</v>
      </c>
      <c r="C1062" s="24">
        <v>37498.019999999997</v>
      </c>
      <c r="D1062" s="23">
        <f t="shared" si="16"/>
        <v>7.6115240395513146E-4</v>
      </c>
      <c r="F1062" s="22"/>
      <c r="I1062" s="21"/>
      <c r="K1062" s="22"/>
      <c r="L1062" s="24"/>
      <c r="M1062" s="24"/>
      <c r="N1062" s="21"/>
      <c r="P1062" s="22"/>
      <c r="S1062" s="21"/>
    </row>
    <row r="1063" spans="1:19" x14ac:dyDescent="0.35">
      <c r="A1063" s="25">
        <v>46041</v>
      </c>
      <c r="B1063" s="24">
        <v>37319.93</v>
      </c>
      <c r="C1063" s="24">
        <v>37319.93</v>
      </c>
      <c r="D1063" s="23">
        <f t="shared" si="16"/>
        <v>-4.7493174306269112E-3</v>
      </c>
      <c r="F1063" s="22"/>
      <c r="I1063" s="21"/>
      <c r="K1063" s="22"/>
      <c r="L1063" s="24"/>
      <c r="M1063" s="24"/>
      <c r="N1063" s="21"/>
      <c r="P1063" s="22"/>
      <c r="S1063" s="21"/>
    </row>
    <row r="1064" spans="1:19" x14ac:dyDescent="0.35">
      <c r="A1064" s="25">
        <v>46042</v>
      </c>
      <c r="B1064" s="24">
        <v>36638.57</v>
      </c>
      <c r="C1064" s="24">
        <v>36638.57</v>
      </c>
      <c r="D1064" s="23">
        <f t="shared" si="16"/>
        <v>-1.8257268971297657E-2</v>
      </c>
      <c r="F1064" s="22"/>
      <c r="I1064" s="21"/>
      <c r="K1064" s="22"/>
      <c r="L1064" s="24"/>
      <c r="M1064" s="24"/>
      <c r="N1064" s="21"/>
      <c r="P1064" s="22"/>
      <c r="S1064" s="21"/>
    </row>
    <row r="1065" spans="1:19" x14ac:dyDescent="0.35">
      <c r="A1065" s="25">
        <v>46044</v>
      </c>
      <c r="B1065" s="24">
        <v>36738.03</v>
      </c>
      <c r="C1065" s="24">
        <v>36738.03</v>
      </c>
      <c r="D1065" s="23">
        <f t="shared" si="16"/>
        <v>2.7146255981060157E-3</v>
      </c>
      <c r="F1065" s="22"/>
      <c r="I1065" s="21"/>
      <c r="K1065" s="22"/>
      <c r="L1065" s="24"/>
      <c r="M1065" s="24"/>
      <c r="N1065" s="21"/>
      <c r="P1065" s="22"/>
      <c r="S1065" s="21"/>
    </row>
    <row r="1066" spans="1:19" x14ac:dyDescent="0.35">
      <c r="A1066" s="25">
        <v>46045</v>
      </c>
      <c r="B1066" s="24">
        <v>36255.230000000003</v>
      </c>
      <c r="C1066" s="24">
        <v>36255.230000000003</v>
      </c>
      <c r="D1066" s="23">
        <f t="shared" si="16"/>
        <v>-1.3141695403917839E-2</v>
      </c>
      <c r="F1066" s="22"/>
      <c r="I1066" s="21"/>
      <c r="K1066" s="22"/>
      <c r="L1066" s="24"/>
      <c r="M1066" s="24"/>
      <c r="N1066" s="21"/>
      <c r="P1066" s="22"/>
      <c r="S1066" s="21"/>
    </row>
    <row r="1067" spans="1:19" x14ac:dyDescent="0.35">
      <c r="A1067" s="25">
        <v>46049</v>
      </c>
      <c r="B1067" s="24">
        <v>36436.730000000003</v>
      </c>
      <c r="C1067" s="24">
        <v>36436.730000000003</v>
      </c>
      <c r="D1067" s="23">
        <f t="shared" si="16"/>
        <v>5.0061742816139903E-3</v>
      </c>
      <c r="F1067" s="22"/>
      <c r="I1067" s="21"/>
      <c r="K1067" s="22"/>
      <c r="L1067" s="24"/>
      <c r="M1067" s="24"/>
      <c r="N1067" s="21"/>
      <c r="P1067" s="22"/>
      <c r="S1067" s="21"/>
    </row>
    <row r="1068" spans="1:19" x14ac:dyDescent="0.35">
      <c r="A1068" s="25">
        <v>46050</v>
      </c>
      <c r="B1068" s="24">
        <v>36856.46</v>
      </c>
      <c r="C1068" s="24">
        <v>36856.46</v>
      </c>
      <c r="D1068" s="23">
        <f t="shared" si="16"/>
        <v>1.1519420101639085E-2</v>
      </c>
      <c r="F1068" s="22"/>
      <c r="I1068" s="21"/>
      <c r="K1068" s="22"/>
      <c r="L1068" s="24"/>
      <c r="M1068" s="24"/>
      <c r="N1068" s="21"/>
      <c r="P1068" s="22"/>
      <c r="S1068" s="21"/>
    </row>
    <row r="1069" spans="1:19" x14ac:dyDescent="0.35">
      <c r="A1069" s="25">
        <v>46051</v>
      </c>
      <c r="B1069" s="24">
        <v>36940.9</v>
      </c>
      <c r="C1069" s="24">
        <v>36940.9</v>
      </c>
      <c r="D1069" s="23">
        <f t="shared" si="16"/>
        <v>2.2910501985269971E-3</v>
      </c>
      <c r="F1069" s="22"/>
      <c r="I1069" s="21"/>
      <c r="K1069" s="22"/>
      <c r="L1069" s="24"/>
      <c r="M1069" s="24"/>
      <c r="N1069" s="21"/>
      <c r="P1069" s="22"/>
      <c r="S1069" s="21"/>
    </row>
    <row r="1070" spans="1:19" x14ac:dyDescent="0.35">
      <c r="A1070" s="25">
        <v>46052</v>
      </c>
      <c r="B1070" s="24">
        <v>36853.919999999998</v>
      </c>
      <c r="C1070" s="24">
        <v>36853.919999999998</v>
      </c>
      <c r="D1070" s="23">
        <f t="shared" si="16"/>
        <v>-2.3545717619225088E-3</v>
      </c>
      <c r="F1070" s="22"/>
      <c r="I1070" s="21"/>
      <c r="K1070" s="22"/>
      <c r="L1070" s="24"/>
      <c r="M1070" s="24"/>
      <c r="N1070" s="21"/>
      <c r="P1070" s="22"/>
      <c r="S1070" s="21"/>
    </row>
    <row r="1071" spans="1:19" x14ac:dyDescent="0.35">
      <c r="A1071" s="25">
        <v>46054</v>
      </c>
      <c r="B1071" s="24">
        <v>36106.269999999997</v>
      </c>
      <c r="C1071" s="24">
        <v>36106.269999999997</v>
      </c>
      <c r="D1071" s="23">
        <f t="shared" si="16"/>
        <v>-2.0286851439412727E-2</v>
      </c>
      <c r="F1071" s="22"/>
      <c r="I1071" s="21"/>
      <c r="K1071" s="22"/>
      <c r="L1071" s="24"/>
      <c r="M1071" s="24"/>
      <c r="N1071" s="21"/>
      <c r="P1071" s="22"/>
      <c r="S1071" s="21"/>
    </row>
    <row r="1072" spans="1:19" x14ac:dyDescent="0.35">
      <c r="A1072" s="25">
        <v>46055</v>
      </c>
      <c r="B1072" s="24">
        <v>36466.76</v>
      </c>
      <c r="C1072" s="24">
        <v>36466.76</v>
      </c>
      <c r="D1072" s="23">
        <f t="shared" si="16"/>
        <v>9.9841384889661905E-3</v>
      </c>
      <c r="F1072" s="22"/>
      <c r="I1072" s="21"/>
      <c r="K1072" s="22"/>
      <c r="L1072" s="24"/>
      <c r="M1072" s="24"/>
      <c r="N1072" s="21"/>
      <c r="P1072" s="22"/>
      <c r="S1072" s="21"/>
    </row>
    <row r="1073" spans="1:19" x14ac:dyDescent="0.35">
      <c r="A1073" s="25">
        <v>46056</v>
      </c>
      <c r="B1073" s="24">
        <v>37439.870000000003</v>
      </c>
      <c r="C1073" s="24">
        <v>37439.870000000003</v>
      </c>
      <c r="D1073" s="23">
        <f t="shared" si="16"/>
        <v>2.6684849435485922E-2</v>
      </c>
      <c r="F1073" s="22"/>
      <c r="I1073" s="21"/>
      <c r="K1073" s="22"/>
      <c r="L1073" s="24"/>
      <c r="M1073" s="24"/>
      <c r="N1073" s="21"/>
      <c r="P1073" s="22"/>
      <c r="S1073" s="21"/>
    </row>
    <row r="1074" spans="1:19" x14ac:dyDescent="0.35">
      <c r="A1074" s="25">
        <v>46057</v>
      </c>
      <c r="B1074" s="24">
        <v>37582.1</v>
      </c>
      <c r="C1074" s="24">
        <v>37582.1</v>
      </c>
      <c r="D1074" s="23">
        <f t="shared" si="16"/>
        <v>3.7988913957232202E-3</v>
      </c>
      <c r="F1074" s="22"/>
      <c r="I1074" s="21"/>
      <c r="K1074" s="22"/>
      <c r="L1074" s="24"/>
      <c r="M1074" s="24"/>
      <c r="N1074" s="21"/>
      <c r="P1074" s="22"/>
      <c r="S1074" s="21"/>
    </row>
    <row r="1075" spans="1:19" x14ac:dyDescent="0.35">
      <c r="A1075" s="25">
        <v>46058</v>
      </c>
      <c r="B1075" s="24">
        <v>37388</v>
      </c>
      <c r="C1075" s="24">
        <v>37388</v>
      </c>
      <c r="D1075" s="23">
        <f t="shared" si="16"/>
        <v>-5.1646927659709952E-3</v>
      </c>
      <c r="F1075" s="22"/>
      <c r="I1075" s="21"/>
      <c r="K1075" s="22"/>
      <c r="L1075" s="24"/>
      <c r="M1075" s="24"/>
      <c r="N1075" s="21"/>
      <c r="P1075" s="22"/>
      <c r="S1075" s="21"/>
    </row>
    <row r="1076" spans="1:19" x14ac:dyDescent="0.35">
      <c r="A1076" s="25">
        <v>46059</v>
      </c>
      <c r="B1076" s="24">
        <v>37429.300000000003</v>
      </c>
      <c r="C1076" s="24">
        <v>37429.300000000003</v>
      </c>
      <c r="D1076" s="23">
        <f t="shared" si="16"/>
        <v>1.1046325024072674E-3</v>
      </c>
      <c r="F1076" s="22"/>
      <c r="I1076" s="21"/>
      <c r="K1076" s="22"/>
      <c r="L1076" s="24"/>
      <c r="M1076" s="24"/>
      <c r="N1076" s="21"/>
      <c r="P1076" s="22"/>
      <c r="S1076" s="21"/>
    </row>
    <row r="1077" spans="1:19" x14ac:dyDescent="0.35">
      <c r="A1077" s="25">
        <v>46062</v>
      </c>
      <c r="B1077" s="24">
        <v>37830.83</v>
      </c>
      <c r="C1077" s="24">
        <v>37830.83</v>
      </c>
      <c r="D1077" s="23">
        <f t="shared" si="16"/>
        <v>1.0727691941874382E-2</v>
      </c>
      <c r="F1077" s="22"/>
      <c r="I1077" s="21"/>
      <c r="K1077" s="22"/>
      <c r="L1077" s="24"/>
      <c r="M1077" s="24"/>
      <c r="N1077" s="21"/>
      <c r="P1077" s="22"/>
      <c r="S1077" s="21"/>
    </row>
    <row r="1078" spans="1:19" x14ac:dyDescent="0.35">
      <c r="A1078" s="25">
        <v>46063</v>
      </c>
      <c r="B1078" s="24">
        <v>37944.589999999997</v>
      </c>
      <c r="C1078" s="24">
        <v>37944.589999999997</v>
      </c>
      <c r="D1078" s="23">
        <f t="shared" si="16"/>
        <v>3.0070712167825754E-3</v>
      </c>
      <c r="F1078" s="22"/>
      <c r="I1078" s="21"/>
      <c r="K1078" s="22"/>
      <c r="L1078" s="24"/>
      <c r="M1078" s="24"/>
      <c r="N1078" s="21"/>
      <c r="P1078" s="22"/>
      <c r="S1078" s="21"/>
    </row>
    <row r="1079" spans="1:19" x14ac:dyDescent="0.35">
      <c r="A1079" s="25">
        <v>46064</v>
      </c>
      <c r="B1079" s="24">
        <v>37995.17</v>
      </c>
      <c r="C1079" s="24">
        <v>37995.17</v>
      </c>
      <c r="D1079" s="23">
        <f t="shared" si="16"/>
        <v>1.3329963507314679E-3</v>
      </c>
      <c r="F1079" s="22"/>
      <c r="I1079" s="21"/>
      <c r="K1079" s="22"/>
      <c r="L1079" s="24"/>
      <c r="M1079" s="24"/>
      <c r="N1079" s="21"/>
      <c r="P1079" s="22"/>
      <c r="S1079" s="21"/>
    </row>
    <row r="1080" spans="1:19" x14ac:dyDescent="0.35">
      <c r="A1080" s="25">
        <v>46065</v>
      </c>
      <c r="B1080" s="24">
        <v>37785.120000000003</v>
      </c>
      <c r="C1080" s="24">
        <v>37785.120000000003</v>
      </c>
      <c r="D1080" s="23">
        <f t="shared" si="16"/>
        <v>-5.5283342593281104E-3</v>
      </c>
      <c r="F1080" s="22"/>
      <c r="I1080" s="21"/>
      <c r="K1080" s="22"/>
      <c r="L1080" s="24"/>
      <c r="M1080" s="24"/>
      <c r="N1080" s="21"/>
      <c r="P1080" s="22"/>
      <c r="S1080" s="21"/>
    </row>
    <row r="1081" spans="1:19" x14ac:dyDescent="0.35">
      <c r="A1081" s="25">
        <v>46066</v>
      </c>
      <c r="B1081" s="24">
        <v>37245.019999999997</v>
      </c>
      <c r="C1081" s="24">
        <v>37245.019999999997</v>
      </c>
      <c r="D1081" s="23">
        <f t="shared" si="16"/>
        <v>-1.4293986627540306E-2</v>
      </c>
      <c r="F1081" s="22"/>
      <c r="I1081" s="21"/>
      <c r="K1081" s="22"/>
      <c r="L1081" s="24"/>
      <c r="M1081" s="24"/>
      <c r="N1081" s="21"/>
      <c r="P1081" s="22"/>
      <c r="S1081" s="21"/>
    </row>
    <row r="1082" spans="1:19" x14ac:dyDescent="0.35">
      <c r="A1082" s="25">
        <v>46069</v>
      </c>
      <c r="B1082" s="24">
        <v>37500.33</v>
      </c>
      <c r="C1082" s="24">
        <v>37500.33</v>
      </c>
      <c r="D1082" s="23">
        <f t="shared" si="16"/>
        <v>6.8548761686798654E-3</v>
      </c>
      <c r="F1082" s="22"/>
      <c r="I1082" s="21"/>
      <c r="K1082" s="22"/>
      <c r="L1082" s="24"/>
      <c r="M1082" s="24"/>
      <c r="N1082" s="21"/>
      <c r="P1082" s="22"/>
      <c r="S1082" s="21"/>
    </row>
    <row r="1083" spans="1:19" x14ac:dyDescent="0.35">
      <c r="A1083" s="25">
        <v>46070</v>
      </c>
      <c r="B1083" s="24">
        <v>37608.58</v>
      </c>
      <c r="C1083" s="24">
        <v>37608.58</v>
      </c>
      <c r="D1083" s="23">
        <f t="shared" si="16"/>
        <v>2.8866412642235412E-3</v>
      </c>
      <c r="F1083" s="22"/>
      <c r="I1083" s="21"/>
      <c r="K1083" s="22"/>
      <c r="L1083" s="24"/>
      <c r="M1083" s="24"/>
      <c r="N1083" s="21"/>
      <c r="P1083" s="22"/>
      <c r="S1083" s="21"/>
    </row>
    <row r="1084" spans="1:19" x14ac:dyDescent="0.35">
      <c r="A1084" s="25">
        <v>46071</v>
      </c>
      <c r="B1084" s="24">
        <v>37783.040000000001</v>
      </c>
      <c r="C1084" s="24">
        <v>37783.040000000001</v>
      </c>
      <c r="D1084" s="23">
        <f t="shared" si="16"/>
        <v>4.6388350743367373E-3</v>
      </c>
      <c r="F1084" s="22"/>
      <c r="I1084" s="21"/>
      <c r="K1084" s="22"/>
      <c r="L1084" s="24"/>
      <c r="M1084" s="24"/>
      <c r="N1084" s="21"/>
      <c r="P1084" s="22"/>
      <c r="S1084" s="21"/>
    </row>
    <row r="1085" spans="1:19" x14ac:dyDescent="0.35">
      <c r="A1085" s="25">
        <v>46072</v>
      </c>
      <c r="B1085" s="24">
        <v>37226.449999999997</v>
      </c>
      <c r="C1085" s="24">
        <v>37226.449999999997</v>
      </c>
      <c r="D1085" s="23">
        <f t="shared" si="16"/>
        <v>-1.4731212734602716E-2</v>
      </c>
      <c r="F1085" s="22"/>
      <c r="I1085" s="21"/>
      <c r="K1085" s="22"/>
      <c r="L1085" s="24"/>
      <c r="M1085" s="24"/>
      <c r="N1085" s="21"/>
      <c r="P1085" s="22"/>
      <c r="S1085" s="21"/>
    </row>
    <row r="1086" spans="1:19" x14ac:dyDescent="0.35">
      <c r="A1086" s="25">
        <v>46073</v>
      </c>
      <c r="B1086" s="24">
        <v>37384.870000000003</v>
      </c>
      <c r="C1086" s="24">
        <v>37384.870000000003</v>
      </c>
      <c r="D1086" s="23">
        <f t="shared" si="16"/>
        <v>4.2555763442392583E-3</v>
      </c>
      <c r="F1086" s="22"/>
      <c r="I1086" s="21"/>
      <c r="K1086" s="22"/>
      <c r="L1086" s="24"/>
      <c r="M1086" s="24"/>
      <c r="N1086" s="21"/>
      <c r="P1086" s="22"/>
      <c r="S1086" s="21"/>
    </row>
    <row r="1087" spans="1:19" x14ac:dyDescent="0.35">
      <c r="A1087" s="25">
        <v>46076</v>
      </c>
      <c r="B1087" s="24">
        <v>37528.69</v>
      </c>
      <c r="C1087" s="24">
        <v>37528.69</v>
      </c>
      <c r="D1087" s="23">
        <f t="shared" si="16"/>
        <v>3.8470108362019099E-3</v>
      </c>
      <c r="F1087" s="22"/>
      <c r="I1087" s="21"/>
      <c r="K1087" s="22"/>
      <c r="L1087" s="24"/>
      <c r="M1087" s="24"/>
      <c r="N1087" s="21"/>
      <c r="P1087" s="22"/>
      <c r="S1087" s="21"/>
    </row>
    <row r="1088" spans="1:19" x14ac:dyDescent="0.35">
      <c r="A1088" s="25">
        <v>46077</v>
      </c>
      <c r="B1088" s="24">
        <v>37240.51</v>
      </c>
      <c r="C1088" s="24">
        <v>37240.51</v>
      </c>
      <c r="D1088" s="23">
        <f t="shared" si="16"/>
        <v>-7.6789251103622398E-3</v>
      </c>
      <c r="F1088" s="22"/>
      <c r="I1088" s="21"/>
      <c r="K1088" s="22"/>
      <c r="L1088" s="24"/>
      <c r="M1088" s="24"/>
      <c r="N1088" s="21"/>
      <c r="P1088" s="22"/>
      <c r="S1088" s="21"/>
    </row>
    <row r="1089" spans="1:19" x14ac:dyDescent="0.35">
      <c r="A1089" s="25">
        <v>46078</v>
      </c>
      <c r="B1089" s="24">
        <v>37399.019999999997</v>
      </c>
      <c r="C1089" s="24">
        <v>37399.019999999997</v>
      </c>
      <c r="D1089" s="23">
        <f t="shared" si="16"/>
        <v>4.2563863921303647E-3</v>
      </c>
      <c r="F1089" s="22"/>
      <c r="I1089" s="21"/>
      <c r="K1089" s="22"/>
      <c r="L1089" s="24"/>
      <c r="M1089" s="24"/>
      <c r="N1089" s="21"/>
      <c r="P1089" s="22"/>
      <c r="S1089" s="21"/>
    </row>
    <row r="1090" spans="1:19" x14ac:dyDescent="0.35">
      <c r="A1090" s="25">
        <v>46079</v>
      </c>
      <c r="B1090" s="24">
        <v>37470.480000000003</v>
      </c>
      <c r="C1090" s="24">
        <v>37470.480000000003</v>
      </c>
      <c r="D1090" s="23">
        <f t="shared" si="16"/>
        <v>1.9107452548223565E-3</v>
      </c>
      <c r="F1090" s="22"/>
      <c r="I1090" s="21"/>
      <c r="K1090" s="22"/>
      <c r="L1090" s="24"/>
      <c r="M1090" s="24"/>
      <c r="N1090" s="21"/>
      <c r="P1090" s="22"/>
      <c r="S1090" s="21"/>
    </row>
    <row r="1091" spans="1:19" x14ac:dyDescent="0.35">
      <c r="A1091" s="25">
        <v>46080</v>
      </c>
      <c r="B1091" s="24">
        <v>37020.379999999997</v>
      </c>
      <c r="C1091" s="24">
        <v>37020.379999999997</v>
      </c>
      <c r="D1091" s="23">
        <f t="shared" ref="D1091:D1154" si="17">(B1091-B1090)/B1090</f>
        <v>-1.2012122609585086E-2</v>
      </c>
      <c r="F1091" s="22"/>
      <c r="I1091" s="21"/>
      <c r="K1091" s="22"/>
      <c r="L1091" s="24"/>
      <c r="M1091" s="24"/>
      <c r="N1091" s="21"/>
      <c r="P1091" s="22"/>
      <c r="S1091" s="21"/>
    </row>
    <row r="1092" spans="1:19" x14ac:dyDescent="0.35">
      <c r="A1092" s="25">
        <v>46083</v>
      </c>
      <c r="B1092" s="24">
        <v>36491.589999999997</v>
      </c>
      <c r="C1092" s="24">
        <v>36491.589999999997</v>
      </c>
      <c r="D1092" s="23">
        <f t="shared" si="17"/>
        <v>-1.4283753975512972E-2</v>
      </c>
      <c r="F1092" s="22"/>
      <c r="I1092" s="21"/>
      <c r="K1092" s="22"/>
      <c r="L1092" s="24"/>
      <c r="M1092" s="24"/>
      <c r="N1092" s="21"/>
      <c r="P1092" s="22"/>
      <c r="S1092" s="21"/>
    </row>
    <row r="1093" spans="1:19" x14ac:dyDescent="0.35">
      <c r="A1093" s="25">
        <v>46085</v>
      </c>
      <c r="B1093" s="24">
        <v>35810.620000000003</v>
      </c>
      <c r="C1093" s="24">
        <v>35810.620000000003</v>
      </c>
      <c r="D1093" s="23">
        <f t="shared" si="17"/>
        <v>-1.8661012030443014E-2</v>
      </c>
      <c r="F1093" s="22"/>
      <c r="I1093" s="21"/>
      <c r="K1093" s="22"/>
      <c r="L1093" s="24"/>
      <c r="M1093" s="24"/>
      <c r="N1093" s="21"/>
      <c r="P1093" s="22"/>
      <c r="S1093" s="21"/>
    </row>
    <row r="1094" spans="1:19" x14ac:dyDescent="0.35">
      <c r="A1094" s="25">
        <v>46086</v>
      </c>
      <c r="B1094" s="24">
        <v>36270.839999999997</v>
      </c>
      <c r="C1094" s="24">
        <v>36270.839999999997</v>
      </c>
      <c r="D1094" s="23">
        <f t="shared" si="17"/>
        <v>1.2851494891738648E-2</v>
      </c>
      <c r="F1094" s="22"/>
      <c r="I1094" s="21"/>
      <c r="K1094" s="22"/>
      <c r="L1094" s="24"/>
      <c r="M1094" s="24"/>
      <c r="N1094" s="21"/>
      <c r="P1094" s="22"/>
      <c r="S1094" s="21"/>
    </row>
    <row r="1095" spans="1:19" x14ac:dyDescent="0.35">
      <c r="A1095" s="25">
        <v>46087</v>
      </c>
      <c r="B1095" s="24">
        <v>35926.53</v>
      </c>
      <c r="C1095" s="24">
        <v>35926.53</v>
      </c>
      <c r="D1095" s="23">
        <f t="shared" si="17"/>
        <v>-9.4927495475703814E-3</v>
      </c>
      <c r="F1095" s="22"/>
      <c r="I1095" s="21"/>
      <c r="K1095" s="22"/>
      <c r="L1095" s="24"/>
      <c r="M1095" s="24"/>
      <c r="N1095" s="21"/>
      <c r="P1095" s="22"/>
      <c r="S1095" s="21"/>
    </row>
    <row r="1096" spans="1:19" x14ac:dyDescent="0.35">
      <c r="A1096" s="25">
        <v>46090</v>
      </c>
      <c r="B1096" s="24">
        <v>35247.72</v>
      </c>
      <c r="C1096" s="24">
        <v>35247.72</v>
      </c>
      <c r="D1096" s="23">
        <f t="shared" si="17"/>
        <v>-1.8894393641690353E-2</v>
      </c>
      <c r="F1096" s="22"/>
      <c r="I1096" s="21"/>
      <c r="K1096" s="22"/>
      <c r="L1096" s="24"/>
      <c r="M1096" s="24"/>
      <c r="N1096" s="21"/>
      <c r="P1096" s="22"/>
      <c r="S1096" s="21"/>
    </row>
    <row r="1097" spans="1:19" x14ac:dyDescent="0.35">
      <c r="A1097" s="25">
        <v>46091</v>
      </c>
      <c r="B1097" s="24">
        <v>35705.47</v>
      </c>
      <c r="C1097" s="24">
        <v>35705.47</v>
      </c>
      <c r="D1097" s="23">
        <f t="shared" si="17"/>
        <v>1.2986655590772963E-2</v>
      </c>
      <c r="F1097" s="22"/>
      <c r="I1097" s="21"/>
      <c r="K1097" s="22"/>
      <c r="L1097" s="24"/>
      <c r="M1097" s="24"/>
      <c r="N1097" s="21"/>
      <c r="P1097" s="22"/>
      <c r="S1097" s="21"/>
    </row>
    <row r="1098" spans="1:19" x14ac:dyDescent="0.35">
      <c r="A1098" s="25">
        <v>46092</v>
      </c>
      <c r="B1098" s="24">
        <v>35225.15</v>
      </c>
      <c r="C1098" s="24">
        <v>35225.15</v>
      </c>
      <c r="D1098" s="23">
        <f t="shared" si="17"/>
        <v>-1.3452280560933652E-2</v>
      </c>
      <c r="F1098" s="22"/>
      <c r="I1098" s="21"/>
      <c r="K1098" s="22"/>
      <c r="L1098" s="24"/>
      <c r="M1098" s="24"/>
      <c r="N1098" s="21"/>
      <c r="P1098" s="22"/>
      <c r="S1098" s="21"/>
    </row>
    <row r="1099" spans="1:19" x14ac:dyDescent="0.35">
      <c r="A1099" s="25">
        <v>46093</v>
      </c>
      <c r="B1099" s="24">
        <v>34995.14</v>
      </c>
      <c r="C1099" s="24">
        <v>34995.14</v>
      </c>
      <c r="D1099" s="23">
        <f t="shared" si="17"/>
        <v>-6.5297095966944645E-3</v>
      </c>
      <c r="F1099" s="22"/>
      <c r="I1099" s="21"/>
      <c r="K1099" s="22"/>
      <c r="L1099" s="24"/>
      <c r="M1099" s="24"/>
      <c r="N1099" s="21"/>
      <c r="P1099" s="22"/>
      <c r="S1099" s="21"/>
    </row>
    <row r="1100" spans="1:19" x14ac:dyDescent="0.35">
      <c r="A1100" s="25">
        <v>46094</v>
      </c>
      <c r="B1100" s="24">
        <v>34186.379999999997</v>
      </c>
      <c r="C1100" s="24">
        <v>34186.379999999997</v>
      </c>
      <c r="D1100" s="23">
        <f t="shared" si="17"/>
        <v>-2.3110637648542112E-2</v>
      </c>
      <c r="F1100" s="22"/>
      <c r="I1100" s="21"/>
      <c r="K1100" s="22"/>
      <c r="L1100" s="24"/>
      <c r="M1100" s="24"/>
      <c r="N1100" s="21"/>
      <c r="P1100" s="22"/>
      <c r="S1100" s="21"/>
    </row>
    <row r="1101" spans="1:19" x14ac:dyDescent="0.35">
      <c r="A1101" s="25">
        <v>46097</v>
      </c>
      <c r="B1101" s="24">
        <v>34358.33</v>
      </c>
      <c r="C1101" s="24">
        <v>34358.33</v>
      </c>
      <c r="D1101" s="23">
        <f t="shared" si="17"/>
        <v>5.0297808659473271E-3</v>
      </c>
      <c r="F1101" s="22"/>
      <c r="I1101" s="21"/>
      <c r="K1101" s="22"/>
      <c r="L1101" s="24"/>
      <c r="M1101" s="24"/>
      <c r="N1101" s="21"/>
      <c r="P1101" s="22"/>
      <c r="S1101" s="21"/>
    </row>
    <row r="1102" spans="1:19" x14ac:dyDescent="0.35">
      <c r="A1102" s="25">
        <v>46098</v>
      </c>
      <c r="B1102" s="24">
        <v>34630.879999999997</v>
      </c>
      <c r="C1102" s="24">
        <v>34630.879999999997</v>
      </c>
      <c r="D1102" s="23">
        <f t="shared" si="17"/>
        <v>7.9325741384984553E-3</v>
      </c>
      <c r="F1102" s="22"/>
      <c r="I1102" s="21"/>
      <c r="K1102" s="22"/>
      <c r="L1102" s="24"/>
      <c r="M1102" s="24"/>
      <c r="N1102" s="21"/>
      <c r="P1102" s="22"/>
      <c r="S1102" s="21"/>
    </row>
    <row r="1103" spans="1:19" x14ac:dyDescent="0.35">
      <c r="A1103" s="25">
        <v>46099</v>
      </c>
      <c r="B1103" s="24">
        <v>35027.360000000001</v>
      </c>
      <c r="C1103" s="24">
        <v>35027.360000000001</v>
      </c>
      <c r="D1103" s="23">
        <f t="shared" si="17"/>
        <v>1.1448741701048407E-2</v>
      </c>
      <c r="F1103" s="22"/>
      <c r="I1103" s="21"/>
      <c r="K1103" s="22"/>
      <c r="L1103" s="24"/>
      <c r="M1103" s="24"/>
      <c r="N1103" s="21"/>
      <c r="P1103" s="22"/>
      <c r="S1103" s="21"/>
    </row>
    <row r="1104" spans="1:19" x14ac:dyDescent="0.35">
      <c r="A1104" s="25">
        <v>46100</v>
      </c>
      <c r="B1104" s="24">
        <v>33922.06</v>
      </c>
      <c r="C1104" s="24">
        <v>33922.06</v>
      </c>
      <c r="D1104" s="23">
        <f t="shared" si="17"/>
        <v>-3.1555332745602377E-2</v>
      </c>
      <c r="F1104" s="22"/>
      <c r="I1104" s="21"/>
      <c r="K1104" s="22"/>
      <c r="L1104" s="24"/>
      <c r="M1104" s="24"/>
      <c r="N1104" s="21"/>
      <c r="P1104" s="22"/>
      <c r="S1104" s="21"/>
    </row>
    <row r="1105" spans="1:19" x14ac:dyDescent="0.35">
      <c r="A1105" s="25">
        <v>46101</v>
      </c>
      <c r="B1105" s="24">
        <v>34085.99</v>
      </c>
      <c r="C1105" s="24">
        <v>34085.99</v>
      </c>
      <c r="D1105" s="23">
        <f t="shared" si="17"/>
        <v>4.8325484949911738E-3</v>
      </c>
      <c r="F1105" s="22"/>
      <c r="I1105" s="21"/>
      <c r="K1105" s="22"/>
      <c r="L1105" s="24"/>
      <c r="M1105" s="24"/>
      <c r="N1105" s="21"/>
      <c r="P1105" s="22"/>
      <c r="S1105" s="21"/>
    </row>
    <row r="1106" spans="1:19" x14ac:dyDescent="0.35">
      <c r="A1106" s="25">
        <v>46104</v>
      </c>
      <c r="B1106" s="24">
        <v>33026.22</v>
      </c>
      <c r="C1106" s="24">
        <v>33026.22</v>
      </c>
      <c r="D1106" s="23">
        <f t="shared" si="17"/>
        <v>-3.1091072901212401E-2</v>
      </c>
      <c r="F1106" s="22"/>
      <c r="I1106" s="21"/>
      <c r="K1106" s="22"/>
      <c r="L1106" s="24"/>
      <c r="M1106" s="24"/>
      <c r="N1106" s="21"/>
      <c r="P1106" s="22"/>
      <c r="S1106" s="21"/>
    </row>
    <row r="1107" spans="1:19" x14ac:dyDescent="0.35">
      <c r="A1107" s="25">
        <v>46105</v>
      </c>
      <c r="B1107" s="24">
        <v>33669.94</v>
      </c>
      <c r="C1107" s="24">
        <v>33669.94</v>
      </c>
      <c r="D1107" s="23">
        <f t="shared" si="17"/>
        <v>1.949118003816365E-2</v>
      </c>
      <c r="F1107" s="22"/>
      <c r="I1107" s="21"/>
      <c r="K1107" s="22"/>
      <c r="L1107" s="24"/>
      <c r="M1107" s="24"/>
      <c r="N1107" s="21"/>
      <c r="P1107" s="22"/>
      <c r="S1107" s="21"/>
    </row>
    <row r="1108" spans="1:19" x14ac:dyDescent="0.35">
      <c r="A1108" s="25">
        <v>46106</v>
      </c>
      <c r="B1108" s="24">
        <v>34327.17</v>
      </c>
      <c r="C1108" s="24">
        <v>34327.17</v>
      </c>
      <c r="D1108" s="23">
        <f t="shared" si="17"/>
        <v>1.9519785304042594E-2</v>
      </c>
      <c r="F1108" s="22"/>
      <c r="I1108" s="21"/>
      <c r="K1108" s="22"/>
      <c r="L1108" s="24"/>
      <c r="M1108" s="24"/>
      <c r="N1108" s="21"/>
      <c r="P1108" s="22"/>
      <c r="S1108" s="21"/>
    </row>
    <row r="1109" spans="1:19" x14ac:dyDescent="0.35">
      <c r="A1109" s="25">
        <v>46108</v>
      </c>
      <c r="B1109" s="24">
        <v>33599.22</v>
      </c>
      <c r="C1109" s="24">
        <v>33599.22</v>
      </c>
      <c r="D1109" s="23">
        <f t="shared" si="17"/>
        <v>-2.1206234012299794E-2</v>
      </c>
      <c r="F1109" s="22"/>
      <c r="I1109" s="21"/>
      <c r="K1109" s="22"/>
      <c r="L1109" s="24"/>
      <c r="M1109" s="24"/>
      <c r="N1109" s="21"/>
      <c r="P1109" s="22"/>
      <c r="S1109" s="21"/>
    </row>
    <row r="1110" spans="1:19" x14ac:dyDescent="0.35">
      <c r="A1110" s="25">
        <v>46111</v>
      </c>
      <c r="B1110" s="24">
        <v>32813.14</v>
      </c>
      <c r="C1110" s="24">
        <v>32813.14</v>
      </c>
      <c r="D1110" s="23">
        <f t="shared" si="17"/>
        <v>-2.33957812115877E-2</v>
      </c>
      <c r="F1110" s="22"/>
      <c r="I1110" s="21"/>
      <c r="K1110" s="22"/>
      <c r="L1110" s="24"/>
      <c r="M1110" s="24"/>
      <c r="N1110" s="21"/>
      <c r="P1110" s="22"/>
      <c r="S1110" s="21"/>
    </row>
    <row r="1111" spans="1:19" x14ac:dyDescent="0.35">
      <c r="A1111" s="25">
        <v>46113</v>
      </c>
      <c r="B1111" s="24">
        <v>33463.879999999997</v>
      </c>
      <c r="C1111" s="24">
        <v>33463.879999999997</v>
      </c>
      <c r="D1111" s="23">
        <f t="shared" si="17"/>
        <v>1.983168937809664E-2</v>
      </c>
      <c r="F1111" s="22"/>
      <c r="I1111" s="21"/>
      <c r="K1111" s="22"/>
      <c r="L1111" s="24"/>
      <c r="M1111" s="24"/>
      <c r="N1111" s="21"/>
      <c r="P1111" s="22"/>
      <c r="S1111" s="21"/>
    </row>
    <row r="1112" spans="1:19" x14ac:dyDescent="0.35">
      <c r="A1112" s="25">
        <v>46114</v>
      </c>
      <c r="B1112" s="24">
        <v>33469.449999999997</v>
      </c>
      <c r="C1112" s="24">
        <v>33469.449999999997</v>
      </c>
      <c r="D1112" s="23">
        <f t="shared" si="17"/>
        <v>1.6644812257274736E-4</v>
      </c>
      <c r="F1112" s="22"/>
      <c r="I1112" s="21"/>
      <c r="K1112" s="22"/>
      <c r="L1112" s="24"/>
      <c r="M1112" s="24"/>
      <c r="N1112" s="21"/>
      <c r="P1112" s="22"/>
      <c r="S1112" s="21"/>
    </row>
    <row r="1113" spans="1:19" x14ac:dyDescent="0.35">
      <c r="A1113" s="25">
        <v>46118</v>
      </c>
      <c r="B1113" s="24">
        <v>33878.17</v>
      </c>
      <c r="C1113" s="24">
        <v>33878.17</v>
      </c>
      <c r="D1113" s="23">
        <f t="shared" si="17"/>
        <v>1.2211733386715384E-2</v>
      </c>
      <c r="F1113" s="22"/>
      <c r="I1113" s="21"/>
      <c r="K1113" s="22"/>
      <c r="L1113" s="24"/>
      <c r="M1113" s="24"/>
      <c r="N1113" s="21"/>
      <c r="P1113" s="22"/>
      <c r="S1113" s="21"/>
    </row>
    <row r="1114" spans="1:19" x14ac:dyDescent="0.35">
      <c r="A1114" s="25">
        <v>46119</v>
      </c>
      <c r="B1114" s="24">
        <v>34041.839999999997</v>
      </c>
      <c r="C1114" s="24">
        <v>34041.839999999997</v>
      </c>
      <c r="D1114" s="23">
        <f t="shared" si="17"/>
        <v>4.8311346214980995E-3</v>
      </c>
      <c r="F1114" s="22"/>
      <c r="I1114" s="21"/>
      <c r="K1114" s="22"/>
      <c r="L1114" s="24"/>
      <c r="M1114" s="24"/>
      <c r="N1114" s="21"/>
      <c r="P1114" s="22"/>
      <c r="S1114" s="21"/>
    </row>
    <row r="1115" spans="1:19" x14ac:dyDescent="0.35">
      <c r="A1115" s="25">
        <v>46120</v>
      </c>
      <c r="B1115" s="24">
        <v>35385.760000000002</v>
      </c>
      <c r="C1115" s="24">
        <v>35385.760000000002</v>
      </c>
      <c r="D1115" s="23">
        <f t="shared" si="17"/>
        <v>3.9478477074094867E-2</v>
      </c>
      <c r="F1115" s="22"/>
      <c r="I1115" s="21"/>
      <c r="K1115" s="22"/>
      <c r="L1115" s="24"/>
      <c r="M1115" s="24"/>
      <c r="N1115" s="21"/>
      <c r="P1115" s="22"/>
      <c r="S1115" s="21"/>
    </row>
    <row r="1116" spans="1:19" x14ac:dyDescent="0.35">
      <c r="A1116" s="25">
        <v>46121</v>
      </c>
      <c r="B1116" s="24">
        <v>35226.51</v>
      </c>
      <c r="C1116" s="24">
        <v>35226.51</v>
      </c>
      <c r="D1116" s="23">
        <f t="shared" si="17"/>
        <v>-4.5003979001722724E-3</v>
      </c>
      <c r="F1116" s="22"/>
      <c r="I1116" s="21"/>
      <c r="K1116" s="22"/>
      <c r="L1116" s="24"/>
      <c r="M1116" s="24"/>
      <c r="N1116" s="21"/>
      <c r="P1116" s="22"/>
      <c r="S1116" s="21"/>
    </row>
    <row r="1117" spans="1:19" x14ac:dyDescent="0.35">
      <c r="A1117" s="25">
        <v>46122</v>
      </c>
      <c r="B1117" s="24">
        <v>35720.910000000003</v>
      </c>
      <c r="C1117" s="24">
        <v>35720.910000000003</v>
      </c>
      <c r="D1117" s="23">
        <f t="shared" si="17"/>
        <v>1.4034884523048165E-2</v>
      </c>
      <c r="F1117" s="22"/>
      <c r="I1117" s="21"/>
      <c r="K1117" s="22"/>
      <c r="L1117" s="24"/>
      <c r="M1117" s="24"/>
      <c r="N1117" s="21"/>
      <c r="P1117" s="22"/>
      <c r="S1117" s="21"/>
    </row>
    <row r="1118" spans="1:19" x14ac:dyDescent="0.35">
      <c r="A1118" s="25">
        <v>46125</v>
      </c>
      <c r="B1118" s="24">
        <v>35452.78</v>
      </c>
      <c r="C1118" s="24">
        <v>35452.78</v>
      </c>
      <c r="D1118" s="23">
        <f t="shared" si="17"/>
        <v>-7.5062477411690972E-3</v>
      </c>
      <c r="F1118" s="22"/>
      <c r="I1118" s="21"/>
      <c r="K1118" s="22"/>
      <c r="L1118" s="24"/>
      <c r="M1118" s="24"/>
      <c r="N1118" s="21"/>
      <c r="P1118" s="22"/>
      <c r="S1118" s="21"/>
    </row>
    <row r="1119" spans="1:19" x14ac:dyDescent="0.35">
      <c r="A1119" s="25">
        <v>46127</v>
      </c>
      <c r="B1119" s="24">
        <v>36118.559999999998</v>
      </c>
      <c r="C1119" s="24">
        <v>36118.559999999998</v>
      </c>
      <c r="D1119" s="23">
        <f t="shared" si="17"/>
        <v>1.8779345371505388E-2</v>
      </c>
      <c r="F1119" s="22"/>
      <c r="I1119" s="21"/>
      <c r="K1119" s="22"/>
      <c r="L1119" s="24"/>
      <c r="M1119" s="24"/>
      <c r="N1119" s="21"/>
      <c r="P1119" s="22"/>
      <c r="S1119" s="21"/>
    </row>
    <row r="1120" spans="1:19" x14ac:dyDescent="0.35">
      <c r="A1120" s="25">
        <v>46128</v>
      </c>
      <c r="B1120" s="24">
        <v>36215.69</v>
      </c>
      <c r="C1120" s="24">
        <v>36215.69</v>
      </c>
      <c r="D1120" s="23">
        <f t="shared" si="17"/>
        <v>2.6891991264326336E-3</v>
      </c>
      <c r="F1120" s="22"/>
      <c r="I1120" s="21"/>
      <c r="K1120" s="22"/>
      <c r="L1120" s="24"/>
      <c r="M1120" s="24"/>
      <c r="N1120" s="21"/>
      <c r="P1120" s="22"/>
      <c r="S1120" s="21"/>
    </row>
    <row r="1121" spans="1:19" x14ac:dyDescent="0.35">
      <c r="A1121" s="25">
        <v>46129</v>
      </c>
      <c r="B1121" s="24">
        <v>36556.94</v>
      </c>
      <c r="C1121" s="24">
        <v>36556.94</v>
      </c>
      <c r="D1121" s="23">
        <f t="shared" si="17"/>
        <v>9.4227115374579361E-3</v>
      </c>
      <c r="F1121" s="22"/>
      <c r="I1121" s="21"/>
      <c r="K1121" s="22"/>
      <c r="L1121" s="24"/>
      <c r="M1121" s="24"/>
      <c r="N1121" s="21"/>
      <c r="P1121" s="22"/>
      <c r="S1121" s="21"/>
    </row>
    <row r="1122" spans="1:19" x14ac:dyDescent="0.35">
      <c r="A1122" s="25">
        <v>46132</v>
      </c>
      <c r="B1122" s="24">
        <v>36551.14</v>
      </c>
      <c r="C1122" s="24">
        <v>36551.14</v>
      </c>
      <c r="D1122" s="23">
        <f t="shared" si="17"/>
        <v>-1.5865660528487641E-4</v>
      </c>
      <c r="F1122" s="22"/>
      <c r="I1122" s="21"/>
      <c r="K1122" s="22"/>
      <c r="L1122" s="24"/>
      <c r="M1122" s="24"/>
      <c r="N1122" s="21"/>
      <c r="P1122" s="22"/>
      <c r="S1122" s="21"/>
    </row>
    <row r="1123" spans="1:19" x14ac:dyDescent="0.35">
      <c r="A1123" s="25">
        <v>46133</v>
      </c>
      <c r="B1123" s="24">
        <v>36833.4</v>
      </c>
      <c r="C1123" s="24">
        <v>36833.4</v>
      </c>
      <c r="D1123" s="23">
        <f t="shared" si="17"/>
        <v>7.7223309587608497E-3</v>
      </c>
      <c r="F1123" s="22"/>
      <c r="I1123" s="21"/>
      <c r="K1123" s="22"/>
      <c r="L1123" s="24"/>
      <c r="M1123" s="24"/>
      <c r="N1123" s="21"/>
      <c r="P1123" s="22"/>
      <c r="S1123" s="21"/>
    </row>
    <row r="1124" spans="1:19" x14ac:dyDescent="0.35">
      <c r="A1124" s="25">
        <v>46134</v>
      </c>
      <c r="B1124" s="24">
        <v>36752.07</v>
      </c>
      <c r="C1124" s="24">
        <v>36752.07</v>
      </c>
      <c r="D1124" s="23">
        <f t="shared" si="17"/>
        <v>-2.2080503021714463E-3</v>
      </c>
      <c r="F1124" s="22"/>
      <c r="I1124" s="21"/>
      <c r="K1124" s="22"/>
      <c r="L1124" s="24"/>
      <c r="M1124" s="24"/>
      <c r="N1124" s="21"/>
      <c r="P1124" s="22"/>
      <c r="S1124" s="21"/>
    </row>
    <row r="1125" spans="1:19" x14ac:dyDescent="0.35">
      <c r="A1125" s="25">
        <v>46135</v>
      </c>
      <c r="B1125" s="24">
        <v>36463.65</v>
      </c>
      <c r="C1125" s="24">
        <v>36463.65</v>
      </c>
      <c r="D1125" s="23">
        <f t="shared" si="17"/>
        <v>-7.8477212303959543E-3</v>
      </c>
      <c r="F1125" s="22"/>
      <c r="I1125" s="21"/>
      <c r="K1125" s="22"/>
      <c r="L1125" s="24"/>
      <c r="M1125" s="24"/>
      <c r="N1125" s="21"/>
      <c r="P1125" s="22"/>
      <c r="S1125" s="21"/>
    </row>
    <row r="1126" spans="1:19" x14ac:dyDescent="0.35">
      <c r="A1126" s="25">
        <v>46136</v>
      </c>
      <c r="B1126" s="24">
        <v>36083.57</v>
      </c>
      <c r="C1126" s="24">
        <v>36083.57</v>
      </c>
      <c r="D1126" s="23">
        <f t="shared" si="17"/>
        <v>-1.0423531379881107E-2</v>
      </c>
      <c r="F1126" s="22"/>
      <c r="I1126" s="21"/>
      <c r="K1126" s="22"/>
      <c r="L1126" s="24"/>
      <c r="M1126" s="24"/>
      <c r="N1126" s="21"/>
      <c r="P1126" s="22"/>
      <c r="S1126" s="21"/>
    </row>
    <row r="1127" spans="1:19" x14ac:dyDescent="0.35">
      <c r="A1127" s="25">
        <v>46139</v>
      </c>
      <c r="B1127" s="24">
        <v>36485.68</v>
      </c>
      <c r="C1127" s="24">
        <v>36485.68</v>
      </c>
      <c r="D1127" s="23">
        <f t="shared" si="17"/>
        <v>1.1143853005675452E-2</v>
      </c>
      <c r="F1127" s="22"/>
      <c r="I1127" s="21"/>
      <c r="K1127" s="22"/>
      <c r="L1127" s="24"/>
      <c r="M1127" s="24"/>
      <c r="N1127" s="21"/>
      <c r="P1127" s="22"/>
      <c r="S1127" s="21"/>
    </row>
    <row r="1128" spans="1:19" x14ac:dyDescent="0.35">
      <c r="A1128" s="25">
        <v>46140</v>
      </c>
      <c r="B1128" s="24">
        <v>36396.49</v>
      </c>
      <c r="C1128" s="24">
        <v>36396.49</v>
      </c>
      <c r="D1128" s="23">
        <f t="shared" si="17"/>
        <v>-2.4445206996279727E-3</v>
      </c>
      <c r="F1128" s="22"/>
      <c r="I1128" s="21"/>
      <c r="K1128" s="22"/>
      <c r="L1128" s="24"/>
      <c r="M1128" s="24"/>
      <c r="N1128" s="21"/>
      <c r="P1128" s="22"/>
      <c r="S1128" s="21"/>
    </row>
    <row r="1129" spans="1:19" x14ac:dyDescent="0.35">
      <c r="A1129" s="25">
        <v>46141</v>
      </c>
      <c r="B1129" s="24">
        <v>36565.03</v>
      </c>
      <c r="C1129" s="24">
        <v>36565.03</v>
      </c>
      <c r="D1129" s="23">
        <f t="shared" si="17"/>
        <v>4.6306663087567201E-3</v>
      </c>
      <c r="F1129" s="22"/>
      <c r="I1129" s="21"/>
      <c r="K1129" s="22"/>
      <c r="L1129" s="24"/>
      <c r="M1129" s="24"/>
      <c r="N1129" s="21"/>
      <c r="P1129" s="22"/>
      <c r="S1129" s="21"/>
    </row>
    <row r="1130" spans="1:19" x14ac:dyDescent="0.35">
      <c r="A1130" s="25">
        <v>46142</v>
      </c>
      <c r="B1130" s="24">
        <v>36266.61</v>
      </c>
      <c r="C1130" s="24">
        <v>36266.61</v>
      </c>
      <c r="D1130" s="23">
        <f t="shared" si="17"/>
        <v>-8.1613497924108973E-3</v>
      </c>
      <c r="F1130" s="22"/>
      <c r="I1130" s="21"/>
      <c r="K1130" s="22"/>
      <c r="L1130" s="24"/>
      <c r="M1130" s="24"/>
      <c r="N1130" s="21"/>
      <c r="P1130" s="22"/>
      <c r="S1130" s="21"/>
    </row>
    <row r="1131" spans="1:19" x14ac:dyDescent="0.35">
      <c r="A1131" s="25">
        <v>46146</v>
      </c>
      <c r="B1131" s="24">
        <v>36502.089999999997</v>
      </c>
      <c r="C1131" s="24">
        <v>36502.089999999997</v>
      </c>
      <c r="D1131" s="23">
        <f t="shared" si="17"/>
        <v>6.4930248512335706E-3</v>
      </c>
      <c r="F1131" s="22"/>
      <c r="I1131" s="21"/>
      <c r="K1131" s="22"/>
      <c r="L1131" s="24"/>
      <c r="M1131" s="24"/>
      <c r="N1131" s="21"/>
      <c r="P1131" s="22"/>
      <c r="S1131" s="21"/>
    </row>
    <row r="1132" spans="1:19" x14ac:dyDescent="0.35">
      <c r="A1132" s="25">
        <v>46147</v>
      </c>
      <c r="B1132" s="24">
        <v>36466.32</v>
      </c>
      <c r="C1132" s="24">
        <v>36466.32</v>
      </c>
      <c r="D1132" s="23">
        <f t="shared" si="17"/>
        <v>-9.7994388814439943E-4</v>
      </c>
      <c r="F1132" s="22"/>
      <c r="I1132" s="21"/>
      <c r="K1132" s="22"/>
      <c r="L1132" s="24"/>
      <c r="M1132" s="24"/>
      <c r="N1132" s="21"/>
      <c r="P1132" s="22"/>
      <c r="S1132" s="21"/>
    </row>
    <row r="1133" spans="1:19" x14ac:dyDescent="0.35">
      <c r="A1133" s="25">
        <v>46148</v>
      </c>
      <c r="B1133" s="24">
        <v>36986.18</v>
      </c>
      <c r="C1133" s="24">
        <v>36986.18</v>
      </c>
      <c r="D1133" s="23">
        <f t="shared" si="17"/>
        <v>1.425589420594128E-2</v>
      </c>
      <c r="F1133" s="22"/>
      <c r="I1133" s="21"/>
      <c r="K1133" s="22"/>
      <c r="L1133" s="24"/>
      <c r="M1133" s="24"/>
      <c r="N1133" s="21"/>
      <c r="P1133" s="22"/>
      <c r="S1133" s="21"/>
    </row>
    <row r="1134" spans="1:19" x14ac:dyDescent="0.35">
      <c r="A1134" s="25">
        <v>46149</v>
      </c>
      <c r="B1134" s="24">
        <v>37115.08</v>
      </c>
      <c r="C1134" s="24">
        <v>37115.08</v>
      </c>
      <c r="D1134" s="23">
        <f t="shared" si="17"/>
        <v>3.4850855103176768E-3</v>
      </c>
      <c r="F1134" s="22"/>
      <c r="I1134" s="21"/>
      <c r="K1134" s="22"/>
      <c r="L1134" s="24"/>
      <c r="M1134" s="24"/>
      <c r="N1134" s="21"/>
      <c r="P1134" s="22"/>
      <c r="S1134" s="21"/>
    </row>
    <row r="1135" spans="1:19" x14ac:dyDescent="0.35">
      <c r="A1135" s="25">
        <v>46150</v>
      </c>
      <c r="B1135" s="24">
        <v>36958.370000000003</v>
      </c>
      <c r="C1135" s="24">
        <v>36958.370000000003</v>
      </c>
      <c r="D1135" s="23">
        <f t="shared" si="17"/>
        <v>-4.222272995235336E-3</v>
      </c>
      <c r="F1135" s="22"/>
      <c r="I1135" s="21"/>
      <c r="K1135" s="22"/>
      <c r="L1135" s="24"/>
      <c r="M1135" s="24"/>
      <c r="N1135" s="21"/>
      <c r="P1135" s="22"/>
      <c r="S1135" s="21"/>
    </row>
    <row r="1136" spans="1:19" x14ac:dyDescent="0.35">
      <c r="A1136" s="25">
        <v>46153</v>
      </c>
      <c r="B1136" s="24">
        <v>36446.949999999997</v>
      </c>
      <c r="C1136" s="24">
        <v>36446.949999999997</v>
      </c>
      <c r="D1136" s="23">
        <f t="shared" si="17"/>
        <v>-1.383773148004107E-2</v>
      </c>
      <c r="F1136" s="22"/>
      <c r="I1136" s="21"/>
      <c r="K1136" s="22"/>
      <c r="L1136" s="24"/>
      <c r="M1136" s="24"/>
      <c r="N1136" s="21"/>
      <c r="P1136" s="22"/>
      <c r="S1136" s="21"/>
    </row>
    <row r="1137" spans="1:19" x14ac:dyDescent="0.35">
      <c r="A1137" s="25">
        <v>46154</v>
      </c>
      <c r="B1137" s="24">
        <v>35654.54</v>
      </c>
      <c r="C1137" s="24">
        <v>35654.54</v>
      </c>
      <c r="D1137" s="23">
        <f t="shared" si="17"/>
        <v>-2.1741462591519902E-2</v>
      </c>
      <c r="F1137" s="22"/>
      <c r="I1137" s="21"/>
      <c r="K1137" s="22"/>
      <c r="L1137" s="24"/>
      <c r="M1137" s="24"/>
      <c r="N1137" s="21"/>
      <c r="P1137" s="22"/>
      <c r="S1137" s="21"/>
    </row>
    <row r="1138" spans="1:19" x14ac:dyDescent="0.35">
      <c r="A1138" s="25">
        <v>46155</v>
      </c>
      <c r="B1138" s="24">
        <v>35778.400000000001</v>
      </c>
      <c r="C1138" s="24">
        <v>35778.400000000001</v>
      </c>
      <c r="D1138" s="23">
        <f t="shared" si="17"/>
        <v>3.4738914034510215E-3</v>
      </c>
      <c r="F1138" s="22"/>
      <c r="I1138" s="21"/>
      <c r="K1138" s="22"/>
      <c r="L1138" s="24"/>
      <c r="M1138" s="24"/>
      <c r="N1138" s="21"/>
      <c r="P1138" s="22"/>
      <c r="S1138" s="21"/>
    </row>
    <row r="1139" spans="1:19" x14ac:dyDescent="0.35">
      <c r="A1139" s="25">
        <v>46156</v>
      </c>
      <c r="B1139" s="24">
        <v>36155.379999999997</v>
      </c>
      <c r="C1139" s="24">
        <v>36155.379999999997</v>
      </c>
      <c r="D1139" s="23">
        <f t="shared" si="17"/>
        <v>1.053652483062395E-2</v>
      </c>
      <c r="F1139" s="22"/>
      <c r="I1139" s="21"/>
      <c r="K1139" s="22"/>
      <c r="L1139" s="24"/>
      <c r="M1139" s="24"/>
      <c r="N1139" s="21"/>
      <c r="P1139" s="22"/>
      <c r="S1139" s="21"/>
    </row>
    <row r="1140" spans="1:19" x14ac:dyDescent="0.35">
      <c r="A1140" s="25">
        <v>46157</v>
      </c>
      <c r="B1140" s="24">
        <v>36038.480000000003</v>
      </c>
      <c r="C1140" s="24">
        <v>36038.480000000003</v>
      </c>
      <c r="D1140" s="23">
        <f t="shared" si="17"/>
        <v>-3.2332670822432011E-3</v>
      </c>
      <c r="F1140" s="22"/>
      <c r="I1140" s="21"/>
      <c r="K1140" s="22"/>
      <c r="L1140" s="24"/>
      <c r="M1140" s="24"/>
      <c r="N1140" s="21"/>
      <c r="P1140" s="22"/>
      <c r="S1140" s="21"/>
    </row>
    <row r="1141" spans="1:19" x14ac:dyDescent="0.35">
      <c r="A1141" s="25">
        <v>46160</v>
      </c>
      <c r="B1141" s="24">
        <v>35926.379999999997</v>
      </c>
      <c r="C1141" s="24">
        <v>35926.379999999997</v>
      </c>
      <c r="D1141" s="23">
        <f t="shared" si="17"/>
        <v>-3.1105640415468637E-3</v>
      </c>
      <c r="F1141" s="22"/>
      <c r="I1141" s="21"/>
      <c r="K1141" s="22"/>
      <c r="L1141" s="24"/>
      <c r="M1141" s="24"/>
      <c r="N1141" s="21"/>
      <c r="P1141" s="22"/>
      <c r="S1141" s="21"/>
    </row>
    <row r="1142" spans="1:19" x14ac:dyDescent="0.35">
      <c r="A1142" s="25">
        <v>46161</v>
      </c>
      <c r="B1142" s="24">
        <v>36023.49</v>
      </c>
      <c r="C1142" s="24">
        <v>36023.49</v>
      </c>
      <c r="D1142" s="23">
        <f t="shared" si="17"/>
        <v>2.7030276916293985E-3</v>
      </c>
      <c r="F1142" s="22"/>
      <c r="I1142" s="21"/>
      <c r="K1142" s="22"/>
      <c r="L1142" s="24"/>
      <c r="M1142" s="24"/>
      <c r="N1142" s="21"/>
      <c r="P1142" s="22"/>
      <c r="S1142" s="21"/>
    </row>
    <row r="1143" spans="1:19" x14ac:dyDescent="0.35">
      <c r="A1143" s="25">
        <v>46162</v>
      </c>
      <c r="B1143" s="24">
        <v>36113.93</v>
      </c>
      <c r="C1143" s="24">
        <v>36113.93</v>
      </c>
      <c r="D1143" s="23">
        <f t="shared" si="17"/>
        <v>2.5105840661191442E-3</v>
      </c>
      <c r="F1143" s="22"/>
      <c r="I1143" s="21"/>
      <c r="K1143" s="22"/>
      <c r="L1143" s="24"/>
      <c r="M1143" s="24"/>
      <c r="N1143" s="21"/>
      <c r="P1143" s="22"/>
      <c r="S1143" s="21"/>
    </row>
    <row r="1144" spans="1:19" x14ac:dyDescent="0.35">
      <c r="A1144" s="25">
        <v>46163</v>
      </c>
      <c r="B1144" s="24">
        <v>36153.599999999999</v>
      </c>
      <c r="C1144" s="24">
        <v>36153.599999999999</v>
      </c>
      <c r="D1144" s="23">
        <f t="shared" si="17"/>
        <v>1.0984680980441136E-3</v>
      </c>
      <c r="F1144" s="22"/>
      <c r="I1144" s="21"/>
      <c r="K1144" s="22"/>
      <c r="L1144" s="24"/>
      <c r="M1144" s="24"/>
      <c r="N1144" s="21"/>
      <c r="P1144" s="22"/>
      <c r="S1144" s="21"/>
    </row>
    <row r="1145" spans="1:19" x14ac:dyDescent="0.35">
      <c r="A1145" s="25">
        <v>46164</v>
      </c>
      <c r="B1145" s="24">
        <v>36240.550000000003</v>
      </c>
      <c r="C1145" s="24">
        <v>36240.550000000003</v>
      </c>
      <c r="D1145" s="23">
        <f t="shared" si="17"/>
        <v>2.4050163745796926E-3</v>
      </c>
      <c r="F1145" s="22"/>
      <c r="I1145" s="21"/>
      <c r="K1145" s="22"/>
      <c r="L1145" s="24"/>
      <c r="M1145" s="24"/>
      <c r="N1145" s="21"/>
      <c r="P1145" s="22"/>
      <c r="S1145" s="21"/>
    </row>
    <row r="1146" spans="1:19" x14ac:dyDescent="0.35">
      <c r="A1146" s="25">
        <v>46167</v>
      </c>
      <c r="B1146" s="24">
        <v>36693.58</v>
      </c>
      <c r="C1146" s="24">
        <v>36693.58</v>
      </c>
      <c r="D1146" s="23">
        <f t="shared" si="17"/>
        <v>1.2500638097379835E-2</v>
      </c>
      <c r="F1146" s="22"/>
      <c r="I1146" s="21"/>
      <c r="K1146" s="22"/>
      <c r="L1146" s="24"/>
      <c r="M1146" s="24"/>
      <c r="N1146" s="21"/>
      <c r="P1146" s="22"/>
      <c r="S1146" s="21"/>
    </row>
    <row r="1147" spans="1:19" x14ac:dyDescent="0.35">
      <c r="A1147" s="25">
        <v>46168</v>
      </c>
      <c r="B1147" s="24">
        <v>36642</v>
      </c>
      <c r="C1147" s="24">
        <v>36642</v>
      </c>
      <c r="D1147" s="23">
        <f t="shared" si="17"/>
        <v>-1.4056954922360191E-3</v>
      </c>
      <c r="F1147" s="22"/>
      <c r="I1147" s="21"/>
      <c r="K1147" s="22"/>
      <c r="L1147" s="24"/>
      <c r="M1147" s="24"/>
      <c r="N1147" s="21"/>
      <c r="P1147" s="22"/>
      <c r="S1147" s="21"/>
    </row>
    <row r="1148" spans="1:19" x14ac:dyDescent="0.35">
      <c r="A1148" s="25">
        <v>46169</v>
      </c>
      <c r="B1148" s="24">
        <v>36754.51</v>
      </c>
      <c r="C1148" s="24">
        <v>36754.51</v>
      </c>
      <c r="D1148" s="23">
        <f t="shared" si="17"/>
        <v>3.0705201681131499E-3</v>
      </c>
      <c r="F1148" s="22"/>
      <c r="I1148" s="21"/>
      <c r="K1148" s="22"/>
      <c r="L1148" s="24"/>
      <c r="M1148" s="24"/>
      <c r="N1148" s="21"/>
      <c r="P1148" s="22"/>
      <c r="S1148" s="21"/>
    </row>
    <row r="1149" spans="1:19" x14ac:dyDescent="0.35">
      <c r="A1149" s="25">
        <v>46171</v>
      </c>
      <c r="B1149" s="24">
        <v>36261.800000000003</v>
      </c>
      <c r="C1149" s="24">
        <v>36261.800000000003</v>
      </c>
      <c r="D1149" s="23">
        <f t="shared" si="17"/>
        <v>-1.3405429701008097E-2</v>
      </c>
      <c r="F1149" s="22"/>
      <c r="I1149" s="21"/>
      <c r="K1149" s="22"/>
      <c r="L1149" s="24"/>
      <c r="M1149" s="24"/>
      <c r="N1149" s="21"/>
      <c r="P1149" s="22"/>
      <c r="S1149" s="21"/>
    </row>
    <row r="1150" spans="1:19" x14ac:dyDescent="0.35">
      <c r="A1150" s="25">
        <v>46174</v>
      </c>
      <c r="B1150" s="24">
        <v>35911.81</v>
      </c>
      <c r="C1150" s="24">
        <v>35911.81</v>
      </c>
      <c r="D1150" s="23">
        <f t="shared" si="17"/>
        <v>-9.651754739147124E-3</v>
      </c>
      <c r="F1150" s="22"/>
      <c r="I1150" s="21"/>
      <c r="K1150" s="22"/>
      <c r="L1150" s="24"/>
      <c r="M1150" s="24"/>
      <c r="N1150" s="21"/>
      <c r="P1150" s="22"/>
      <c r="S1150" s="21"/>
    </row>
    <row r="1151" spans="1:19" x14ac:dyDescent="0.35">
      <c r="A1151" s="25">
        <v>46175</v>
      </c>
      <c r="B1151" s="24">
        <v>36044.910000000003</v>
      </c>
      <c r="C1151" s="24">
        <v>36044.910000000003</v>
      </c>
      <c r="D1151" s="23">
        <f t="shared" si="17"/>
        <v>3.7063016316917982E-3</v>
      </c>
      <c r="F1151" s="22"/>
      <c r="I1151" s="21"/>
      <c r="K1151" s="22"/>
      <c r="L1151" s="24"/>
      <c r="M1151" s="24"/>
      <c r="N1151" s="21"/>
      <c r="P1151" s="22"/>
      <c r="S1151" s="21"/>
    </row>
    <row r="1152" spans="1:19" x14ac:dyDescent="0.35">
      <c r="A1152" s="25">
        <v>46176</v>
      </c>
      <c r="B1152" s="24">
        <v>35935.370000000003</v>
      </c>
      <c r="C1152" s="24">
        <v>35935.370000000003</v>
      </c>
      <c r="D1152" s="23">
        <f t="shared" si="17"/>
        <v>-3.0389866419419792E-3</v>
      </c>
      <c r="F1152" s="22"/>
      <c r="I1152" s="21"/>
      <c r="K1152" s="22"/>
      <c r="L1152" s="24"/>
      <c r="M1152" s="24"/>
      <c r="N1152" s="21"/>
      <c r="P1152" s="22"/>
      <c r="S1152" s="21"/>
    </row>
    <row r="1153" spans="1:19" x14ac:dyDescent="0.35">
      <c r="A1153" s="25">
        <v>46177</v>
      </c>
      <c r="B1153" s="24">
        <v>36008.82</v>
      </c>
      <c r="C1153" s="24">
        <v>36008.82</v>
      </c>
      <c r="D1153" s="23">
        <f t="shared" si="17"/>
        <v>2.0439472308201386E-3</v>
      </c>
      <c r="F1153" s="22"/>
      <c r="I1153" s="21"/>
      <c r="K1153" s="22"/>
      <c r="L1153" s="24"/>
      <c r="M1153" s="24"/>
      <c r="N1153" s="21"/>
      <c r="P1153" s="22"/>
      <c r="S1153" s="21"/>
    </row>
    <row r="1154" spans="1:19" x14ac:dyDescent="0.35">
      <c r="A1154" s="25">
        <v>46178</v>
      </c>
      <c r="B1154" s="24">
        <v>35966.78</v>
      </c>
      <c r="C1154" s="24">
        <v>35966.78</v>
      </c>
      <c r="D1154" s="23">
        <f t="shared" si="17"/>
        <v>-1.1674917423009383E-3</v>
      </c>
      <c r="F1154" s="22"/>
      <c r="I1154" s="21"/>
      <c r="K1154" s="22"/>
      <c r="L1154" s="24"/>
      <c r="M1154" s="24"/>
      <c r="N1154" s="21"/>
      <c r="P1154" s="22"/>
      <c r="S1154" s="21"/>
    </row>
    <row r="1155" spans="1:19" x14ac:dyDescent="0.35">
      <c r="A1155" s="25">
        <v>46181</v>
      </c>
      <c r="B1155" s="24">
        <v>35499.82</v>
      </c>
      <c r="C1155" s="24">
        <v>35499.82</v>
      </c>
      <c r="D1155" s="23">
        <f t="shared" ref="D1155:D1217" si="18">(B1155-B1154)/B1154</f>
        <v>-1.2983091619544456E-2</v>
      </c>
      <c r="F1155" s="22"/>
      <c r="I1155" s="21"/>
      <c r="K1155" s="22"/>
      <c r="L1155" s="24"/>
      <c r="M1155" s="24"/>
      <c r="N1155" s="21"/>
      <c r="P1155" s="22"/>
      <c r="S1155" s="21"/>
    </row>
    <row r="1156" spans="1:19" x14ac:dyDescent="0.35">
      <c r="A1156" s="25">
        <v>46182</v>
      </c>
      <c r="B1156" s="24">
        <v>35814.339999999997</v>
      </c>
      <c r="C1156" s="24">
        <v>35814.339999999997</v>
      </c>
      <c r="D1156" s="23">
        <f t="shared" si="18"/>
        <v>8.8597632326022167E-3</v>
      </c>
      <c r="F1156" s="22"/>
      <c r="I1156" s="21"/>
      <c r="K1156" s="22"/>
      <c r="L1156" s="24"/>
      <c r="M1156" s="24"/>
      <c r="N1156" s="21"/>
      <c r="P1156" s="22"/>
      <c r="S1156" s="21"/>
    </row>
    <row r="1157" spans="1:19" x14ac:dyDescent="0.35">
      <c r="A1157" s="25">
        <v>46183</v>
      </c>
      <c r="B1157" s="24">
        <v>35597.050000000003</v>
      </c>
      <c r="C1157" s="24">
        <v>35597.050000000003</v>
      </c>
      <c r="D1157" s="23">
        <f t="shared" si="18"/>
        <v>-6.0671228340378079E-3</v>
      </c>
      <c r="F1157" s="22"/>
      <c r="I1157" s="21"/>
      <c r="K1157" s="22"/>
      <c r="L1157" s="24"/>
      <c r="M1157" s="24"/>
      <c r="N1157" s="21"/>
      <c r="P1157" s="22"/>
      <c r="S1157" s="21"/>
    </row>
    <row r="1158" spans="1:19" x14ac:dyDescent="0.35">
      <c r="A1158" s="25">
        <v>46184</v>
      </c>
      <c r="B1158" s="24">
        <v>35405.870000000003</v>
      </c>
      <c r="C1158" s="24">
        <v>35405.870000000003</v>
      </c>
      <c r="D1158" s="23">
        <f t="shared" si="18"/>
        <v>-5.3706697605560086E-3</v>
      </c>
      <c r="F1158" s="22"/>
      <c r="I1158" s="21"/>
      <c r="K1158" s="22"/>
      <c r="L1158" s="24"/>
      <c r="M1158" s="24"/>
      <c r="N1158" s="21"/>
      <c r="P1158" s="22"/>
      <c r="S1158" s="21"/>
    </row>
    <row r="1159" spans="1:19" x14ac:dyDescent="0.35">
      <c r="A1159" s="25">
        <v>46185</v>
      </c>
      <c r="B1159" s="24">
        <v>36193.53</v>
      </c>
      <c r="C1159" s="24">
        <v>36193.53</v>
      </c>
      <c r="D1159" s="23">
        <f t="shared" si="18"/>
        <v>2.2246593573325445E-2</v>
      </c>
      <c r="F1159" s="22"/>
      <c r="I1159" s="21"/>
      <c r="K1159" s="22"/>
      <c r="L1159" s="24"/>
      <c r="M1159" s="24"/>
      <c r="N1159" s="21"/>
      <c r="P1159" s="22"/>
      <c r="S1159" s="21"/>
    </row>
    <row r="1160" spans="1:19" x14ac:dyDescent="0.35">
      <c r="A1160" s="25">
        <v>46188</v>
      </c>
      <c r="B1160" s="24">
        <v>36660.370000000003</v>
      </c>
      <c r="C1160" s="24">
        <v>36660.370000000003</v>
      </c>
      <c r="D1160" s="23">
        <f t="shared" si="18"/>
        <v>1.2898437925231493E-2</v>
      </c>
      <c r="F1160" s="22"/>
      <c r="I1160" s="21"/>
      <c r="K1160" s="22"/>
      <c r="L1160" s="24"/>
      <c r="M1160" s="24"/>
      <c r="N1160" s="21"/>
      <c r="P1160" s="22"/>
      <c r="S1160" s="21"/>
    </row>
    <row r="1161" spans="1:19" x14ac:dyDescent="0.35">
      <c r="A1161" s="25">
        <v>46189</v>
      </c>
      <c r="B1161" s="24">
        <v>36830.1</v>
      </c>
      <c r="C1161" s="24">
        <v>36830.1</v>
      </c>
      <c r="D1161" s="23">
        <f t="shared" si="18"/>
        <v>4.6297950620791855E-3</v>
      </c>
      <c r="F1161" s="22"/>
      <c r="I1161" s="21"/>
      <c r="K1161" s="22"/>
      <c r="L1161" s="24"/>
      <c r="M1161" s="24"/>
      <c r="N1161" s="21"/>
      <c r="P1161" s="22"/>
      <c r="S1161" s="21"/>
    </row>
    <row r="1162" spans="1:19" x14ac:dyDescent="0.35">
      <c r="A1162" s="25">
        <v>46190</v>
      </c>
      <c r="B1162" s="24">
        <v>37010.19</v>
      </c>
      <c r="C1162" s="24">
        <v>37010.19</v>
      </c>
      <c r="D1162" s="23">
        <f t="shared" si="18"/>
        <v>4.8897505029854328E-3</v>
      </c>
      <c r="F1162" s="22"/>
      <c r="I1162" s="21"/>
      <c r="K1162" s="22"/>
      <c r="L1162" s="24"/>
      <c r="M1162" s="24"/>
      <c r="N1162" s="21"/>
      <c r="P1162" s="22"/>
      <c r="S1162" s="21"/>
    </row>
    <row r="1163" spans="1:19" x14ac:dyDescent="0.35">
      <c r="A1163" s="25">
        <v>46191</v>
      </c>
      <c r="B1163" s="24">
        <v>37165.620000000003</v>
      </c>
      <c r="C1163" s="24">
        <v>37165.620000000003</v>
      </c>
      <c r="D1163" s="23">
        <f t="shared" si="18"/>
        <v>4.1996542033423843E-3</v>
      </c>
      <c r="F1163" s="22"/>
      <c r="I1163" s="21"/>
      <c r="K1163" s="22"/>
      <c r="L1163" s="24"/>
      <c r="M1163" s="24"/>
      <c r="N1163" s="21"/>
      <c r="P1163" s="22"/>
      <c r="S1163" s="21"/>
    </row>
    <row r="1164" spans="1:19" x14ac:dyDescent="0.35">
      <c r="A1164" s="25">
        <v>46192</v>
      </c>
      <c r="B1164" s="24">
        <v>37106.050000000003</v>
      </c>
      <c r="C1164" s="24">
        <v>37106.050000000003</v>
      </c>
      <c r="D1164" s="23">
        <f t="shared" si="18"/>
        <v>-1.6028254069217654E-3</v>
      </c>
      <c r="F1164" s="22"/>
      <c r="I1164" s="21"/>
      <c r="K1164" s="22"/>
      <c r="L1164" s="24"/>
      <c r="M1164" s="24"/>
      <c r="N1164" s="21"/>
      <c r="P1164" s="22"/>
      <c r="S1164" s="21"/>
    </row>
    <row r="1165" spans="1:19" x14ac:dyDescent="0.35">
      <c r="A1165" s="25">
        <v>46195</v>
      </c>
      <c r="B1165" s="24">
        <v>37294.639999999999</v>
      </c>
      <c r="C1165" s="24">
        <v>37294.639999999999</v>
      </c>
      <c r="D1165" s="23">
        <f t="shared" si="18"/>
        <v>5.0824595989062832E-3</v>
      </c>
      <c r="F1165" s="22"/>
      <c r="I1165" s="21"/>
      <c r="K1165" s="22"/>
      <c r="L1165" s="24"/>
      <c r="M1165" s="24"/>
      <c r="N1165" s="21"/>
      <c r="P1165" s="22"/>
      <c r="S1165" s="21"/>
    </row>
    <row r="1166" spans="1:19" x14ac:dyDescent="0.35">
      <c r="A1166" s="25">
        <v>46196</v>
      </c>
      <c r="B1166" s="24">
        <v>36899.440000000002</v>
      </c>
      <c r="C1166" s="24">
        <v>36899.440000000002</v>
      </c>
      <c r="D1166" s="23">
        <f t="shared" si="18"/>
        <v>-1.0596697005253224E-2</v>
      </c>
      <c r="F1166" s="22"/>
      <c r="I1166" s="21"/>
      <c r="K1166" s="22"/>
      <c r="L1166" s="24"/>
      <c r="M1166" s="24"/>
      <c r="N1166" s="21"/>
      <c r="P1166" s="22"/>
      <c r="S1166" s="21"/>
    </row>
    <row r="1167" spans="1:19" x14ac:dyDescent="0.35">
      <c r="A1167" s="25">
        <v>46197</v>
      </c>
      <c r="B1167" s="24">
        <v>37084.410000000003</v>
      </c>
      <c r="C1167" s="24">
        <v>37084.410000000003</v>
      </c>
      <c r="D1167" s="23">
        <f t="shared" si="18"/>
        <v>5.0128132025852199E-3</v>
      </c>
      <c r="F1167" s="22"/>
      <c r="I1167" s="21"/>
      <c r="K1167" s="22"/>
      <c r="L1167" s="24"/>
      <c r="M1167" s="24"/>
      <c r="N1167" s="21"/>
      <c r="P1167" s="22"/>
      <c r="S1167" s="21"/>
    </row>
    <row r="1168" spans="1:19" x14ac:dyDescent="0.35">
      <c r="A1168" s="25">
        <v>46198</v>
      </c>
      <c r="B1168" s="24">
        <v>37065.43</v>
      </c>
      <c r="C1168" s="24">
        <v>37065.43</v>
      </c>
      <c r="D1168" s="23">
        <f t="shared" si="18"/>
        <v>-5.1180536511173289E-4</v>
      </c>
      <c r="F1168" s="22"/>
      <c r="I1168" s="21"/>
      <c r="K1168" s="22"/>
      <c r="L1168" s="24"/>
      <c r="M1168" s="24"/>
      <c r="N1168" s="21"/>
      <c r="P1168" s="22"/>
      <c r="S1168" s="21"/>
    </row>
    <row r="1169" spans="1:19" x14ac:dyDescent="0.35">
      <c r="A1169" s="25">
        <v>46202</v>
      </c>
      <c r="B1169" s="24">
        <v>36883.370000000003</v>
      </c>
      <c r="C1169" s="24">
        <v>36883.370000000003</v>
      </c>
      <c r="D1169" s="23">
        <f t="shared" si="18"/>
        <v>-4.911854523203904E-3</v>
      </c>
      <c r="F1169" s="22"/>
      <c r="I1169" s="21"/>
      <c r="K1169" s="22"/>
      <c r="L1169" s="24"/>
      <c r="M1169" s="24"/>
      <c r="N1169" s="21"/>
      <c r="P1169" s="22"/>
      <c r="S1169" s="21"/>
    </row>
    <row r="1170" spans="1:19" x14ac:dyDescent="0.35">
      <c r="A1170" s="25">
        <v>46203</v>
      </c>
      <c r="B1170" s="24">
        <v>36880.75</v>
      </c>
      <c r="C1170" s="24">
        <v>36880.75</v>
      </c>
      <c r="D1170" s="23">
        <f t="shared" si="18"/>
        <v>-7.1034723779378592E-5</v>
      </c>
      <c r="F1170" s="22"/>
      <c r="I1170" s="21"/>
      <c r="K1170" s="22"/>
      <c r="L1170" s="24"/>
      <c r="M1170" s="24"/>
      <c r="N1170" s="21"/>
      <c r="P1170" s="22"/>
      <c r="S1170" s="21"/>
    </row>
    <row r="1171" spans="1:19" x14ac:dyDescent="0.35">
      <c r="A1171" s="25">
        <v>46204</v>
      </c>
      <c r="B1171" s="24">
        <v>37066.839999999997</v>
      </c>
      <c r="C1171" s="24">
        <v>37066.839999999997</v>
      </c>
      <c r="D1171" s="23">
        <f t="shared" si="18"/>
        <v>5.0457216840762865E-3</v>
      </c>
      <c r="F1171" s="22"/>
      <c r="I1171" s="21"/>
      <c r="K1171" s="22"/>
      <c r="L1171" s="24"/>
      <c r="M1171" s="24"/>
      <c r="N1171" s="21"/>
      <c r="P1171" s="22"/>
      <c r="S1171" s="21"/>
    </row>
    <row r="1172" spans="1:19" x14ac:dyDescent="0.35">
      <c r="A1172" s="25">
        <v>46205</v>
      </c>
      <c r="B1172" s="24">
        <v>37312.46</v>
      </c>
      <c r="C1172" s="24">
        <v>37312.46</v>
      </c>
      <c r="D1172" s="23">
        <f t="shared" si="18"/>
        <v>6.6264078621215789E-3</v>
      </c>
      <c r="F1172" s="22"/>
      <c r="I1172" s="21"/>
      <c r="K1172" s="22"/>
      <c r="L1172" s="24"/>
      <c r="M1172" s="24"/>
      <c r="N1172" s="21"/>
      <c r="P1172" s="22"/>
      <c r="S1172" s="21"/>
    </row>
    <row r="1173" spans="1:19" x14ac:dyDescent="0.35">
      <c r="A1173" s="25">
        <v>46206</v>
      </c>
      <c r="B1173" s="24">
        <v>37379.33</v>
      </c>
      <c r="C1173" s="24">
        <v>37379.33</v>
      </c>
      <c r="D1173" s="23">
        <f t="shared" si="18"/>
        <v>1.7921627252666433E-3</v>
      </c>
      <c r="F1173" s="22"/>
      <c r="I1173" s="21"/>
      <c r="K1173" s="22"/>
      <c r="L1173" s="24"/>
      <c r="M1173" s="24"/>
      <c r="N1173" s="21"/>
      <c r="P1173" s="22"/>
      <c r="S1173" s="21"/>
    </row>
    <row r="1174" spans="1:19" x14ac:dyDescent="0.35">
      <c r="A1174" s="25">
        <v>46209</v>
      </c>
      <c r="B1174" s="24">
        <v>37592.68</v>
      </c>
      <c r="C1174" s="24">
        <v>37592.68</v>
      </c>
      <c r="D1174" s="23">
        <f t="shared" si="18"/>
        <v>5.7076999507481418E-3</v>
      </c>
      <c r="F1174" s="22"/>
      <c r="I1174" s="21"/>
      <c r="K1174" s="22"/>
      <c r="L1174" s="24"/>
      <c r="M1174" s="24"/>
      <c r="N1174" s="21"/>
      <c r="P1174" s="22"/>
      <c r="S1174" s="21"/>
    </row>
    <row r="1175" spans="1:19" x14ac:dyDescent="0.35">
      <c r="A1175" s="25">
        <v>46210</v>
      </c>
      <c r="B1175" s="24">
        <v>37490.53</v>
      </c>
      <c r="C1175" s="24">
        <v>37490.53</v>
      </c>
      <c r="D1175" s="23">
        <f t="shared" si="18"/>
        <v>-2.7172843223734369E-3</v>
      </c>
      <c r="F1175" s="22"/>
      <c r="I1175" s="21"/>
      <c r="K1175" s="22"/>
      <c r="L1175" s="24"/>
      <c r="M1175" s="24"/>
      <c r="N1175" s="21"/>
      <c r="P1175" s="22"/>
      <c r="S1175" s="21"/>
    </row>
    <row r="1176" spans="1:19" x14ac:dyDescent="0.35">
      <c r="A1176" s="25">
        <v>46211</v>
      </c>
      <c r="B1176" s="24">
        <v>36751.9</v>
      </c>
      <c r="C1176" s="24">
        <v>36751.9</v>
      </c>
      <c r="D1176" s="23">
        <f t="shared" si="18"/>
        <v>-1.9701775355002914E-2</v>
      </c>
      <c r="F1176" s="22"/>
      <c r="I1176" s="21"/>
      <c r="K1176" s="22"/>
      <c r="L1176" s="24"/>
      <c r="M1176" s="24"/>
      <c r="N1176" s="21"/>
      <c r="P1176" s="22"/>
      <c r="S1176" s="21"/>
    </row>
    <row r="1177" spans="1:19" x14ac:dyDescent="0.35">
      <c r="A1177" s="25">
        <v>46212</v>
      </c>
      <c r="B1177" s="24">
        <v>37030.720000000001</v>
      </c>
      <c r="C1177" s="24">
        <v>37030.720000000001</v>
      </c>
      <c r="D1177" s="23">
        <f t="shared" si="18"/>
        <v>7.5865465458928574E-3</v>
      </c>
      <c r="F1177" s="22"/>
      <c r="I1177" s="21"/>
      <c r="K1177" s="22"/>
      <c r="L1177" s="24"/>
      <c r="M1177" s="24"/>
      <c r="N1177" s="21"/>
      <c r="P1177" s="22"/>
      <c r="S1177" s="21"/>
    </row>
    <row r="1178" spans="1:19" x14ac:dyDescent="0.35">
      <c r="A1178" s="25">
        <v>46213</v>
      </c>
      <c r="B1178" s="24">
        <v>37465.01</v>
      </c>
      <c r="C1178" s="24">
        <v>37465.01</v>
      </c>
      <c r="D1178" s="23">
        <f t="shared" si="18"/>
        <v>1.1727830298735776E-2</v>
      </c>
      <c r="F1178" s="22"/>
      <c r="I1178" s="21"/>
      <c r="K1178" s="22"/>
      <c r="L1178" s="24"/>
      <c r="M1178" s="24"/>
      <c r="N1178" s="21"/>
      <c r="P1178" s="22"/>
      <c r="S1178" s="21"/>
    </row>
    <row r="1179" spans="1:19" x14ac:dyDescent="0.35">
      <c r="A1179" s="25">
        <v>46216</v>
      </c>
      <c r="B1179" s="24">
        <v>37462.83</v>
      </c>
      <c r="C1179" s="24">
        <v>37462.83</v>
      </c>
      <c r="D1179" s="23">
        <f t="shared" si="18"/>
        <v>-5.8187626267824055E-5</v>
      </c>
      <c r="F1179" s="22"/>
      <c r="I1179" s="21"/>
      <c r="K1179" s="22"/>
      <c r="L1179" s="24"/>
      <c r="M1179" s="24"/>
      <c r="N1179" s="21"/>
      <c r="P1179" s="22"/>
      <c r="S1179" s="21"/>
    </row>
    <row r="1180" spans="1:19" x14ac:dyDescent="0.35">
      <c r="A1180" s="25">
        <v>46217</v>
      </c>
      <c r="B1180" s="24">
        <v>37226.58</v>
      </c>
      <c r="C1180" s="24">
        <v>37226.58</v>
      </c>
      <c r="D1180" s="23">
        <f t="shared" si="18"/>
        <v>-6.3062507557490981E-3</v>
      </c>
      <c r="F1180" s="22"/>
      <c r="I1180" s="21"/>
      <c r="K1180" s="22"/>
      <c r="L1180" s="24"/>
      <c r="M1180" s="24"/>
      <c r="N1180" s="21"/>
      <c r="P1180" s="22"/>
      <c r="S1180" s="21"/>
    </row>
    <row r="1181" spans="1:19" x14ac:dyDescent="0.35">
      <c r="A1181" s="25">
        <v>46218</v>
      </c>
      <c r="B1181" s="24">
        <v>37332.65</v>
      </c>
      <c r="C1181" s="24">
        <v>37332.65</v>
      </c>
      <c r="D1181" s="23">
        <f t="shared" si="18"/>
        <v>2.8493082093493335E-3</v>
      </c>
      <c r="F1181" s="22"/>
      <c r="I1181" s="21"/>
      <c r="K1181" s="22"/>
      <c r="L1181" s="24"/>
      <c r="M1181" s="24"/>
      <c r="N1181" s="21"/>
      <c r="P1181" s="22"/>
      <c r="S1181" s="21"/>
    </row>
    <row r="1182" spans="1:19" x14ac:dyDescent="0.35">
      <c r="A1182" s="25">
        <v>46219</v>
      </c>
      <c r="B1182" s="24">
        <v>37282.57</v>
      </c>
      <c r="C1182" s="24">
        <v>37282.57</v>
      </c>
      <c r="D1182" s="23">
        <f t="shared" si="18"/>
        <v>-1.3414531248117062E-3</v>
      </c>
      <c r="F1182" s="22"/>
      <c r="I1182" s="21"/>
      <c r="K1182" s="22"/>
      <c r="L1182" s="24"/>
      <c r="M1182" s="24"/>
      <c r="N1182" s="21"/>
      <c r="P1182" s="22"/>
      <c r="S1182" s="21"/>
    </row>
    <row r="1183" spans="1:19" x14ac:dyDescent="0.35">
      <c r="A1183" s="25">
        <v>46220</v>
      </c>
      <c r="B1183" s="24">
        <v>37457.949999999997</v>
      </c>
      <c r="C1183" s="24">
        <v>37457.949999999997</v>
      </c>
      <c r="D1183" s="23">
        <f t="shared" si="18"/>
        <v>4.7040748532088152E-3</v>
      </c>
      <c r="F1183" s="22"/>
      <c r="I1183" s="21"/>
      <c r="K1183" s="22"/>
      <c r="L1183" s="24"/>
      <c r="M1183" s="24"/>
      <c r="N1183" s="21"/>
      <c r="P1183" s="22"/>
      <c r="S1183" s="21"/>
    </row>
    <row r="1184" spans="1:19" x14ac:dyDescent="0.35">
      <c r="A1184" s="25">
        <v>46223</v>
      </c>
      <c r="B1184" s="24">
        <v>37460.92</v>
      </c>
      <c r="C1184" s="24">
        <v>37460.92</v>
      </c>
      <c r="D1184" s="23">
        <f t="shared" si="18"/>
        <v>7.9288909296989406E-5</v>
      </c>
      <c r="F1184" s="22"/>
      <c r="I1184" s="21"/>
      <c r="K1184" s="22"/>
      <c r="L1184" s="24"/>
      <c r="M1184" s="24"/>
      <c r="N1184" s="21"/>
      <c r="P1184" s="22"/>
      <c r="S1184" s="21"/>
    </row>
    <row r="1185" spans="1:19" x14ac:dyDescent="0.35">
      <c r="A1185" s="25">
        <v>46224</v>
      </c>
      <c r="B1185" s="24">
        <v>37483.71</v>
      </c>
      <c r="C1185" s="24">
        <v>37483.71</v>
      </c>
      <c r="D1185" s="23">
        <f t="shared" si="18"/>
        <v>6.0836733321020613E-4</v>
      </c>
      <c r="F1185" s="22"/>
      <c r="I1185" s="21"/>
      <c r="K1185" s="22"/>
      <c r="L1185" s="24"/>
      <c r="M1185" s="24"/>
      <c r="N1185" s="21"/>
      <c r="P1185" s="22"/>
      <c r="S1185" s="21"/>
    </row>
    <row r="1186" spans="1:19" x14ac:dyDescent="0.35">
      <c r="A1186" s="25">
        <v>46225</v>
      </c>
      <c r="B1186" s="24">
        <v>37151.4</v>
      </c>
      <c r="C1186" s="24">
        <v>37151.4</v>
      </c>
      <c r="D1186" s="23">
        <f t="shared" si="18"/>
        <v>-8.8654511519803587E-3</v>
      </c>
      <c r="F1186" s="22"/>
      <c r="I1186" s="21"/>
      <c r="K1186" s="22"/>
      <c r="L1186" s="24"/>
      <c r="M1186" s="24"/>
      <c r="N1186" s="21"/>
      <c r="P1186" s="22"/>
      <c r="S1186" s="21"/>
    </row>
    <row r="1187" spans="1:19" x14ac:dyDescent="0.35">
      <c r="A1187" s="25">
        <v>46226</v>
      </c>
      <c r="B1187" s="24">
        <v>36891.089999999997</v>
      </c>
      <c r="C1187" s="24">
        <v>36891.089999999997</v>
      </c>
      <c r="D1187" s="23">
        <f t="shared" si="18"/>
        <v>-7.0067346048871626E-3</v>
      </c>
      <c r="F1187" s="22"/>
      <c r="I1187" s="21"/>
      <c r="K1187" s="22"/>
      <c r="L1187" s="24"/>
      <c r="M1187" s="24"/>
      <c r="N1187" s="21"/>
      <c r="P1187" s="22"/>
      <c r="S1187" s="21"/>
    </row>
    <row r="1188" spans="1:19" x14ac:dyDescent="0.35">
      <c r="A1188" s="25">
        <v>46227</v>
      </c>
      <c r="B1188" s="24">
        <v>36798.25</v>
      </c>
      <c r="C1188" s="24">
        <v>36798.25</v>
      </c>
      <c r="D1188" s="23">
        <f t="shared" si="18"/>
        <v>-2.5165968259543568E-3</v>
      </c>
      <c r="F1188" s="22"/>
      <c r="I1188" s="21"/>
      <c r="K1188" s="22"/>
      <c r="L1188" s="24"/>
      <c r="M1188" s="24"/>
      <c r="N1188" s="21"/>
      <c r="P1188" s="22"/>
      <c r="S1188" s="21"/>
    </row>
    <row r="1189" spans="1:19" x14ac:dyDescent="0.35">
      <c r="A1189" s="25">
        <v>46230</v>
      </c>
      <c r="B1189" s="24">
        <v>37186.11</v>
      </c>
      <c r="C1189" s="24">
        <v>37186.11</v>
      </c>
      <c r="D1189" s="23">
        <f t="shared" si="18"/>
        <v>1.0540175144198449E-2</v>
      </c>
      <c r="F1189" s="22"/>
      <c r="I1189" s="21"/>
      <c r="K1189" s="22"/>
      <c r="L1189" s="24"/>
      <c r="M1189" s="24"/>
      <c r="N1189" s="21"/>
      <c r="P1189" s="22"/>
      <c r="S1189" s="21"/>
    </row>
    <row r="1190" spans="1:19" x14ac:dyDescent="0.35">
      <c r="A1190" s="25">
        <v>46231</v>
      </c>
      <c r="B1190" s="24">
        <v>37125.15</v>
      </c>
      <c r="C1190" s="24">
        <v>37125.15</v>
      </c>
      <c r="D1190" s="23">
        <f t="shared" si="18"/>
        <v>-1.639321779019078E-3</v>
      </c>
      <c r="F1190" s="22"/>
      <c r="I1190" s="21"/>
      <c r="K1190" s="22"/>
      <c r="L1190" s="24"/>
      <c r="M1190" s="24"/>
      <c r="N1190" s="21"/>
      <c r="P1190" s="22"/>
      <c r="S1190" s="21"/>
    </row>
    <row r="1191" spans="1:19" x14ac:dyDescent="0.35">
      <c r="A1191" s="25">
        <v>46232</v>
      </c>
      <c r="B1191" s="24">
        <v>37507.21</v>
      </c>
      <c r="C1191" s="24">
        <v>37507.21</v>
      </c>
      <c r="D1191" s="23">
        <f t="shared" si="18"/>
        <v>1.0291136870827396E-2</v>
      </c>
      <c r="F1191" s="22"/>
      <c r="I1191" s="21"/>
      <c r="K1191" s="22"/>
      <c r="L1191" s="24"/>
      <c r="M1191" s="24"/>
      <c r="N1191" s="21"/>
      <c r="P1191" s="22"/>
      <c r="S1191" s="21"/>
    </row>
    <row r="1192" spans="1:19" x14ac:dyDescent="0.35">
      <c r="A1192" s="25">
        <v>46233</v>
      </c>
      <c r="B1192" s="24">
        <v>37509.35</v>
      </c>
      <c r="C1192" s="24">
        <v>37509.35</v>
      </c>
      <c r="D1192" s="23">
        <f t="shared" si="18"/>
        <v>5.705569675802114E-5</v>
      </c>
      <c r="F1192" s="22"/>
      <c r="I1192" s="21"/>
      <c r="K1192" s="22"/>
      <c r="L1192" s="24"/>
      <c r="M1192" s="24"/>
      <c r="N1192" s="21"/>
      <c r="P1192" s="22"/>
      <c r="S1192" s="21"/>
    </row>
    <row r="1193" spans="1:19" x14ac:dyDescent="0.35">
      <c r="A1193" s="25">
        <v>46234</v>
      </c>
      <c r="B1193" s="24">
        <v>37692.089999999997</v>
      </c>
      <c r="C1193" s="24">
        <v>37692.089999999997</v>
      </c>
      <c r="D1193" s="23">
        <f t="shared" si="18"/>
        <v>4.8718519515800187E-3</v>
      </c>
      <c r="F1193" s="22"/>
      <c r="I1193" s="21"/>
      <c r="K1193" s="22"/>
      <c r="L1193" s="24"/>
      <c r="M1193" s="24"/>
      <c r="N1193" s="21"/>
      <c r="P1193" s="22"/>
      <c r="S1193" s="21"/>
    </row>
    <row r="1194" spans="1:19" x14ac:dyDescent="0.35">
      <c r="A1194" s="25">
        <v>46237</v>
      </c>
      <c r="B1194" s="24">
        <v>38258.25</v>
      </c>
      <c r="C1194" s="24">
        <v>38258.25</v>
      </c>
      <c r="D1194" s="23">
        <f t="shared" si="18"/>
        <v>1.5020658180536117E-2</v>
      </c>
      <c r="F1194" s="22"/>
      <c r="I1194" s="21"/>
      <c r="K1194" s="22"/>
      <c r="L1194" s="24"/>
      <c r="M1194" s="24"/>
      <c r="N1194" s="21"/>
      <c r="P1194" s="22"/>
      <c r="S1194" s="21"/>
    </row>
    <row r="1195" spans="1:19" x14ac:dyDescent="0.35">
      <c r="A1195" s="25">
        <v>46238</v>
      </c>
      <c r="B1195" s="24">
        <v>38077.879999999997</v>
      </c>
      <c r="C1195" s="24">
        <v>38077.879999999997</v>
      </c>
      <c r="D1195" s="23">
        <f t="shared" si="18"/>
        <v>-4.7145386942686251E-3</v>
      </c>
      <c r="F1195" s="22"/>
      <c r="I1195" s="21"/>
      <c r="K1195" s="22"/>
      <c r="L1195" s="24"/>
      <c r="M1195" s="24"/>
      <c r="N1195" s="21"/>
      <c r="P1195" s="22"/>
      <c r="S1195" s="21"/>
    </row>
    <row r="1196" spans="1:19" x14ac:dyDescent="0.35">
      <c r="A1196" s="25">
        <v>46239</v>
      </c>
      <c r="B1196" s="24">
        <v>38152.160000000003</v>
      </c>
      <c r="C1196" s="24">
        <v>38152.160000000003</v>
      </c>
      <c r="D1196" s="23">
        <f t="shared" si="18"/>
        <v>1.9507388541590582E-3</v>
      </c>
      <c r="F1196" s="22"/>
      <c r="I1196" s="21"/>
      <c r="K1196" s="22"/>
      <c r="L1196" s="24"/>
      <c r="M1196" s="24"/>
      <c r="N1196" s="21"/>
      <c r="P1196" s="22"/>
      <c r="S1196" s="21"/>
    </row>
    <row r="1197" spans="1:19" x14ac:dyDescent="0.35">
      <c r="A1197" s="25">
        <v>46240</v>
      </c>
      <c r="B1197" s="24">
        <v>38142.42</v>
      </c>
      <c r="C1197" s="24">
        <v>38142.42</v>
      </c>
      <c r="D1197" s="23">
        <f t="shared" si="18"/>
        <v>-2.5529354039208364E-4</v>
      </c>
      <c r="F1197" s="22"/>
      <c r="I1197" s="21"/>
      <c r="K1197" s="22"/>
      <c r="L1197" s="24"/>
      <c r="M1197" s="24"/>
      <c r="N1197" s="21"/>
      <c r="P1197" s="22"/>
      <c r="S1197" s="21"/>
    </row>
    <row r="1198" spans="1:19" x14ac:dyDescent="0.35">
      <c r="A1198" s="25">
        <v>46241</v>
      </c>
      <c r="B1198" s="24">
        <v>38121.360000000001</v>
      </c>
      <c r="C1198" s="24">
        <v>38121.360000000001</v>
      </c>
      <c r="D1198" s="23">
        <f t="shared" si="18"/>
        <v>-5.5214115937052949E-4</v>
      </c>
      <c r="F1198" s="22"/>
      <c r="I1198" s="21"/>
      <c r="K1198" s="22"/>
      <c r="L1198" s="24"/>
      <c r="M1198" s="24"/>
      <c r="N1198" s="21"/>
      <c r="P1198" s="22"/>
      <c r="S1198" s="21"/>
    </row>
    <row r="1199" spans="1:19" x14ac:dyDescent="0.35">
      <c r="A1199" s="25">
        <v>46244</v>
      </c>
      <c r="B1199" s="24">
        <v>38171.760000000002</v>
      </c>
      <c r="C1199" s="24">
        <v>38171.760000000002</v>
      </c>
      <c r="D1199" s="23">
        <f t="shared" si="18"/>
        <v>1.3220934405278682E-3</v>
      </c>
      <c r="F1199" s="22"/>
      <c r="I1199" s="21"/>
      <c r="K1199" s="22"/>
      <c r="L1199" s="24"/>
      <c r="M1199" s="24"/>
      <c r="N1199" s="21"/>
      <c r="P1199" s="22"/>
      <c r="S1199" s="21"/>
    </row>
    <row r="1200" spans="1:19" x14ac:dyDescent="0.35">
      <c r="A1200" s="25">
        <v>46245</v>
      </c>
      <c r="B1200" s="24">
        <v>38072.74</v>
      </c>
      <c r="C1200" s="24">
        <v>38072.74</v>
      </c>
      <c r="D1200" s="23">
        <f t="shared" si="18"/>
        <v>-2.5940643030346014E-3</v>
      </c>
      <c r="F1200" s="22"/>
      <c r="I1200" s="21"/>
      <c r="K1200" s="22"/>
      <c r="L1200" s="24"/>
      <c r="M1200" s="24"/>
      <c r="N1200" s="21"/>
      <c r="P1200" s="22"/>
      <c r="S1200" s="21"/>
    </row>
    <row r="1201" spans="1:19" x14ac:dyDescent="0.35">
      <c r="A1201" s="25">
        <v>46246</v>
      </c>
      <c r="B1201" s="24">
        <v>38059.199999999997</v>
      </c>
      <c r="C1201" s="24">
        <v>38059.199999999997</v>
      </c>
      <c r="D1201" s="23">
        <f t="shared" si="18"/>
        <v>-3.5563502915736753E-4</v>
      </c>
      <c r="F1201" s="22"/>
      <c r="I1201" s="21"/>
      <c r="K1201" s="22"/>
      <c r="L1201" s="24"/>
      <c r="M1201" s="24"/>
      <c r="N1201" s="21"/>
      <c r="P1201" s="22"/>
      <c r="S1201" s="21"/>
    </row>
    <row r="1202" spans="1:19" x14ac:dyDescent="0.35">
      <c r="A1202" s="25">
        <v>46247</v>
      </c>
      <c r="B1202" s="24">
        <v>38038.21</v>
      </c>
      <c r="C1202" s="24">
        <v>38038.21</v>
      </c>
      <c r="D1202" s="23">
        <f t="shared" si="18"/>
        <v>-5.5150922772937859E-4</v>
      </c>
      <c r="F1202" s="22"/>
      <c r="I1202" s="21"/>
      <c r="K1202" s="22"/>
      <c r="L1202" s="24"/>
      <c r="M1202" s="24"/>
      <c r="N1202" s="21"/>
      <c r="P1202" s="22"/>
      <c r="S1202" s="21"/>
    </row>
    <row r="1203" spans="1:19" x14ac:dyDescent="0.35">
      <c r="A1203" s="25">
        <v>46248</v>
      </c>
      <c r="B1203" s="24">
        <v>37939.51</v>
      </c>
      <c r="C1203" s="24">
        <v>37939.51</v>
      </c>
      <c r="D1203" s="23">
        <f t="shared" si="18"/>
        <v>-2.5947593222708717E-3</v>
      </c>
      <c r="F1203" s="22"/>
      <c r="I1203" s="21"/>
      <c r="K1203" s="22"/>
      <c r="L1203" s="24"/>
      <c r="M1203" s="24"/>
      <c r="N1203" s="21"/>
      <c r="P1203" s="22"/>
      <c r="S1203" s="21"/>
    </row>
    <row r="1204" spans="1:19" x14ac:dyDescent="0.35">
      <c r="A1204" s="25">
        <v>46251</v>
      </c>
      <c r="B1204" s="24">
        <v>37891.06</v>
      </c>
      <c r="C1204" s="24">
        <v>37891.06</v>
      </c>
      <c r="D1204" s="23">
        <f t="shared" si="18"/>
        <v>-1.277032834636092E-3</v>
      </c>
      <c r="F1204" s="22"/>
      <c r="I1204" s="21"/>
      <c r="K1204" s="22"/>
      <c r="L1204" s="24"/>
      <c r="M1204" s="24"/>
      <c r="N1204" s="21"/>
      <c r="P1204" s="22"/>
      <c r="S1204" s="21"/>
    </row>
    <row r="1205" spans="1:19" x14ac:dyDescent="0.35">
      <c r="A1205" s="25">
        <v>46252</v>
      </c>
      <c r="B1205" s="24">
        <v>37743.46</v>
      </c>
      <c r="C1205" s="24">
        <v>37743.46</v>
      </c>
      <c r="D1205" s="23">
        <f t="shared" si="18"/>
        <v>-3.8953779598670125E-3</v>
      </c>
      <c r="F1205" s="22"/>
      <c r="I1205" s="21"/>
      <c r="K1205" s="22"/>
      <c r="L1205" s="24"/>
      <c r="M1205" s="24"/>
      <c r="N1205" s="21"/>
      <c r="P1205" s="22"/>
      <c r="S1205" s="21"/>
    </row>
    <row r="1206" spans="1:19" x14ac:dyDescent="0.35">
      <c r="A1206" s="25">
        <v>46253</v>
      </c>
      <c r="B1206" s="24">
        <v>37605.050000000003</v>
      </c>
      <c r="C1206" s="24">
        <v>37605.050000000003</v>
      </c>
      <c r="D1206" s="23">
        <f t="shared" si="18"/>
        <v>-3.6671253774825155E-3</v>
      </c>
      <c r="F1206" s="22"/>
      <c r="I1206" s="21"/>
      <c r="K1206" s="22"/>
      <c r="L1206" s="24"/>
      <c r="M1206" s="24"/>
      <c r="N1206" s="21"/>
      <c r="P1206" s="22"/>
      <c r="S1206" s="21"/>
    </row>
    <row r="1207" spans="1:19" x14ac:dyDescent="0.35">
      <c r="A1207" s="25">
        <v>46254</v>
      </c>
      <c r="B1207" s="24">
        <v>37808.980000000003</v>
      </c>
      <c r="C1207" s="24">
        <v>37808.980000000003</v>
      </c>
      <c r="D1207" s="23">
        <f t="shared" si="18"/>
        <v>5.4229418655207286E-3</v>
      </c>
      <c r="F1207" s="22"/>
      <c r="I1207" s="21"/>
      <c r="K1207" s="22"/>
      <c r="L1207" s="24"/>
      <c r="M1207" s="24"/>
      <c r="N1207" s="21"/>
      <c r="P1207" s="22"/>
      <c r="S1207" s="21"/>
    </row>
    <row r="1208" spans="1:19" x14ac:dyDescent="0.35">
      <c r="A1208" s="25">
        <v>46255</v>
      </c>
      <c r="B1208" s="24">
        <v>37838.15</v>
      </c>
      <c r="C1208" s="24">
        <v>37838.15</v>
      </c>
      <c r="D1208" s="23">
        <f t="shared" si="18"/>
        <v>7.7150983708098577E-4</v>
      </c>
      <c r="F1208" s="22"/>
      <c r="I1208" s="21"/>
      <c r="K1208" s="22"/>
      <c r="L1208" s="24"/>
      <c r="M1208" s="24"/>
      <c r="N1208" s="21"/>
      <c r="P1208" s="22"/>
      <c r="S1208" s="21"/>
    </row>
    <row r="1209" spans="1:19" x14ac:dyDescent="0.35">
      <c r="A1209" s="25">
        <v>46258</v>
      </c>
      <c r="B1209" s="24">
        <v>37808.660000000003</v>
      </c>
      <c r="C1209" s="24">
        <v>37808.660000000003</v>
      </c>
      <c r="D1209" s="23">
        <f t="shared" si="18"/>
        <v>-7.7937214160834925E-4</v>
      </c>
      <c r="F1209" s="22"/>
      <c r="I1209" s="21"/>
      <c r="K1209" s="22"/>
      <c r="L1209" s="24"/>
      <c r="M1209" s="24"/>
      <c r="N1209" s="21"/>
      <c r="P1209" s="22"/>
      <c r="S1209" s="21"/>
    </row>
    <row r="1210" spans="1:19" x14ac:dyDescent="0.35">
      <c r="A1210" s="25">
        <v>46259</v>
      </c>
      <c r="B1210" s="24">
        <v>37969.360000000001</v>
      </c>
      <c r="C1210" s="24">
        <v>37969.360000000001</v>
      </c>
      <c r="D1210" s="23">
        <f t="shared" si="18"/>
        <v>4.2503489941192593E-3</v>
      </c>
      <c r="F1210" s="22"/>
      <c r="I1210" s="21"/>
      <c r="K1210" s="22"/>
      <c r="L1210" s="24"/>
      <c r="M1210" s="24"/>
      <c r="N1210" s="21"/>
      <c r="P1210" s="22"/>
      <c r="S1210" s="21"/>
    </row>
    <row r="1211" spans="1:19" x14ac:dyDescent="0.35">
      <c r="A1211" s="25">
        <v>46260</v>
      </c>
      <c r="B1211" s="24">
        <v>37885.089999999997</v>
      </c>
      <c r="C1211" s="24">
        <v>37885.089999999997</v>
      </c>
      <c r="D1211" s="23">
        <f t="shared" si="18"/>
        <v>-2.2194211332507074E-3</v>
      </c>
      <c r="F1211" s="22"/>
      <c r="I1211" s="21"/>
      <c r="K1211" s="22"/>
      <c r="L1211" s="24"/>
      <c r="M1211" s="24"/>
      <c r="N1211" s="21"/>
      <c r="P1211" s="22"/>
      <c r="S1211" s="21"/>
    </row>
    <row r="1212" spans="1:19" x14ac:dyDescent="0.35">
      <c r="A1212" s="25">
        <v>46261</v>
      </c>
      <c r="B1212" s="24">
        <v>37762.080000000002</v>
      </c>
      <c r="C1212" s="24">
        <v>37762.080000000002</v>
      </c>
      <c r="D1212" s="23">
        <f t="shared" si="18"/>
        <v>-3.2469237898074088E-3</v>
      </c>
      <c r="F1212" s="22"/>
      <c r="I1212" s="21"/>
      <c r="K1212" s="22"/>
      <c r="L1212" s="24"/>
      <c r="M1212" s="24"/>
      <c r="N1212" s="21"/>
      <c r="P1212" s="22"/>
      <c r="S1212" s="21"/>
    </row>
    <row r="1213" spans="1:19" x14ac:dyDescent="0.35">
      <c r="A1213" s="25">
        <v>46262</v>
      </c>
      <c r="B1213" s="24">
        <v>37837.699999999997</v>
      </c>
      <c r="C1213" s="24">
        <v>37837.699999999997</v>
      </c>
      <c r="D1213" s="23">
        <f t="shared" si="18"/>
        <v>2.0025379957882444E-3</v>
      </c>
      <c r="F1213" s="22"/>
      <c r="I1213" s="21"/>
      <c r="K1213" s="22"/>
      <c r="L1213" s="24"/>
      <c r="M1213" s="24"/>
      <c r="N1213" s="21"/>
      <c r="P1213" s="22"/>
      <c r="S1213" s="21"/>
    </row>
    <row r="1214" spans="1:19" x14ac:dyDescent="0.35">
      <c r="A1214" s="25">
        <v>46265</v>
      </c>
      <c r="B1214" s="24">
        <v>37712</v>
      </c>
      <c r="C1214" s="24">
        <v>37712</v>
      </c>
      <c r="D1214" s="23">
        <f t="shared" si="18"/>
        <v>-3.3220835304470699E-3</v>
      </c>
      <c r="F1214" s="22"/>
      <c r="I1214" s="21"/>
      <c r="K1214" s="22"/>
      <c r="L1214" s="24"/>
      <c r="M1214" s="24"/>
      <c r="N1214" s="21"/>
      <c r="P1214" s="22"/>
      <c r="S1214" s="21"/>
    </row>
    <row r="1215" spans="1:19" x14ac:dyDescent="0.35">
      <c r="A1215" s="25">
        <v>46266</v>
      </c>
      <c r="B1215" s="24">
        <v>37534.39</v>
      </c>
      <c r="C1215" s="24">
        <v>37534.39</v>
      </c>
      <c r="D1215" s="23">
        <f t="shared" si="18"/>
        <v>-4.7096414934238596E-3</v>
      </c>
      <c r="F1215" s="22"/>
      <c r="I1215" s="21"/>
      <c r="K1215" s="22"/>
      <c r="L1215" s="24"/>
      <c r="M1215" s="24"/>
      <c r="N1215" s="21"/>
      <c r="P1215" s="22"/>
      <c r="S1215" s="21"/>
    </row>
    <row r="1216" spans="1:19" x14ac:dyDescent="0.35">
      <c r="A1216" s="25">
        <v>46267</v>
      </c>
      <c r="B1216" s="24">
        <v>37349.49</v>
      </c>
      <c r="C1216" s="24">
        <v>37349.49</v>
      </c>
      <c r="D1216" s="23">
        <f t="shared" si="18"/>
        <v>-4.9261490595691433E-3</v>
      </c>
      <c r="F1216" s="22"/>
      <c r="I1216" s="21"/>
      <c r="K1216" s="22"/>
      <c r="L1216" s="24"/>
      <c r="M1216" s="24"/>
      <c r="N1216" s="21"/>
      <c r="P1216" s="22"/>
      <c r="S1216" s="21"/>
    </row>
    <row r="1217" spans="1:19" x14ac:dyDescent="0.35">
      <c r="A1217" s="25">
        <v>46268</v>
      </c>
      <c r="B1217" s="24">
        <v>37399.75</v>
      </c>
      <c r="C1217" s="24">
        <v>37399.75</v>
      </c>
      <c r="D1217" s="23">
        <f t="shared" si="18"/>
        <v>1.3456676382998011E-3</v>
      </c>
      <c r="F1217" s="22"/>
      <c r="I1217" s="21"/>
      <c r="K1217" s="22"/>
      <c r="L1217" s="24"/>
      <c r="M1217" s="24"/>
      <c r="N1217" s="21"/>
      <c r="P1217" s="22"/>
      <c r="S1217" s="21"/>
    </row>
    <row r="1218" spans="1:19" x14ac:dyDescent="0.35">
      <c r="F1218" s="22"/>
      <c r="I1218" s="21"/>
      <c r="K1218" s="22"/>
      <c r="L1218" s="24"/>
      <c r="M1218" s="24"/>
      <c r="N1218" s="21"/>
      <c r="P1218" s="22"/>
      <c r="S1218" s="21"/>
    </row>
    <row r="1219" spans="1:19" x14ac:dyDescent="0.35">
      <c r="F1219" s="22"/>
      <c r="I1219" s="21"/>
      <c r="K1219" s="22"/>
      <c r="L1219" s="24"/>
      <c r="M1219" s="24"/>
      <c r="N1219" s="21"/>
      <c r="P1219" s="22"/>
      <c r="S1219" s="21"/>
    </row>
    <row r="1220" spans="1:19" x14ac:dyDescent="0.35">
      <c r="F1220" s="22"/>
      <c r="I1220" s="21"/>
      <c r="K1220" s="22"/>
      <c r="L1220" s="24"/>
      <c r="M1220" s="24"/>
      <c r="N1220" s="21"/>
      <c r="P1220" s="22"/>
      <c r="S1220" s="21"/>
    </row>
    <row r="1221" spans="1:19" x14ac:dyDescent="0.35">
      <c r="F1221" s="22"/>
      <c r="I1221" s="21"/>
      <c r="K1221" s="22"/>
      <c r="L1221" s="24"/>
      <c r="M1221" s="24"/>
      <c r="N1221" s="21"/>
      <c r="P1221" s="22"/>
      <c r="S1221" s="21"/>
    </row>
    <row r="1222" spans="1:19" x14ac:dyDescent="0.35">
      <c r="F1222" s="22"/>
      <c r="I1222" s="21"/>
      <c r="K1222" s="22"/>
      <c r="L1222" s="24"/>
      <c r="M1222" s="24"/>
      <c r="N1222" s="21"/>
      <c r="P1222" s="22"/>
      <c r="S1222" s="21"/>
    </row>
    <row r="1223" spans="1:19" x14ac:dyDescent="0.35">
      <c r="F1223" s="22"/>
      <c r="I1223" s="21"/>
      <c r="K1223" s="22"/>
      <c r="L1223" s="24"/>
      <c r="M1223" s="24"/>
      <c r="N1223" s="21"/>
      <c r="P1223" s="22"/>
      <c r="S1223" s="21"/>
    </row>
    <row r="1224" spans="1:19" x14ac:dyDescent="0.35">
      <c r="F1224" s="22"/>
      <c r="I1224" s="21"/>
      <c r="K1224" s="22"/>
      <c r="L1224" s="24"/>
      <c r="M1224" s="24"/>
      <c r="N1224" s="21"/>
      <c r="P1224" s="22"/>
      <c r="S1224" s="21"/>
    </row>
    <row r="1225" spans="1:19" x14ac:dyDescent="0.35">
      <c r="F1225" s="22"/>
      <c r="I1225" s="21"/>
      <c r="K1225" s="22"/>
      <c r="L1225" s="24"/>
      <c r="M1225" s="24"/>
      <c r="N1225" s="21"/>
      <c r="P1225" s="22"/>
      <c r="S1225" s="21"/>
    </row>
    <row r="1226" spans="1:19" x14ac:dyDescent="0.35">
      <c r="F1226" s="22"/>
      <c r="I1226" s="21"/>
      <c r="K1226" s="22"/>
      <c r="L1226" s="24"/>
      <c r="M1226" s="24"/>
      <c r="N1226" s="21"/>
      <c r="P1226" s="22"/>
      <c r="S1226" s="21"/>
    </row>
    <row r="1227" spans="1:19" x14ac:dyDescent="0.35">
      <c r="F1227" s="22"/>
      <c r="I1227" s="21"/>
      <c r="K1227" s="22"/>
      <c r="L1227" s="24"/>
      <c r="M1227" s="24"/>
      <c r="N1227" s="21"/>
      <c r="P1227" s="22"/>
      <c r="S1227" s="21"/>
    </row>
    <row r="1228" spans="1:19" x14ac:dyDescent="0.35">
      <c r="F1228" s="22"/>
      <c r="I1228" s="21"/>
      <c r="K1228" s="22"/>
      <c r="L1228" s="24"/>
      <c r="M1228" s="24"/>
      <c r="N1228" s="21"/>
      <c r="P1228" s="22"/>
      <c r="S1228" s="21"/>
    </row>
    <row r="1229" spans="1:19" x14ac:dyDescent="0.35">
      <c r="F1229" s="22"/>
      <c r="I1229" s="21"/>
    </row>
    <row r="1230" spans="1:19" x14ac:dyDescent="0.35">
      <c r="F1230" s="22"/>
      <c r="I1230" s="21"/>
    </row>
    <row r="1231" spans="1:19" x14ac:dyDescent="0.35">
      <c r="F1231" s="22"/>
      <c r="I1231" s="21"/>
    </row>
    <row r="1232" spans="1:19" x14ac:dyDescent="0.35">
      <c r="F1232" s="22"/>
      <c r="I1232" s="21"/>
    </row>
    <row r="1233" spans="6:9" x14ac:dyDescent="0.35">
      <c r="F1233" s="22"/>
      <c r="I1233" s="21"/>
    </row>
    <row r="1234" spans="6:9" x14ac:dyDescent="0.35">
      <c r="F1234" s="22"/>
      <c r="I1234" s="21"/>
    </row>
    <row r="1235" spans="6:9" x14ac:dyDescent="0.35">
      <c r="F1235" s="22"/>
      <c r="I1235" s="21"/>
    </row>
    <row r="1236" spans="6:9" x14ac:dyDescent="0.35">
      <c r="F1236" s="22"/>
      <c r="I1236" s="21"/>
    </row>
    <row r="1237" spans="6:9" x14ac:dyDescent="0.35">
      <c r="F1237" s="22"/>
      <c r="I1237" s="21"/>
    </row>
    <row r="1238" spans="6:9" x14ac:dyDescent="0.35">
      <c r="F1238" s="22"/>
      <c r="I1238" s="21"/>
    </row>
    <row r="1239" spans="6:9" x14ac:dyDescent="0.35">
      <c r="F1239" s="22"/>
      <c r="I1239" s="21"/>
    </row>
    <row r="1240" spans="6:9" x14ac:dyDescent="0.35">
      <c r="F1240" s="22"/>
      <c r="I1240" s="21"/>
    </row>
    <row r="1241" spans="6:9" x14ac:dyDescent="0.35">
      <c r="F1241" s="22"/>
      <c r="I1241" s="21"/>
    </row>
    <row r="1242" spans="6:9" x14ac:dyDescent="0.35">
      <c r="F1242" s="22"/>
      <c r="I1242" s="21"/>
    </row>
    <row r="1243" spans="6:9" x14ac:dyDescent="0.35">
      <c r="F1243" s="22"/>
      <c r="I1243" s="21"/>
    </row>
    <row r="1244" spans="6:9" x14ac:dyDescent="0.35">
      <c r="F1244" s="22"/>
      <c r="I1244" s="21"/>
    </row>
    <row r="1245" spans="6:9" x14ac:dyDescent="0.35">
      <c r="F1245" s="22"/>
      <c r="I1245" s="21"/>
    </row>
    <row r="1246" spans="6:9" x14ac:dyDescent="0.35">
      <c r="F1246" s="22"/>
      <c r="I1246" s="21"/>
    </row>
    <row r="1247" spans="6:9" x14ac:dyDescent="0.35">
      <c r="F1247" s="22"/>
      <c r="I1247" s="21"/>
    </row>
    <row r="1248" spans="6:9" x14ac:dyDescent="0.35">
      <c r="F1248" s="22"/>
      <c r="I1248" s="21"/>
    </row>
    <row r="1249" spans="6:9" x14ac:dyDescent="0.35">
      <c r="F1249" s="22"/>
      <c r="I1249" s="21"/>
    </row>
    <row r="1250" spans="6:9" x14ac:dyDescent="0.35">
      <c r="F1250" s="22"/>
      <c r="I1250" s="21"/>
    </row>
    <row r="1251" spans="6:9" x14ac:dyDescent="0.35">
      <c r="F1251" s="22"/>
      <c r="I1251" s="21"/>
    </row>
    <row r="1252" spans="6:9" x14ac:dyDescent="0.35">
      <c r="F1252" s="22"/>
      <c r="I1252" s="21"/>
    </row>
    <row r="1253" spans="6:9" x14ac:dyDescent="0.35">
      <c r="F1253" s="22"/>
      <c r="I1253" s="21"/>
    </row>
    <row r="1254" spans="6:9" x14ac:dyDescent="0.35">
      <c r="F1254" s="22"/>
      <c r="I1254" s="21"/>
    </row>
    <row r="1255" spans="6:9" x14ac:dyDescent="0.35">
      <c r="F1255" s="22"/>
      <c r="I1255" s="21"/>
    </row>
    <row r="1256" spans="6:9" x14ac:dyDescent="0.35">
      <c r="F1256" s="22"/>
      <c r="I1256" s="21"/>
    </row>
    <row r="1257" spans="6:9" x14ac:dyDescent="0.35">
      <c r="F1257" s="22"/>
      <c r="I1257" s="21"/>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C1D5-A28E-4602-9270-A7820BC508A4}">
  <dimension ref="V12:V13"/>
  <sheetViews>
    <sheetView showGridLines="0" zoomScale="51" workbookViewId="0">
      <selection activeCell="R25" sqref="R25"/>
    </sheetView>
  </sheetViews>
  <sheetFormatPr defaultRowHeight="14.5" x14ac:dyDescent="0.35"/>
  <sheetData>
    <row r="12" spans="22:22" x14ac:dyDescent="0.35">
      <c r="V12" t="s">
        <v>49</v>
      </c>
    </row>
    <row r="13" spans="22:22" x14ac:dyDescent="0.35">
      <c r="V13" t="s">
        <v>48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Comparative Summary</vt:lpstr>
      <vt:lpstr>Performance Metrics</vt:lpstr>
      <vt:lpstr>Monthly NAV</vt:lpstr>
      <vt:lpstr>canara</vt:lpstr>
      <vt:lpstr>hdfc</vt:lpstr>
      <vt:lpstr>parag parikh</vt:lpstr>
      <vt:lpstr>Sheet1</vt:lpstr>
      <vt:lpstr>pivot</vt:lpstr>
      <vt:lpstr>Nifty 500 TRI </vt:lpstr>
      <vt:lpstr>dahboard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tanya grover</dc:creator>
  <dc:description/>
  <cp:lastModifiedBy>tanya grover</cp:lastModifiedBy>
  <cp:revision>1</cp:revision>
  <dcterms:created xsi:type="dcterms:W3CDTF">2026-09-04T15:45:40Z</dcterms:created>
  <dcterms:modified xsi:type="dcterms:W3CDTF">2026-10-13T13:27:08Z</dcterms:modified>
  <dc:language>en-US</dc:language>
</cp:coreProperties>
</file>